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/>
  <mc:AlternateContent xmlns:mc="http://schemas.openxmlformats.org/markup-compatibility/2006">
    <mc:Choice Requires="x15">
      <x15ac:absPath xmlns:x15ac="http://schemas.microsoft.com/office/spreadsheetml/2010/11/ac" url="E:\Google Drive New\Kelly 專案團隊 new\CA+專案\AVM\2018 0731 FINAL\"/>
    </mc:Choice>
  </mc:AlternateContent>
  <xr:revisionPtr revIDLastSave="0" documentId="13_ncr:1_{D8DAD1AE-5F9B-49E7-9C70-175D5D6C7445}" xr6:coauthVersionLast="34" xr6:coauthVersionMax="34" xr10:uidLastSave="{00000000-0000-0000-0000-000000000000}"/>
  <bookViews>
    <workbookView xWindow="0" yWindow="0" windowWidth="23250" windowHeight="12390" tabRatio="895" firstSheet="9" activeTab="22" xr2:uid="{00000000-000D-0000-FFFF-FFFF00000000}"/>
  </bookViews>
  <sheets>
    <sheet name="Resource" sheetId="1" r:id="rId1"/>
    <sheet name="可控不可控" sheetId="18" state="hidden" r:id="rId2"/>
    <sheet name="可控不可控 (2)" sheetId="28" r:id="rId3"/>
    <sheet name="ActivityCenter+ActivityModel" sheetId="2" r:id="rId4"/>
    <sheet name="單位實際作業成本" sheetId="19" r:id="rId5"/>
    <sheet name="附加價值" sheetId="20" r:id="rId6"/>
    <sheet name="顧客服務屬性" sheetId="21" r:id="rId7"/>
    <sheet name="ActivityCenter" sheetId="3" r:id="rId8"/>
    <sheet name="超用剩餘" sheetId="22" r:id="rId9"/>
    <sheet name="ActivityDriver" sheetId="4" r:id="rId10"/>
    <sheet name="專案作業時間" sheetId="23" r:id="rId11"/>
    <sheet name="PartStock" sheetId="5" r:id="rId12"/>
    <sheet name="存貨" sheetId="24" r:id="rId13"/>
    <sheet name="Project" sheetId="6" r:id="rId14"/>
    <sheet name="專案成本" sheetId="17" r:id="rId15"/>
    <sheet name="IncomeStatment" sheetId="7" r:id="rId16"/>
    <sheet name="CustomerProfitResult" sheetId="8" r:id="rId17"/>
    <sheet name="ProductProfitResult" sheetId="9" r:id="rId18"/>
    <sheet name="CustomerProductProfit" sheetId="10" r:id="rId19"/>
    <sheet name="客戶利潤3-5" sheetId="25" r:id="rId20"/>
    <sheet name="產品利潤3-5" sheetId="26" r:id="rId21"/>
    <sheet name="業務利潤3-5" sheetId="27" r:id="rId22"/>
    <sheet name="InventoryResult" sheetId="11" r:id="rId23"/>
  </sheets>
  <definedNames>
    <definedName name="_xlnm._FilterDatabase" localSheetId="9" hidden="1">ActivityDriver!$A$1:$N$244</definedName>
    <definedName name="_xlnm._FilterDatabase" localSheetId="18" hidden="1">CustomerProductProfit!$A$1:$U$105</definedName>
    <definedName name="_xlnm._FilterDatabase" localSheetId="13" hidden="1">Project!$A$1:$Q$569</definedName>
    <definedName name="_xlnm._FilterDatabase" localSheetId="0" hidden="1">Resource!$A$1:$U$54</definedName>
    <definedName name="_xlnm._FilterDatabase" localSheetId="14" hidden="1">專案成本!$A$3:$G$9</definedName>
  </definedNames>
  <calcPr calcId="179021"/>
  <pivotCaches>
    <pivotCache cacheId="0" r:id="rId24"/>
    <pivotCache cacheId="1" r:id="rId25"/>
    <pivotCache cacheId="2" r:id="rId26"/>
    <pivotCache cacheId="3" r:id="rId27"/>
    <pivotCache cacheId="4" r:id="rId28"/>
    <pivotCache cacheId="5" r:id="rId29"/>
    <pivotCache cacheId="6" r:id="rId30"/>
  </pivotCaches>
</workbook>
</file>

<file path=xl/calcChain.xml><?xml version="1.0" encoding="utf-8"?>
<calcChain xmlns="http://schemas.openxmlformats.org/spreadsheetml/2006/main">
  <c r="E5" i="27" l="1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4" i="27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4" i="26"/>
  <c r="J13" i="25"/>
  <c r="J6" i="25"/>
  <c r="J38" i="25"/>
  <c r="J31" i="25"/>
  <c r="J28" i="25"/>
  <c r="J29" i="25"/>
  <c r="J30" i="25"/>
  <c r="J41" i="25"/>
  <c r="J17" i="25"/>
  <c r="J10" i="25"/>
  <c r="J42" i="25"/>
  <c r="J35" i="25"/>
  <c r="J32" i="25"/>
  <c r="J14" i="25"/>
  <c r="J7" i="25"/>
  <c r="J36" i="25"/>
  <c r="J22" i="25"/>
  <c r="J37" i="25"/>
  <c r="J24" i="25"/>
  <c r="J21" i="25"/>
  <c r="J39" i="25"/>
  <c r="J15" i="25"/>
  <c r="J23" i="25"/>
  <c r="J9" i="25"/>
  <c r="J25" i="25"/>
  <c r="J18" i="25"/>
  <c r="J11" i="25"/>
  <c r="J8" i="25"/>
  <c r="J40" i="25"/>
  <c r="J12" i="25"/>
  <c r="J34" i="25"/>
  <c r="J5" i="25"/>
  <c r="J33" i="25"/>
  <c r="J26" i="25"/>
  <c r="J19" i="25"/>
  <c r="J16" i="25"/>
  <c r="J4" i="25"/>
  <c r="J20" i="25"/>
  <c r="J27" i="25"/>
  <c r="N425" i="6" l="1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424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351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207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45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</calcChain>
</file>

<file path=xl/sharedStrings.xml><?xml version="1.0" encoding="utf-8"?>
<sst xmlns="http://schemas.openxmlformats.org/spreadsheetml/2006/main" count="15914" uniqueCount="1004">
  <si>
    <t>年</t>
  </si>
  <si>
    <t>月份</t>
  </si>
  <si>
    <t>期間資料版本</t>
  </si>
  <si>
    <t>公司</t>
  </si>
  <si>
    <t>事業單位</t>
  </si>
  <si>
    <t>作業中心</t>
  </si>
  <si>
    <t>作業中心-第一階</t>
  </si>
  <si>
    <t>作業中心-第二階</t>
  </si>
  <si>
    <t>可控制/不可控制之資源</t>
  </si>
  <si>
    <t>成本類型</t>
  </si>
  <si>
    <t>停止分攤</t>
  </si>
  <si>
    <t>資源代碼</t>
  </si>
  <si>
    <t>資源-第一階</t>
  </si>
  <si>
    <t>金額</t>
  </si>
  <si>
    <t>資源動因</t>
  </si>
  <si>
    <t>動因簡述</t>
  </si>
  <si>
    <t>資源動因值</t>
  </si>
  <si>
    <t>(受)支援作業中心</t>
  </si>
  <si>
    <t>價值標的類型</t>
  </si>
  <si>
    <t>價值標的代碼</t>
  </si>
  <si>
    <t>資源動因費率</t>
  </si>
  <si>
    <t>201803</t>
  </si>
  <si>
    <t>Kelly Group</t>
  </si>
  <si>
    <t>公隆化學股份有限公司</t>
  </si>
  <si>
    <t>NASL10:新事業開發部</t>
  </si>
  <si>
    <t>可控制之資源</t>
  </si>
  <si>
    <t>1.作業中心自用之資源</t>
  </si>
  <si>
    <t>False</t>
  </si>
  <si>
    <t>R02</t>
  </si>
  <si>
    <t>差旅費用</t>
  </si>
  <si>
    <t>(DirectAssigned)</t>
  </si>
  <si>
    <t>(直接歸屬)</t>
  </si>
  <si>
    <t>NASL11:製程化學課</t>
  </si>
  <si>
    <t>True</t>
  </si>
  <si>
    <t>NASL12:電子化學課</t>
  </si>
  <si>
    <t>不可控制之資源</t>
  </si>
  <si>
    <t>5.支援作業中心(SSU)分攤之資源</t>
  </si>
  <si>
    <t>R01</t>
  </si>
  <si>
    <t>薪資費用</t>
  </si>
  <si>
    <t>(ByDriverValue)</t>
  </si>
  <si>
    <t>(設定比率)</t>
  </si>
  <si>
    <t>NATC11:應用技術課</t>
  </si>
  <si>
    <t>4.管理作業中心分攤之資源</t>
  </si>
  <si>
    <t>2.價值標的使用之資源</t>
  </si>
  <si>
    <t>R03</t>
  </si>
  <si>
    <t>交際費用</t>
  </si>
  <si>
    <t>CustomerProject</t>
  </si>
  <si>
    <t>CPCRM00696:專案-健達生物</t>
  </si>
  <si>
    <t>R04</t>
  </si>
  <si>
    <t>樣品費用</t>
  </si>
  <si>
    <t>CPCRM00911:專案-台灣鉅邁</t>
  </si>
  <si>
    <t>CPCRM05498:專案-興勤電子</t>
  </si>
  <si>
    <t>CPCRM10848:專案-華新科技</t>
  </si>
  <si>
    <t>CPCRM11533:專案-國巨楠梓</t>
  </si>
  <si>
    <t>R05</t>
  </si>
  <si>
    <t>其他費用</t>
  </si>
  <si>
    <t>CPunknow:專案-未分析顧客</t>
  </si>
  <si>
    <t>201804</t>
  </si>
  <si>
    <t>CPCRM00400:專案-東隆五金</t>
  </si>
  <si>
    <t>CP華震科技:專案-華震科技</t>
  </si>
  <si>
    <t>CPCRM17381:專案-桃園-愛賽克</t>
  </si>
  <si>
    <t>CPCRM19822:專案-友達</t>
  </si>
  <si>
    <t>CPEMERSON:專案-EMERSON</t>
  </si>
  <si>
    <t>201805</t>
  </si>
  <si>
    <t>CPCRM01025:專案-典雅實業</t>
  </si>
  <si>
    <t>CP上海安捷:專案-上海安捷</t>
  </si>
  <si>
    <t>作業中心動因費率</t>
  </si>
  <si>
    <t>作業中心動因值</t>
  </si>
  <si>
    <t>作業-第一階</t>
  </si>
  <si>
    <t>作業-第二階</t>
  </si>
  <si>
    <t>附加價值屬性</t>
  </si>
  <si>
    <t>顧客服務屬性</t>
  </si>
  <si>
    <t>N. Cap. Rate*N. Cap. Hour</t>
  </si>
  <si>
    <t>N01:取得顧客作業</t>
  </si>
  <si>
    <t>N02:維持顧客作業</t>
  </si>
  <si>
    <t>N03:售後服務作業</t>
  </si>
  <si>
    <t>N04:其他</t>
  </si>
  <si>
    <t>A. Cap. Rate*A. Cap. Hour</t>
  </si>
  <si>
    <t>A01:關係維護</t>
  </si>
  <si>
    <t>有附加價值</t>
  </si>
  <si>
    <t>維持成本</t>
  </si>
  <si>
    <t>N. Cap. Rate*A. Cap. Hour</t>
  </si>
  <si>
    <t>A02:市場動態</t>
  </si>
  <si>
    <t>取得成本</t>
  </si>
  <si>
    <t>A03:爭取新專案</t>
  </si>
  <si>
    <t>A04:專案追蹤</t>
  </si>
  <si>
    <t>A05:拜訪新客戶</t>
  </si>
  <si>
    <t>A07:推薦新產品</t>
  </si>
  <si>
    <t>A08:新線(產品)追蹤</t>
  </si>
  <si>
    <t>服務成本</t>
  </si>
  <si>
    <t>A09:偕同技術服務</t>
  </si>
  <si>
    <t>A06:小批量試產</t>
  </si>
  <si>
    <t>A10:偕同原廠拜訪</t>
  </si>
  <si>
    <t>A11:取樣分析</t>
  </si>
  <si>
    <t>A12:客服諮詢</t>
  </si>
  <si>
    <t>A13:客訴處理</t>
  </si>
  <si>
    <t>無附加價值</t>
  </si>
  <si>
    <t>A14:退貨處理</t>
  </si>
  <si>
    <t>A15:配槽/開線/轉缸</t>
  </si>
  <si>
    <t>A16:試樣</t>
  </si>
  <si>
    <t>A17:製程改善</t>
  </si>
  <si>
    <t>A18:Kelly內部事項</t>
  </si>
  <si>
    <t>NA</t>
  </si>
  <si>
    <t>A19:目標客戶拜訪</t>
  </si>
  <si>
    <t>A20:合作夥伴拜訪</t>
  </si>
  <si>
    <t>A21:新市場開發</t>
  </si>
  <si>
    <t>A22:帳款收回</t>
  </si>
  <si>
    <t>人/機時</t>
  </si>
  <si>
    <t>正常產能費率</t>
  </si>
  <si>
    <t>實際產能費率</t>
  </si>
  <si>
    <t>正常產能(時間)</t>
  </si>
  <si>
    <t>實際產能(時間)</t>
  </si>
  <si>
    <t>正常產能金額(N*N)</t>
  </si>
  <si>
    <t>實際產能金額(A*A)</t>
  </si>
  <si>
    <t>剩餘(超用)產能時間</t>
  </si>
  <si>
    <t>MAN POWER</t>
  </si>
  <si>
    <t>實際產能費率成本</t>
  </si>
  <si>
    <t>正常產能費率成本</t>
  </si>
  <si>
    <t>作業動因</t>
  </si>
  <si>
    <t>作業動因值</t>
  </si>
  <si>
    <t>價值標的</t>
  </si>
  <si>
    <t>拜訪時間</t>
  </si>
  <si>
    <t>CustomerProject:顧客專案</t>
  </si>
  <si>
    <t>CPCRM12107:專案-達興</t>
  </si>
  <si>
    <t>CPCRM19560:專案-山鶯欣興電子</t>
  </si>
  <si>
    <t>CPCRM20039:專案-樹林台電研究所</t>
  </si>
  <si>
    <t>CPCRM20254:專案-台灣奈晶</t>
  </si>
  <si>
    <t>CPCRM08397:專案-奇美實業</t>
  </si>
  <si>
    <t>CPCRM11452:專案-佳邦</t>
  </si>
  <si>
    <t>CPCRM17041:專案-新竹-錸德</t>
  </si>
  <si>
    <t>CP永光二廠:專案-永光二廠</t>
  </si>
  <si>
    <t>CPCRM05175:專案-永光三廠</t>
  </si>
  <si>
    <t>CPCRM08460:專案-台虹科技</t>
  </si>
  <si>
    <t>CPCRM09345:專案-友輝光電</t>
  </si>
  <si>
    <t>CPCRM10801:專案-綠固</t>
  </si>
  <si>
    <t>CPCRM10912:專案-瑞化</t>
  </si>
  <si>
    <t>CPCRM01095:專案-崇越石英製造廠</t>
  </si>
  <si>
    <t>CPCRM01049:專案-台星科</t>
  </si>
  <si>
    <t>CPCRM01052:專案-福懋科技</t>
  </si>
  <si>
    <t>CPCRM01037:專案-華邦電</t>
  </si>
  <si>
    <t>CPCRM01042:專案-欣銓科技</t>
  </si>
  <si>
    <t>CPCRM01090:專案-台弟工業</t>
  </si>
  <si>
    <t>CPCRM01091:專案-群浤科技</t>
  </si>
  <si>
    <t>CPCRM01093:專案-巨品表面</t>
  </si>
  <si>
    <t>CPCRM01094:專案-旭德科技</t>
  </si>
  <si>
    <t>CP other cus:專案-other customer</t>
  </si>
  <si>
    <t>CPCRM1107:專案-長春人造樹脂</t>
  </si>
  <si>
    <t>CP恆耀工業:專案-恆耀工業</t>
  </si>
  <si>
    <t>CPCRM00783:專案-亞洲漢威</t>
  </si>
  <si>
    <t>CPCRM01096:專案-南豐工業</t>
  </si>
  <si>
    <t>CPCRM01097:專案-矽格</t>
  </si>
  <si>
    <t>CPCRM01101:專案-興展企業</t>
  </si>
  <si>
    <t>CPCRM01102:專案-欣旻工業</t>
  </si>
  <si>
    <t>CPCRM01103:專案-璟德電子</t>
  </si>
  <si>
    <t>CPCRM01111:專案-辛耘企業-二廠</t>
  </si>
  <si>
    <t>CPCRM01117:專案-正修科大</t>
  </si>
  <si>
    <t>CPCRM20153:專案-林口南亞科</t>
  </si>
  <si>
    <t>CPCRM20195:專案-創毅國際</t>
  </si>
  <si>
    <t>CPCRM01110:專案-廣達電腦</t>
  </si>
  <si>
    <t>CPCRM16157:專案-洤順科技</t>
  </si>
  <si>
    <t>CPCRM17382:專案-昇陽光電</t>
  </si>
  <si>
    <t>CPCRM08411:專案-新應材</t>
  </si>
  <si>
    <t>CPCRM03863:專案-致嘉科技</t>
  </si>
  <si>
    <t>CPCRM01118:專案-捷暘</t>
  </si>
  <si>
    <t>CPCRM1106:專案-台灣積水原聚</t>
  </si>
  <si>
    <t>CPCRM00550:專案-瑞興發</t>
  </si>
  <si>
    <t>CPCRM19947:專案-新竹光聚合</t>
  </si>
  <si>
    <t>CPCRM14295:專案-kelly實驗室</t>
  </si>
  <si>
    <t>CPCRM20154:專案-林口穩懋</t>
  </si>
  <si>
    <t>CPCRM17040:專案-桃園-宸鴻</t>
  </si>
  <si>
    <t>CPCRM01105:專案-萬能科大</t>
  </si>
  <si>
    <t>CPCRM16897:專案-新竹互力</t>
  </si>
  <si>
    <t>CPCRM17661:專案-瞬茂</t>
  </si>
  <si>
    <t>CPCRM16694:專案-台灣得力</t>
  </si>
  <si>
    <t>CPCRM16719:專案-永源</t>
  </si>
  <si>
    <t>CPCRM17264:專案-新竹-國碩</t>
  </si>
  <si>
    <t>CPCRM10747:專案-泓瀚科技</t>
  </si>
  <si>
    <t>CPCRM10850:專案-優陽科技</t>
  </si>
  <si>
    <t>CPCRM13503:專案-苗栗-友晁</t>
  </si>
  <si>
    <t>CPCRM10748:專案-工研院</t>
  </si>
  <si>
    <t>CPCRM17296:專案-台灣美磊</t>
  </si>
  <si>
    <t>CPCRM17843:專案-崇越科技</t>
  </si>
  <si>
    <t>CPCRM08459:專案-愛迪克</t>
  </si>
  <si>
    <t>CPCRM19559:專案-竹北凱鍶</t>
  </si>
  <si>
    <t>CPCRM14218:專案-川裕工業</t>
  </si>
  <si>
    <t>CPCRM08511:專案-矽恩特殊材料</t>
  </si>
  <si>
    <t>CPCRM13504:專案-大格化學</t>
  </si>
  <si>
    <t>CPCRM00937:專案-大勤化成</t>
  </si>
  <si>
    <t>CPCRM19914:專案-台灣艾華電子</t>
  </si>
  <si>
    <t>CPCRM12969:專案-長春-乾膜</t>
  </si>
  <si>
    <t>CPCRM08720:專案-凱耀科技</t>
  </si>
  <si>
    <t>CPCRM10771:專案-勤凱-浚博</t>
  </si>
  <si>
    <t>CPCRM10826:專案-道登電子</t>
  </si>
  <si>
    <t>CPCRM01130:專案-普聯國際</t>
  </si>
  <si>
    <t>CPCRM18424:專案-臻鼎</t>
  </si>
  <si>
    <t>CPCRM19770:專案-覆晶光電</t>
  </si>
  <si>
    <t>CPCRM08406:專案-永光化學</t>
  </si>
  <si>
    <t>CPCRM08704:專案-肯美特</t>
  </si>
  <si>
    <t>CPCRM11713:專案-光洋科</t>
  </si>
  <si>
    <t>CPCRM10072:專案-永明泰</t>
  </si>
  <si>
    <t>CPCRM16774:專案-永勝光學</t>
  </si>
  <si>
    <t>CPCRM14290:專案-台灣-杜邦</t>
  </si>
  <si>
    <t>CPCRM14633:專案-達邁</t>
  </si>
  <si>
    <t>CPCRM16919:專案-新北市-富致科技</t>
  </si>
  <si>
    <t>CPCRM01053:專案-渼豐表面處理</t>
  </si>
  <si>
    <t>CPCRM01129:專案-雷電光能</t>
  </si>
  <si>
    <t>CP三德:專案-三德</t>
  </si>
  <si>
    <t>CP微鑽石:專案-微鑽石</t>
  </si>
  <si>
    <t>CPCRM01121:專案-大發金屬</t>
  </si>
  <si>
    <t>CPCRM01122:專案-玉美-生物科技</t>
  </si>
  <si>
    <t>CPCRM01123:專案-洗旺國際</t>
  </si>
  <si>
    <t>CPCRM01124:專案-日月展金屬</t>
  </si>
  <si>
    <t>CPCRM01125:專案-昌旺汽材</t>
  </si>
  <si>
    <t>CPCRM01126:專案-彰陽工業</t>
  </si>
  <si>
    <t>CPCRM01127:專案-杰昌金屬</t>
  </si>
  <si>
    <t>CPCRM01128:專案-哈伯精密</t>
  </si>
  <si>
    <t>CPCRM01132:專案-台灣京濱化</t>
  </si>
  <si>
    <t>CPCRM01133:專案-盛復工業-大肚廠</t>
  </si>
  <si>
    <t>CPCRM01140:專案-朝宇航太科技二廠</t>
  </si>
  <si>
    <t>CPCRM17319:專案-高雄李長榮化工</t>
  </si>
  <si>
    <t>CPCRM20308:專案-九怡工業</t>
  </si>
  <si>
    <t>CP世豐螺絲:專案-世豐螺絲</t>
  </si>
  <si>
    <t>CPCRM09005:專案-肥特補</t>
  </si>
  <si>
    <t>CPCRM01046:專案-華泰電子</t>
  </si>
  <si>
    <t>CPCRM17469:專案-賀力氏</t>
  </si>
  <si>
    <t>CPCRM12175:專案-遠呈科技</t>
  </si>
  <si>
    <t>CPCRM05197:專案-聯致科技</t>
  </si>
  <si>
    <t>CPCRM09007:專案-冠品</t>
  </si>
  <si>
    <t>CPCRM19561:專案-群創_竹南</t>
  </si>
  <si>
    <t>CPCRM18081:專案-台灣同欣</t>
  </si>
  <si>
    <t>CPCRM10849:專案-達方電子</t>
  </si>
  <si>
    <t>CPCRM16083:專案-汐止研究所(公隆化學)</t>
  </si>
  <si>
    <t>CPCRM13556:專案-安炬</t>
  </si>
  <si>
    <t>CP忠信汽車:專案-忠信汽車</t>
  </si>
  <si>
    <t>CP和蓮光電:專案-和蓮光電</t>
  </si>
  <si>
    <t>CP晶呈科技:專案-晶呈科技</t>
  </si>
  <si>
    <t>CP台灣優瑪:專案-台灣優瑪</t>
  </si>
  <si>
    <t>CP天成:專案-天成</t>
  </si>
  <si>
    <t>CPCRM08463:專案-億光</t>
  </si>
  <si>
    <t>CPCRM01146:專案-善存科技</t>
  </si>
  <si>
    <t>CPCRM01149:專案-福特六和</t>
  </si>
  <si>
    <t>CPCRM01073:專案-榮聰精密</t>
  </si>
  <si>
    <t>CPCRM16269:專案-台灣-捷能材料</t>
  </si>
  <si>
    <t>CP金順億:專案-金順億</t>
  </si>
  <si>
    <t>CPCRM17791:專案-恆橋</t>
  </si>
  <si>
    <t>CPCRM01109:專案-伍德邁</t>
  </si>
  <si>
    <t>CPCRM19638:專案-黑德爾</t>
  </si>
  <si>
    <t>CPCRM20061:專案-群越</t>
  </si>
  <si>
    <t>CPCRM14329:專案-志廣光電</t>
  </si>
  <si>
    <t>料號</t>
  </si>
  <si>
    <t>類型</t>
  </si>
  <si>
    <t>數量</t>
  </si>
  <si>
    <t>原物料</t>
  </si>
  <si>
    <t>61000017</t>
  </si>
  <si>
    <t>進料入庫</t>
  </si>
  <si>
    <t>61000027</t>
  </si>
  <si>
    <t>61000028</t>
  </si>
  <si>
    <t>71000576</t>
  </si>
  <si>
    <t>74000063</t>
  </si>
  <si>
    <t>74000071</t>
  </si>
  <si>
    <t>74000158</t>
  </si>
  <si>
    <t>74000162</t>
  </si>
  <si>
    <t>74000193</t>
  </si>
  <si>
    <t>74000242</t>
  </si>
  <si>
    <t>74000245</t>
  </si>
  <si>
    <t>74000252</t>
  </si>
  <si>
    <t>74000254</t>
  </si>
  <si>
    <t>87000085</t>
  </si>
  <si>
    <t>87000175</t>
  </si>
  <si>
    <t>87000182</t>
  </si>
  <si>
    <t>87000189</t>
  </si>
  <si>
    <t>88000407</t>
  </si>
  <si>
    <t>88000411</t>
  </si>
  <si>
    <t>88000413</t>
  </si>
  <si>
    <t>88000423</t>
  </si>
  <si>
    <t>88000426</t>
  </si>
  <si>
    <t>88000428</t>
  </si>
  <si>
    <t>88000513</t>
  </si>
  <si>
    <t>88000522</t>
  </si>
  <si>
    <t>88000535</t>
  </si>
  <si>
    <t>88000554</t>
  </si>
  <si>
    <t>產品</t>
  </si>
  <si>
    <t>訂單出貨</t>
  </si>
  <si>
    <t>72000045</t>
  </si>
  <si>
    <t>74000150</t>
  </si>
  <si>
    <t>74000246</t>
  </si>
  <si>
    <t>74000251</t>
  </si>
  <si>
    <t>74000253</t>
  </si>
  <si>
    <t>87000060</t>
  </si>
  <si>
    <t>88000409</t>
  </si>
  <si>
    <t>88000418</t>
  </si>
  <si>
    <t>88000435</t>
  </si>
  <si>
    <t>72000019</t>
  </si>
  <si>
    <t>72100012</t>
  </si>
  <si>
    <t>72100014</t>
  </si>
  <si>
    <t>74000188</t>
  </si>
  <si>
    <t>87000167</t>
  </si>
  <si>
    <t>87000174</t>
  </si>
  <si>
    <t>87000181</t>
  </si>
  <si>
    <t>87100033</t>
  </si>
  <si>
    <t>88000408</t>
  </si>
  <si>
    <t>88100060</t>
  </si>
  <si>
    <t>專案代碼</t>
  </si>
  <si>
    <t>專案名稱</t>
  </si>
  <si>
    <t>資源/作業</t>
  </si>
  <si>
    <t>代碼</t>
  </si>
  <si>
    <t>CPCRM00550</t>
  </si>
  <si>
    <t>專案-瑞興發</t>
  </si>
  <si>
    <t>成本累積</t>
  </si>
  <si>
    <t>Activity</t>
  </si>
  <si>
    <t>CPCRM00696</t>
  </si>
  <si>
    <t>專案-健達生物</t>
  </si>
  <si>
    <t>Resource</t>
  </si>
  <si>
    <t>R03:交際費用</t>
  </si>
  <si>
    <t>R04:樣品費</t>
  </si>
  <si>
    <t>CPCRM00911</t>
  </si>
  <si>
    <t>專案-台灣鉅邁</t>
  </si>
  <si>
    <t>CPCRM10748</t>
  </si>
  <si>
    <t>專案-工研院</t>
  </si>
  <si>
    <t>CPCRM00783</t>
  </si>
  <si>
    <t>專案-亞洲漢威</t>
  </si>
  <si>
    <t>CPCRM00937</t>
  </si>
  <si>
    <t>專案-大勤化成</t>
  </si>
  <si>
    <t>CPCRM01037</t>
  </si>
  <si>
    <t>專案-華邦電</t>
  </si>
  <si>
    <t>CPCRM01042</t>
  </si>
  <si>
    <t>專案-欣銓科技</t>
  </si>
  <si>
    <t>CPCRM01049</t>
  </si>
  <si>
    <t>專案-台星科</t>
  </si>
  <si>
    <t>CPCRM01052</t>
  </si>
  <si>
    <t>專案-福懋科技</t>
  </si>
  <si>
    <t>CPCRM01090</t>
  </si>
  <si>
    <t>專案-台弟工業</t>
  </si>
  <si>
    <t>CPCRM01091</t>
  </si>
  <si>
    <t>專案-群浤科技</t>
  </si>
  <si>
    <t>CPCRM01093</t>
  </si>
  <si>
    <t>專案-巨品表面</t>
  </si>
  <si>
    <t>CPCRM01094</t>
  </si>
  <si>
    <t>專案-旭德科技</t>
  </si>
  <si>
    <t>CPCRM01095</t>
  </si>
  <si>
    <t>專案-崇越石英製造廠</t>
  </si>
  <si>
    <t>CPCRM01096</t>
  </si>
  <si>
    <t>專案-南豐工業</t>
  </si>
  <si>
    <t>CPCRM01097</t>
  </si>
  <si>
    <t>專案-矽格</t>
  </si>
  <si>
    <t>CPCRM01101</t>
  </si>
  <si>
    <t>專案-興展企業</t>
  </si>
  <si>
    <t>CPCRM01102</t>
  </si>
  <si>
    <t>專案-欣旻工業</t>
  </si>
  <si>
    <t>CPCRM01103</t>
  </si>
  <si>
    <t>專案-璟德電子</t>
  </si>
  <si>
    <t>CPCRM01105</t>
  </si>
  <si>
    <t>專案-萬能科大</t>
  </si>
  <si>
    <t>CPCRM01111</t>
  </si>
  <si>
    <t>專案-辛耘企業-二廠</t>
  </si>
  <si>
    <t>CPCRM01117</t>
  </si>
  <si>
    <t>專案-正修科大</t>
  </si>
  <si>
    <t>CPCRM01118</t>
  </si>
  <si>
    <t>專案-捷暘</t>
  </si>
  <si>
    <t>CPCRM1106</t>
  </si>
  <si>
    <t>專案-台灣積水原聚</t>
  </si>
  <si>
    <t>CPCRM1107</t>
  </si>
  <si>
    <t>專案-長春人造樹脂</t>
  </si>
  <si>
    <t>CPCRM14295</t>
  </si>
  <si>
    <t>專案-kelly實驗室</t>
  </si>
  <si>
    <t>CP恆耀工業</t>
  </si>
  <si>
    <t>專案-恆耀工業</t>
  </si>
  <si>
    <t>CPCRM03863</t>
  </si>
  <si>
    <t>專案-致嘉科技</t>
  </si>
  <si>
    <t>CPCRM05498</t>
  </si>
  <si>
    <t>專案-興勤電子</t>
  </si>
  <si>
    <t>CPCRM08397</t>
  </si>
  <si>
    <t>專案-奇美實業</t>
  </si>
  <si>
    <t>CPCRM08411</t>
  </si>
  <si>
    <t>專案-新應材</t>
  </si>
  <si>
    <t>CPCRM08720</t>
  </si>
  <si>
    <t>專案-凱耀科技</t>
  </si>
  <si>
    <t>CPCRM10747</t>
  </si>
  <si>
    <t>專案-泓瀚科技</t>
  </si>
  <si>
    <t>CPCRM10771</t>
  </si>
  <si>
    <t>專案-勤凱-浚博</t>
  </si>
  <si>
    <t>CPCRM10826</t>
  </si>
  <si>
    <t>專案-道登電子</t>
  </si>
  <si>
    <t>CPCRM10848</t>
  </si>
  <si>
    <t>專案-華新科技</t>
  </si>
  <si>
    <t>CPCRM10850</t>
  </si>
  <si>
    <t>專案-優陽科技</t>
  </si>
  <si>
    <t>CPCRM11452</t>
  </si>
  <si>
    <t>專案-佳邦</t>
  </si>
  <si>
    <t>CPCRM11533</t>
  </si>
  <si>
    <t>專案-國巨楠梓</t>
  </si>
  <si>
    <t>CPCRM13503</t>
  </si>
  <si>
    <t>專案-苗栗-友晁</t>
  </si>
  <si>
    <t>CPCRM16694</t>
  </si>
  <si>
    <t>專案-台灣得力</t>
  </si>
  <si>
    <t>CPCRM16719</t>
  </si>
  <si>
    <t>專案-永源</t>
  </si>
  <si>
    <t>CPCRM17041</t>
  </si>
  <si>
    <t>專案-新竹-錸德</t>
  </si>
  <si>
    <t>CPCRM17264</t>
  </si>
  <si>
    <t>專案-新竹-國碩</t>
  </si>
  <si>
    <t>CPCRM17296</t>
  </si>
  <si>
    <t>專案-台灣美磊</t>
  </si>
  <si>
    <t>CPCRM17382</t>
  </si>
  <si>
    <t>專案-昇陽光電</t>
  </si>
  <si>
    <t>CPCRM17661</t>
  </si>
  <si>
    <t>專案-瞬茂</t>
  </si>
  <si>
    <t>CPCRM17843</t>
  </si>
  <si>
    <t>專案-崇越科技</t>
  </si>
  <si>
    <t>CPCRM19914</t>
  </si>
  <si>
    <t>專案-台灣艾華電子</t>
  </si>
  <si>
    <t>CPCRM01110</t>
  </si>
  <si>
    <t>專案-廣達電腦</t>
  </si>
  <si>
    <t>CPCRM05175</t>
  </si>
  <si>
    <t>專案-永光三廠</t>
  </si>
  <si>
    <t>CPCRM08459</t>
  </si>
  <si>
    <t>專案-愛迪克</t>
  </si>
  <si>
    <t>CPCRM08460</t>
  </si>
  <si>
    <t>專案-台虹科技</t>
  </si>
  <si>
    <t>CPCRM08511</t>
  </si>
  <si>
    <t>專案-矽恩特殊材料</t>
  </si>
  <si>
    <t>CPCRM09345</t>
  </si>
  <si>
    <t>專案-友輝光電</t>
  </si>
  <si>
    <t>CPCRM10801</t>
  </si>
  <si>
    <t>專案-綠固</t>
  </si>
  <si>
    <t>CPCRM10912</t>
  </si>
  <si>
    <t>專案-瑞化</t>
  </si>
  <si>
    <t>CPCRM12107</t>
  </si>
  <si>
    <t>專案-達興</t>
  </si>
  <si>
    <t>CPCRM12969</t>
  </si>
  <si>
    <t>專案-長春-乾膜</t>
  </si>
  <si>
    <t>CPCRM13504</t>
  </si>
  <si>
    <t>專案-大格化學</t>
  </si>
  <si>
    <t>CPCRM14218</t>
  </si>
  <si>
    <t>專案-川裕工業</t>
  </si>
  <si>
    <t>CPCRM16157</t>
  </si>
  <si>
    <t>專案-洤順科技</t>
  </si>
  <si>
    <t>CPCRM16897</t>
  </si>
  <si>
    <t>專案-新竹互力</t>
  </si>
  <si>
    <t>CPCRM17040</t>
  </si>
  <si>
    <t>專案-桃園-宸鴻</t>
  </si>
  <si>
    <t>CPCRM19559</t>
  </si>
  <si>
    <t>專案-竹北凱鍶</t>
  </si>
  <si>
    <t>CPCRM19560</t>
  </si>
  <si>
    <t>專案-山鶯欣興電子</t>
  </si>
  <si>
    <t>CPCRM19947</t>
  </si>
  <si>
    <t>專案-新竹光聚合</t>
  </si>
  <si>
    <t>CPCRM20039</t>
  </si>
  <si>
    <t>專案-樹林台電研究所</t>
  </si>
  <si>
    <t>CPCRM20153</t>
  </si>
  <si>
    <t>專案-林口南亞科</t>
  </si>
  <si>
    <t>CPCRM20154</t>
  </si>
  <si>
    <t>專案-林口穩懋</t>
  </si>
  <si>
    <t>CPCRM20195</t>
  </si>
  <si>
    <t>專案-創毅國際</t>
  </si>
  <si>
    <t>CPCRM20254</t>
  </si>
  <si>
    <t>專案-台灣奈晶</t>
  </si>
  <si>
    <t>CP other cus</t>
  </si>
  <si>
    <t>專案-other customer</t>
  </si>
  <si>
    <t>CP永光二廠</t>
  </si>
  <si>
    <t>專案-永光二廠</t>
  </si>
  <si>
    <t>CPunknow</t>
  </si>
  <si>
    <t>專案-未分析顧客</t>
  </si>
  <si>
    <t>R05:其他費用</t>
  </si>
  <si>
    <t>成本歸屬至產品</t>
  </si>
  <si>
    <t>CPCRM18081</t>
  </si>
  <si>
    <t>專案-台灣同欣</t>
  </si>
  <si>
    <t>CPCRM10849</t>
  </si>
  <si>
    <t>專案-達方電子</t>
  </si>
  <si>
    <t>CPCRM19822</t>
  </si>
  <si>
    <t>專案-友達</t>
  </si>
  <si>
    <t>CPCRM08406</t>
  </si>
  <si>
    <t>專案-永光化學</t>
  </si>
  <si>
    <t>CP華震科技</t>
  </si>
  <si>
    <t>專案-華震科技</t>
  </si>
  <si>
    <t>CPCRM05197</t>
  </si>
  <si>
    <t>專案-聯致科技</t>
  </si>
  <si>
    <t>CPCRM01053</t>
  </si>
  <si>
    <t>專案-渼豐表面處理</t>
  </si>
  <si>
    <t>CPCRM20308</t>
  </si>
  <si>
    <t>專案-九怡工業</t>
  </si>
  <si>
    <t>CPCRM00400</t>
  </si>
  <si>
    <t>專案-東隆五金</t>
  </si>
  <si>
    <t>CPCRM01046</t>
  </si>
  <si>
    <t>專案-華泰電子</t>
  </si>
  <si>
    <t>CPCRM01121</t>
  </si>
  <si>
    <t>專案-大發金屬</t>
  </si>
  <si>
    <t>CPCRM01122</t>
  </si>
  <si>
    <t>專案-玉美-生物科技</t>
  </si>
  <si>
    <t>CPCRM01123</t>
  </si>
  <si>
    <t>專案-洗旺國際</t>
  </si>
  <si>
    <t>CPCRM01124</t>
  </si>
  <si>
    <t>專案-日月展金屬</t>
  </si>
  <si>
    <t>CPCRM01125</t>
  </si>
  <si>
    <t>專案-昌旺汽材</t>
  </si>
  <si>
    <t>CPCRM01126</t>
  </si>
  <si>
    <t>專案-彰陽工業</t>
  </si>
  <si>
    <t>CPCRM01127</t>
  </si>
  <si>
    <t>專案-杰昌金屬</t>
  </si>
  <si>
    <t>CPCRM01128</t>
  </si>
  <si>
    <t>專案-哈伯精密</t>
  </si>
  <si>
    <t>CPCRM01129</t>
  </si>
  <si>
    <t>專案-雷電光能</t>
  </si>
  <si>
    <t>CPCRM01130</t>
  </si>
  <si>
    <t>專案-普聯國際</t>
  </si>
  <si>
    <t>CPCRM01132</t>
  </si>
  <si>
    <t>專案-台灣京濱化</t>
  </si>
  <si>
    <t>CPCRM01133</t>
  </si>
  <si>
    <t>專案-盛復工業-大肚廠</t>
  </si>
  <si>
    <t>CPCRM01140</t>
  </si>
  <si>
    <t>專案-朝宇航太科技二廠</t>
  </si>
  <si>
    <t>CPCRM17319</t>
  </si>
  <si>
    <t>專案-高雄李長榮化工</t>
  </si>
  <si>
    <t>CP世豐螺絲</t>
  </si>
  <si>
    <t>專案-世豐螺絲</t>
  </si>
  <si>
    <t>CPCRM08704</t>
  </si>
  <si>
    <t>專案-肯美特</t>
  </si>
  <si>
    <t>CPCRM09007</t>
  </si>
  <si>
    <t>專案-冠品</t>
  </si>
  <si>
    <t>CPCRM11713</t>
  </si>
  <si>
    <t>專案-光洋科</t>
  </si>
  <si>
    <t>CPCRM14290</t>
  </si>
  <si>
    <t>專案-台灣-杜邦</t>
  </si>
  <si>
    <t>CPCRM14633</t>
  </si>
  <si>
    <t>專案-達邁</t>
  </si>
  <si>
    <t>CPCRM16774</t>
  </si>
  <si>
    <t>專案-永勝光學</t>
  </si>
  <si>
    <t>CPCRM17381</t>
  </si>
  <si>
    <t>專案-桃園-愛賽克</t>
  </si>
  <si>
    <t>CPCRM17469</t>
  </si>
  <si>
    <t>專案-賀力氏</t>
  </si>
  <si>
    <t>CPCRM18424</t>
  </si>
  <si>
    <t>專案-臻鼎</t>
  </si>
  <si>
    <t>CPCRM19770</t>
  </si>
  <si>
    <t>專案-覆晶光電</t>
  </si>
  <si>
    <t>CPCRM09005</t>
  </si>
  <si>
    <t>專案-肥特補</t>
  </si>
  <si>
    <t>CPCRM10072</t>
  </si>
  <si>
    <t>專案-永明泰</t>
  </si>
  <si>
    <t>CPCRM12175</t>
  </si>
  <si>
    <t>專案-遠呈科技</t>
  </si>
  <si>
    <t>CPCRM16919</t>
  </si>
  <si>
    <t>專案-新北市-富致科技</t>
  </si>
  <si>
    <t>CPCRM19561</t>
  </si>
  <si>
    <t>專案-群創_竹南</t>
  </si>
  <si>
    <t>CPEMERSON</t>
  </si>
  <si>
    <t>專案-EMERSON</t>
  </si>
  <si>
    <t>CP三德</t>
  </si>
  <si>
    <t>專案-三德</t>
  </si>
  <si>
    <t>CP微鑽石</t>
  </si>
  <si>
    <t>專案-微鑽石</t>
  </si>
  <si>
    <t>CPCRM01109</t>
  </si>
  <si>
    <t>專案-伍德邁</t>
  </si>
  <si>
    <t>CPCRM01025</t>
  </si>
  <si>
    <t>專案-典雅實業</t>
  </si>
  <si>
    <t>CPCRM01073</t>
  </si>
  <si>
    <t>專案-榮聰精密</t>
  </si>
  <si>
    <t>CPCRM13556</t>
  </si>
  <si>
    <t>專案-安炬</t>
  </si>
  <si>
    <t>CPCRM14329</t>
  </si>
  <si>
    <t>專案-志廣光電</t>
  </si>
  <si>
    <t>CPCRM16083</t>
  </si>
  <si>
    <t>專案-汐止研究所(公隆化學)</t>
  </si>
  <si>
    <t>CPCRM17791</t>
  </si>
  <si>
    <t>專案-恆橋</t>
  </si>
  <si>
    <t>CPCRM19638</t>
  </si>
  <si>
    <t>專案-黑德爾</t>
  </si>
  <si>
    <t>CPCRM08463</t>
  </si>
  <si>
    <t>專案-億光</t>
  </si>
  <si>
    <t>CPCRM16269</t>
  </si>
  <si>
    <t>專案-台灣-捷能材料</t>
  </si>
  <si>
    <t>CPCRM20061</t>
  </si>
  <si>
    <t>專案-群越</t>
  </si>
  <si>
    <t>CP金順億</t>
  </si>
  <si>
    <t>專案-金順億</t>
  </si>
  <si>
    <t>CP天成</t>
  </si>
  <si>
    <t>專案-天成</t>
  </si>
  <si>
    <t>CP忠信汽車</t>
  </si>
  <si>
    <t>專案-忠信汽車</t>
  </si>
  <si>
    <t>CP和蓮光電</t>
  </si>
  <si>
    <t>專案-和蓮光電</t>
  </si>
  <si>
    <t>CP晶呈科技</t>
  </si>
  <si>
    <t>專案-晶呈科技</t>
  </si>
  <si>
    <t>CP上海安捷</t>
  </si>
  <si>
    <t>專案-上海安捷</t>
  </si>
  <si>
    <t>CP台灣優瑪</t>
  </si>
  <si>
    <t>專案-台灣優瑪</t>
  </si>
  <si>
    <t>CPCRM01146</t>
  </si>
  <si>
    <t>專案-善存科技</t>
  </si>
  <si>
    <t>CPCRM01149</t>
  </si>
  <si>
    <t>專案-福特六和</t>
  </si>
  <si>
    <t>公司代碼</t>
  </si>
  <si>
    <t>作業中心代碼</t>
  </si>
  <si>
    <t>訂單編號</t>
  </si>
  <si>
    <t>總銷貨成本</t>
  </si>
  <si>
    <t>製造成本</t>
  </si>
  <si>
    <t>客戶利潤</t>
  </si>
  <si>
    <t>產品利潤</t>
  </si>
  <si>
    <t>業務工程師</t>
  </si>
  <si>
    <t>NASL12</t>
  </si>
  <si>
    <t>Order01</t>
  </si>
  <si>
    <t>Louis</t>
  </si>
  <si>
    <t>NASL11</t>
  </si>
  <si>
    <t>Order02</t>
  </si>
  <si>
    <t>Vincent</t>
  </si>
  <si>
    <t>Order03</t>
  </si>
  <si>
    <t>Order04</t>
  </si>
  <si>
    <t>Order05</t>
  </si>
  <si>
    <t>Order06</t>
  </si>
  <si>
    <t>Order07</t>
  </si>
  <si>
    <t>Chris</t>
  </si>
  <si>
    <t>Order08</t>
  </si>
  <si>
    <t>Order09</t>
  </si>
  <si>
    <t>Order10</t>
  </si>
  <si>
    <t>Order11</t>
  </si>
  <si>
    <t>Order12</t>
  </si>
  <si>
    <t>Order13</t>
  </si>
  <si>
    <t>Order14</t>
  </si>
  <si>
    <t>Order15</t>
  </si>
  <si>
    <t>Order16</t>
  </si>
  <si>
    <t>Order17</t>
  </si>
  <si>
    <t>Order18</t>
  </si>
  <si>
    <t>Ian</t>
  </si>
  <si>
    <t>Order19</t>
  </si>
  <si>
    <t>Order20</t>
  </si>
  <si>
    <t>Order21</t>
  </si>
  <si>
    <t>Order22</t>
  </si>
  <si>
    <t>Order23</t>
  </si>
  <si>
    <t>Order24</t>
  </si>
  <si>
    <t>Order25</t>
  </si>
  <si>
    <t>Order26</t>
  </si>
  <si>
    <t>Order27</t>
  </si>
  <si>
    <t>Order28</t>
  </si>
  <si>
    <t>Order29</t>
  </si>
  <si>
    <t>Order30</t>
  </si>
  <si>
    <t>Order31</t>
  </si>
  <si>
    <t>Order32</t>
  </si>
  <si>
    <t>Order33</t>
  </si>
  <si>
    <t>Order34</t>
  </si>
  <si>
    <t>Order35</t>
  </si>
  <si>
    <t>Order36</t>
  </si>
  <si>
    <t>Order37</t>
  </si>
  <si>
    <t>Order38</t>
  </si>
  <si>
    <t>Order39</t>
  </si>
  <si>
    <t>Order40</t>
  </si>
  <si>
    <t>Order41</t>
  </si>
  <si>
    <t>Order42</t>
  </si>
  <si>
    <t>Order43</t>
  </si>
  <si>
    <t>Order44</t>
  </si>
  <si>
    <t>Order45</t>
  </si>
  <si>
    <t>Order46</t>
  </si>
  <si>
    <t>Order47</t>
  </si>
  <si>
    <t>Order48</t>
  </si>
  <si>
    <t>Order49</t>
  </si>
  <si>
    <t>Order50</t>
  </si>
  <si>
    <t>Order51</t>
  </si>
  <si>
    <t>Order52</t>
  </si>
  <si>
    <t>Order53</t>
  </si>
  <si>
    <t>Order54</t>
  </si>
  <si>
    <t>Order55</t>
  </si>
  <si>
    <t>Order56</t>
  </si>
  <si>
    <t>Order57</t>
  </si>
  <si>
    <t>Order58</t>
  </si>
  <si>
    <t>Order59</t>
  </si>
  <si>
    <t>Order60</t>
  </si>
  <si>
    <t>Order61</t>
  </si>
  <si>
    <t>Order62</t>
  </si>
  <si>
    <t>Order63</t>
  </si>
  <si>
    <t>Order64</t>
  </si>
  <si>
    <t>Order65</t>
  </si>
  <si>
    <t>Order66</t>
  </si>
  <si>
    <t>Order67</t>
  </si>
  <si>
    <t>Order100</t>
  </si>
  <si>
    <t>Order101</t>
  </si>
  <si>
    <t>Order102</t>
  </si>
  <si>
    <t>Order103</t>
  </si>
  <si>
    <t>Clapton</t>
  </si>
  <si>
    <t>Order104</t>
  </si>
  <si>
    <t>Order68</t>
  </si>
  <si>
    <t>Order69</t>
  </si>
  <si>
    <t>Order70</t>
  </si>
  <si>
    <t>Order71</t>
  </si>
  <si>
    <t>Order72</t>
  </si>
  <si>
    <t>Order73</t>
  </si>
  <si>
    <t>Order74</t>
  </si>
  <si>
    <t>Order75</t>
  </si>
  <si>
    <t>Order76</t>
  </si>
  <si>
    <t>Order77</t>
  </si>
  <si>
    <t>Order78</t>
  </si>
  <si>
    <t>Order79</t>
  </si>
  <si>
    <t>Order80</t>
  </si>
  <si>
    <t>Order81</t>
  </si>
  <si>
    <t>Order82</t>
  </si>
  <si>
    <t>Order83</t>
  </si>
  <si>
    <t>Order84</t>
  </si>
  <si>
    <t>Order85</t>
  </si>
  <si>
    <t>Order86</t>
  </si>
  <si>
    <t>Order87</t>
  </si>
  <si>
    <t>Order88</t>
  </si>
  <si>
    <t>Order89</t>
  </si>
  <si>
    <t>Order90</t>
  </si>
  <si>
    <t>Order91</t>
  </si>
  <si>
    <t>Order92</t>
  </si>
  <si>
    <t>Order93</t>
  </si>
  <si>
    <t>Order94</t>
  </si>
  <si>
    <t>Order95</t>
  </si>
  <si>
    <t>Order96</t>
  </si>
  <si>
    <t>Order97</t>
  </si>
  <si>
    <t>Order98</t>
  </si>
  <si>
    <t>Order99</t>
  </si>
  <si>
    <t>顧客代碼</t>
  </si>
  <si>
    <t>顧客</t>
  </si>
  <si>
    <t>銷貨收入</t>
  </si>
  <si>
    <t>銷貨毛利</t>
  </si>
  <si>
    <t>銷貨作業成本</t>
  </si>
  <si>
    <t>資源直歸客戶成本</t>
  </si>
  <si>
    <t>客戶利潤率</t>
  </si>
  <si>
    <t>CRM00024</t>
  </si>
  <si>
    <t>亞洲光學</t>
  </si>
  <si>
    <t>CRM00400</t>
  </si>
  <si>
    <t>東隆五金</t>
  </si>
  <si>
    <t>CRM00432</t>
  </si>
  <si>
    <t>佳能</t>
  </si>
  <si>
    <t>CRM00478</t>
  </si>
  <si>
    <t>億豐(代買士林電機)</t>
  </si>
  <si>
    <t>CRM00696</t>
  </si>
  <si>
    <t>健達生物</t>
  </si>
  <si>
    <t>CRM00860</t>
  </si>
  <si>
    <t>茂順</t>
  </si>
  <si>
    <t>CRM00888</t>
  </si>
  <si>
    <t>中壢億達薄膜</t>
  </si>
  <si>
    <t>CRM00911</t>
  </si>
  <si>
    <t>台灣鉅邁</t>
  </si>
  <si>
    <t>CRM00933</t>
  </si>
  <si>
    <t>榮助</t>
  </si>
  <si>
    <t>CRM01025</t>
  </si>
  <si>
    <t>典雅實業</t>
  </si>
  <si>
    <t>CRM05197</t>
  </si>
  <si>
    <t>聯致科技</t>
  </si>
  <si>
    <t>CRM05498</t>
  </si>
  <si>
    <t>興勤電子</t>
  </si>
  <si>
    <t>CRM08406</t>
  </si>
  <si>
    <t>永光化學</t>
  </si>
  <si>
    <t>CRM10771</t>
  </si>
  <si>
    <t>勤凱-浚博</t>
  </si>
  <si>
    <t>CRM10848</t>
  </si>
  <si>
    <t>華新科技</t>
  </si>
  <si>
    <t>CRM11533</t>
  </si>
  <si>
    <t>國巨楠梓</t>
  </si>
  <si>
    <t>CRM16719</t>
  </si>
  <si>
    <t>永源</t>
  </si>
  <si>
    <t>CRM17296</t>
  </si>
  <si>
    <t>台灣美磊</t>
  </si>
  <si>
    <t>CRM17381</t>
  </si>
  <si>
    <t>桃園-愛賽克</t>
  </si>
  <si>
    <t>CRM18521</t>
  </si>
  <si>
    <t>博士碼</t>
  </si>
  <si>
    <t>華震科技</t>
  </si>
  <si>
    <t>CRM00336</t>
  </si>
  <si>
    <t>保勝光學</t>
  </si>
  <si>
    <t>CRM00417</t>
  </si>
  <si>
    <t>佳凌科技</t>
  </si>
  <si>
    <t>CRM00684</t>
  </si>
  <si>
    <t>元琦</t>
  </si>
  <si>
    <t>CRM00783</t>
  </si>
  <si>
    <t>亞洲漢威</t>
  </si>
  <si>
    <t>CRM01052</t>
  </si>
  <si>
    <t>福懋科技</t>
  </si>
  <si>
    <t>CRM01053</t>
  </si>
  <si>
    <t>渼豐表面處理</t>
  </si>
  <si>
    <t>CRM10849</t>
  </si>
  <si>
    <t>達方電子</t>
  </si>
  <si>
    <t>CRM18081</t>
  </si>
  <si>
    <t>台灣同欣</t>
  </si>
  <si>
    <t>CRM19822</t>
  </si>
  <si>
    <t>友達</t>
  </si>
  <si>
    <t>CRM20308</t>
  </si>
  <si>
    <t>九怡工業</t>
  </si>
  <si>
    <t>CRM00512</t>
  </si>
  <si>
    <t>華映</t>
  </si>
  <si>
    <t>CRM00550</t>
  </si>
  <si>
    <t>瑞興發</t>
  </si>
  <si>
    <t>CRM08397</t>
  </si>
  <si>
    <t>奇美實業</t>
  </si>
  <si>
    <t>CRM08411</t>
  </si>
  <si>
    <t>新應材</t>
  </si>
  <si>
    <t>CRM08704</t>
  </si>
  <si>
    <t>肯美特</t>
  </si>
  <si>
    <t>上海安捷</t>
  </si>
  <si>
    <t>泉得興業</t>
  </si>
  <si>
    <t>產品代碼</t>
  </si>
  <si>
    <t>銷售數量</t>
  </si>
  <si>
    <t>平均銷貨單價</t>
  </si>
  <si>
    <t>專案成本(Project)</t>
  </si>
  <si>
    <t>平均產品單位成本</t>
  </si>
  <si>
    <t>產品利潤率</t>
  </si>
  <si>
    <t>絮凝劑 Neosorb GS-AN</t>
  </si>
  <si>
    <t>重金屬捕集劑 Plexon 3315 30KG/CAN</t>
  </si>
  <si>
    <t>重金屬捕集劑 Plexon 3315(D</t>
  </si>
  <si>
    <t>CS-718 鏡片清洗劑 20KG/PAL (JP</t>
  </si>
  <si>
    <t>CE CLEANER 550 (20KG/BAG,CN</t>
  </si>
  <si>
    <t>CE REMOVER 810 (20KG/PAL,CN</t>
  </si>
  <si>
    <t>CONTROX E162 214KG/DRUM</t>
  </si>
  <si>
    <t>CONTROX E230  250KG/DRUM</t>
  </si>
  <si>
    <t>HAKUFORM A 801  207.8KG/DRUM</t>
  </si>
  <si>
    <t>CS CLEAN 18KG/PAIL</t>
  </si>
  <si>
    <t>CONTROX B42  25KG/PAIL</t>
  </si>
  <si>
    <t>CHEMISOL 2504  18KG/PAIL</t>
  </si>
  <si>
    <t>CE800塗料剝離劑 20KG/PAIL (TW</t>
  </si>
  <si>
    <t>樹脂 HIPLAAD ER 2300 17KG/PAIL</t>
  </si>
  <si>
    <t>UV樹脂 ART RESIN UN-6060PTM 13KG/PAIL (Zn</t>
  </si>
  <si>
    <t>UV樹脂 ART RESIN UN-9200A 15KG/PAIL</t>
  </si>
  <si>
    <t>UV樹酯 ART RESIN UN-981 18KG/PAIL</t>
  </si>
  <si>
    <t>分散劑 DISPARLON DA-70350 17KG/PAIL</t>
  </si>
  <si>
    <t>分散劑 HIPLAAD ED120 17KG/PAIL</t>
  </si>
  <si>
    <t>分散劑 HIPLAAD ED154 19KG/PAIL</t>
  </si>
  <si>
    <t>分散劑 HIPLAAD ED251 17KG/PAIL</t>
  </si>
  <si>
    <t>分散劑 HIPLAAD ED400 18KG/PAIL</t>
  </si>
  <si>
    <t>分散劑 HIPLAAD ED401 3KG/PAIL</t>
  </si>
  <si>
    <t>觸變劑 DISPARLON  BB-102 16KG/PAIL</t>
  </si>
  <si>
    <t>觸變劑 DISPARLON  NS5500 16KG/PAIL</t>
  </si>
  <si>
    <t>消泡劑 DISPARLON  LAP-10 16KG/PAIL</t>
  </si>
  <si>
    <t>消泡劑 DISPARLON P-420 15KG/PAIL</t>
  </si>
  <si>
    <t>CUSTOS 625 25KG/PAIL</t>
  </si>
  <si>
    <t>CONTROX 5042  16KG/PAIL</t>
  </si>
  <si>
    <t>DECORRDAL 20-1 232.40KG/DRUM</t>
  </si>
  <si>
    <t>EMD9522 0.9KG/BATTEL</t>
  </si>
  <si>
    <t>KOHUTTEN YOZAI #150  175KG/DRUM</t>
  </si>
  <si>
    <t>矽樹脂 MCR-H07 1KG/BOTTLE</t>
  </si>
  <si>
    <t>分散劑 HIPLAAD ED116 17KG/PAIL</t>
  </si>
  <si>
    <t>分散劑 HIPLAAD ED174 18KG/PAIL</t>
  </si>
  <si>
    <t>分散劑 HIPLAAD SAD01 17KG/PAIL</t>
  </si>
  <si>
    <t>GX PROOF 6151 (20KG/PAL,CN</t>
  </si>
  <si>
    <t>產品72100012</t>
  </si>
  <si>
    <t>產品72100014</t>
  </si>
  <si>
    <t>HAKUFORM 70-69AL193.6KG/DRUM</t>
  </si>
  <si>
    <t>UV樹脂 ART RESIN UN-3320HS 18KG/PAIL</t>
  </si>
  <si>
    <t>UV樹脂 ART RESIN UN-6060PTM 18KG/PAIL</t>
  </si>
  <si>
    <t>UV樹脂 ART RESIN UN-907 18KG/PAIL</t>
  </si>
  <si>
    <t>產品87100033</t>
  </si>
  <si>
    <t>分散劑 HIPLAAD ED112 17KG/PAIL</t>
  </si>
  <si>
    <t>催化剂 K-PURE CXC-1612 1LB/PACKAGE</t>
  </si>
  <si>
    <t>事業單位代碼</t>
  </si>
  <si>
    <t>銷售作業中心</t>
  </si>
  <si>
    <t>出貨事業單位</t>
  </si>
  <si>
    <t>產品成本庫</t>
  </si>
  <si>
    <t>毛利率</t>
  </si>
  <si>
    <t>產品管理成本(Management)</t>
  </si>
  <si>
    <t>客戶服務成本(Service)</t>
  </si>
  <si>
    <t>淨利</t>
  </si>
  <si>
    <t>淨利率</t>
  </si>
  <si>
    <t>公隆化學股份有限公司:公隆化學股份有限公司</t>
  </si>
  <si>
    <t>CRM08406:永光化學</t>
  </si>
  <si>
    <t>87000189:UV樹酯 ART RESIN UN-981 18KG/PAIL</t>
  </si>
  <si>
    <t>CRM00432:佳能</t>
  </si>
  <si>
    <t>74000242:CS CLEAN 18KG/PAIL</t>
  </si>
  <si>
    <t>CRM00911:台灣鉅邁</t>
  </si>
  <si>
    <t>74000158:CONTROX E162 214KG/DRUM</t>
  </si>
  <si>
    <t>CRM00024:亞洲光學</t>
  </si>
  <si>
    <t>74000063:CE CLEANER 550 (20KG/BAG,CN</t>
  </si>
  <si>
    <t>71000576:CS-718 鏡片清洗劑 20KG/PAL (JP</t>
  </si>
  <si>
    <t>CRM00400:東隆五金</t>
  </si>
  <si>
    <t>74000162:CONTROX E230  250KG/DRUM</t>
  </si>
  <si>
    <t>CRM17296:台灣美磊</t>
  </si>
  <si>
    <t>88000513:觸變劑 DISPARLON  BB-102 16KG/PAIL</t>
  </si>
  <si>
    <t>CRM00860:茂順</t>
  </si>
  <si>
    <t>74000193:HAKUFORM A 801  207.8KG/DRUM</t>
  </si>
  <si>
    <t>CRM17381:桃園-愛賽克</t>
  </si>
  <si>
    <t>87000182:UV樹脂 ART RESIN UN-9200A 15KG/PAIL</t>
  </si>
  <si>
    <t>87000175:UV樹脂 ART RESIN UN-6060PTM 13KG/PAIL (Zn</t>
  </si>
  <si>
    <t>CRM00696:健達生物</t>
  </si>
  <si>
    <t>74000254:CE800塗料剝離劑 20KG/PAIL (TW</t>
  </si>
  <si>
    <t>CRM11533:國巨楠梓</t>
  </si>
  <si>
    <t>88000426:分散劑 HIPLAAD ED400 18KG/PAIL</t>
  </si>
  <si>
    <t>88000423:分散劑 HIPLAAD ED251 17KG/PAIL</t>
  </si>
  <si>
    <t>CRM10848:華新科技</t>
  </si>
  <si>
    <t>87000085:樹脂 HIPLAAD ER 2300 17KG/PAIL</t>
  </si>
  <si>
    <t>88000407:分散劑 DISPARLON DA-70350 17KG/PAIL</t>
  </si>
  <si>
    <t>華震科技:華震科技</t>
  </si>
  <si>
    <t>61000027:重金屬捕集劑 Plexon 3315 30KG/CAN</t>
  </si>
  <si>
    <t>61000017:絮凝劑 Neosorb GS-AN</t>
  </si>
  <si>
    <t>CRM10771:勤凱-浚博</t>
  </si>
  <si>
    <t>88000411:分散劑 HIPLAAD ED120 17KG/PAIL</t>
  </si>
  <si>
    <t>88000413:分散劑 HIPLAAD ED154 19KG/PAIL</t>
  </si>
  <si>
    <t>CRM00933:榮助</t>
  </si>
  <si>
    <t>74000245:CONTROX B42  25KG/PAIL</t>
  </si>
  <si>
    <t>CRM00888:中壢億達薄膜</t>
  </si>
  <si>
    <t>74000071:CE REMOVER 810 (20KG/PAL,CN</t>
  </si>
  <si>
    <t>CRM00478:億豐(代買士林電機)</t>
  </si>
  <si>
    <t>74000252:CHEMISOL 2504  18KG/PAIL</t>
  </si>
  <si>
    <t>CRM05498:興勤電子</t>
  </si>
  <si>
    <t>88000428:分散劑 HIPLAAD ED401 3KG/PAIL</t>
  </si>
  <si>
    <t>CRM05197:聯致科技</t>
  </si>
  <si>
    <t>88000535:消泡劑 DISPARLON  LAP-10 16KG/PAIL</t>
  </si>
  <si>
    <t>88000554:消泡劑 DISPARLON P-420 15KG/PAIL</t>
  </si>
  <si>
    <t>CRM01025:典雅實業</t>
  </si>
  <si>
    <t>61000028:重金屬捕集劑 Plexon 3315(D</t>
  </si>
  <si>
    <t>CRM16719:永源</t>
  </si>
  <si>
    <t>88000522:觸變劑 DISPARLON  NS5500 16KG/PAIL</t>
  </si>
  <si>
    <t>CRM18521:博士碼</t>
  </si>
  <si>
    <t>CRM20308:九怡工業</t>
  </si>
  <si>
    <t>CRM01053:渼豐表面處理</t>
  </si>
  <si>
    <t>88000409:分散劑 HIPLAAD ED116 17KG/PAIL</t>
  </si>
  <si>
    <t>CRM18081:台灣同欣</t>
  </si>
  <si>
    <t>87000060:矽樹脂 MCR-H07 1KG/BOTTLE</t>
  </si>
  <si>
    <t>88000418:分散劑 HIPLAAD ED174 18KG/PAIL</t>
  </si>
  <si>
    <t>CRM10849:達方電子</t>
  </si>
  <si>
    <t>CRM00684:元琦</t>
  </si>
  <si>
    <t>74000150:CONTROX 5042  16KG/PAIL</t>
  </si>
  <si>
    <t>CRM01052:福懋科技</t>
  </si>
  <si>
    <t>88000435:分散劑 HIPLAAD SAD01 17KG/PAIL</t>
  </si>
  <si>
    <t>CRM00417:佳凌科技</t>
  </si>
  <si>
    <t>CRM00336:保勝光學</t>
  </si>
  <si>
    <t>74000253:KOHUTTEN YOZAI #150  175KG/DRUM</t>
  </si>
  <si>
    <t>CRM00783:亞洲漢威</t>
  </si>
  <si>
    <t>74000246:DECORRDAL 20-1 232.40KG/DRUM</t>
  </si>
  <si>
    <t>72000045:CUSTOS 625 25KG/PAIL</t>
  </si>
  <si>
    <t>CRM19822:友達</t>
  </si>
  <si>
    <t>74000251:EMD9522 0.9KG/BATTEL</t>
  </si>
  <si>
    <t>CRM00512:華映</t>
  </si>
  <si>
    <t>74000188:HAKUFORM 70-69AL193.6KG/DRUM</t>
  </si>
  <si>
    <t>上海安捷:上海安捷</t>
  </si>
  <si>
    <t>72100012:產品72100012</t>
  </si>
  <si>
    <t>72100014:產品72100014</t>
  </si>
  <si>
    <t>泉得興業:泉得興業</t>
  </si>
  <si>
    <t>72000019:GX PROOF 6151 (20KG/PAL,CN</t>
  </si>
  <si>
    <t>88000408:分散劑 HIPLAAD ED112 17KG/PAIL</t>
  </si>
  <si>
    <t>CRM00550:瑞興發</t>
  </si>
  <si>
    <t>CRM08397:奇美實業</t>
  </si>
  <si>
    <t>87000167:UV樹脂 ART RESIN UN-3320HS 18KG/PAIL</t>
  </si>
  <si>
    <t>CRM08704:肯美特</t>
  </si>
  <si>
    <t>87100033:產品87100033</t>
  </si>
  <si>
    <t>87000174:UV樹脂 ART RESIN UN-6060PTM 18KG/PAIL</t>
  </si>
  <si>
    <t>CRM08411:新應材</t>
  </si>
  <si>
    <t>88100060:催化剂 K-PURE CXC-1612 1LB/PACKAGE</t>
  </si>
  <si>
    <t>87000181:UV樹脂 ART RESIN UN-907 18KG/PAIL</t>
  </si>
  <si>
    <t>料號代碼</t>
  </si>
  <si>
    <t>期初數量</t>
  </si>
  <si>
    <t>期初單價</t>
  </si>
  <si>
    <t>期初金額</t>
  </si>
  <si>
    <t>外購數量</t>
  </si>
  <si>
    <t>外購單價</t>
  </si>
  <si>
    <t>外購金額</t>
  </si>
  <si>
    <t>採購及製造成本</t>
  </si>
  <si>
    <t>當期生產單位成本</t>
  </si>
  <si>
    <t>可供銷售存貨數量</t>
  </si>
  <si>
    <t>可供銷售存貨單價</t>
  </si>
  <si>
    <t>可供銷售存貨金額</t>
  </si>
  <si>
    <t>當期銷售數量</t>
  </si>
  <si>
    <t>當期銷售單價</t>
  </si>
  <si>
    <t>當期銷售金額</t>
  </si>
  <si>
    <t>期末存貨數量</t>
  </si>
  <si>
    <t>期末存貨單價</t>
  </si>
  <si>
    <t>期末存貨金額</t>
  </si>
  <si>
    <t>列標籤</t>
  </si>
  <si>
    <t>總計</t>
  </si>
  <si>
    <t>業務工程師</t>
    <phoneticPr fontId="1" type="noConversion"/>
  </si>
  <si>
    <t>Ian</t>
    <phoneticPr fontId="1" type="noConversion"/>
  </si>
  <si>
    <t>Ian</t>
    <phoneticPr fontId="1" type="noConversion"/>
  </si>
  <si>
    <t>Vincent</t>
    <phoneticPr fontId="1" type="noConversion"/>
  </si>
  <si>
    <t>Vincent</t>
    <phoneticPr fontId="1" type="noConversion"/>
  </si>
  <si>
    <t>Louis</t>
    <phoneticPr fontId="1" type="noConversion"/>
  </si>
  <si>
    <t>Louis</t>
    <phoneticPr fontId="1" type="noConversion"/>
  </si>
  <si>
    <t>Louis</t>
    <phoneticPr fontId="1" type="noConversion"/>
  </si>
  <si>
    <t>Louis</t>
    <phoneticPr fontId="1" type="noConversion"/>
  </si>
  <si>
    <t>Chris</t>
    <phoneticPr fontId="1" type="noConversion"/>
  </si>
  <si>
    <t>Clapton</t>
    <phoneticPr fontId="1" type="noConversion"/>
  </si>
  <si>
    <t>加總 - 金額</t>
  </si>
  <si>
    <t>欄標籤</t>
  </si>
  <si>
    <t>實際產能(分鐘)</t>
    <phoneticPr fontId="1" type="noConversion"/>
  </si>
  <si>
    <t>加總 - 實際產能(分鐘)</t>
  </si>
  <si>
    <t>(全部)</t>
  </si>
  <si>
    <t>加總 - 作業中心動因費率</t>
  </si>
  <si>
    <t>加總 - 正常產能(時間)</t>
  </si>
  <si>
    <t>加總 - 實際產能(時間)</t>
  </si>
  <si>
    <t>加總 - 剩餘(超用)產能時間</t>
  </si>
  <si>
    <t>加總 - 正常產能(時間) 的加總</t>
  </si>
  <si>
    <t>加總 - 實際產能(時間) 的加總</t>
  </si>
  <si>
    <t>加總 - 剩餘(超用)產能時間 的加總</t>
  </si>
  <si>
    <t>加總 - 作業動因值</t>
  </si>
  <si>
    <t>加總 - 數量</t>
  </si>
  <si>
    <t>加總 - 銷貨收入</t>
  </si>
  <si>
    <t>加總 - 產品成本庫</t>
  </si>
  <si>
    <t>加總 - 毛利率</t>
  </si>
  <si>
    <t>加總 - 專案成本(Project)</t>
  </si>
  <si>
    <t>加總 - 總銷貨成本</t>
  </si>
  <si>
    <t>加總 - 淨利</t>
  </si>
  <si>
    <t>淨利率</t>
    <phoneticPr fontId="1" type="noConversion"/>
  </si>
  <si>
    <t>Column Labels</t>
  </si>
  <si>
    <t>Total 加總 - 實際產能(分鐘)</t>
  </si>
  <si>
    <t>Total 加總 - 金額</t>
  </si>
  <si>
    <t>Row Labels</t>
  </si>
  <si>
    <t>Grand Total</t>
  </si>
  <si>
    <t>(All)</t>
  </si>
  <si>
    <r>
      <t>8</t>
    </r>
    <r>
      <rPr>
        <sz val="10"/>
        <rFont val="細明體"/>
        <family val="3"/>
        <charset val="136"/>
      </rPr>
      <t>種作業</t>
    </r>
    <phoneticPr fontId="1" type="noConversion"/>
  </si>
  <si>
    <r>
      <t>3</t>
    </r>
    <r>
      <rPr>
        <sz val="10"/>
        <rFont val="細明體"/>
        <family val="3"/>
        <charset val="136"/>
      </rPr>
      <t>月</t>
    </r>
    <phoneticPr fontId="1" type="noConversion"/>
  </si>
  <si>
    <r>
      <t>4</t>
    </r>
    <r>
      <rPr>
        <sz val="10"/>
        <rFont val="細明體"/>
        <family val="3"/>
        <charset val="136"/>
      </rPr>
      <t>月</t>
    </r>
    <phoneticPr fontId="1" type="noConversion"/>
  </si>
  <si>
    <r>
      <t>5</t>
    </r>
    <r>
      <rPr>
        <sz val="10"/>
        <rFont val="細明體"/>
        <family val="3"/>
        <charset val="136"/>
      </rPr>
      <t>月</t>
    </r>
    <phoneticPr fontId="1" type="noConversion"/>
  </si>
  <si>
    <r>
      <t>7</t>
    </r>
    <r>
      <rPr>
        <sz val="10"/>
        <rFont val="細明體"/>
        <family val="3"/>
        <charset val="136"/>
      </rPr>
      <t>種作業</t>
    </r>
    <phoneticPr fontId="1" type="noConversion"/>
  </si>
  <si>
    <r>
      <t>9</t>
    </r>
    <r>
      <rPr>
        <sz val="10"/>
        <rFont val="細明體"/>
        <family val="3"/>
        <charset val="136"/>
      </rPr>
      <t>種作業</t>
    </r>
    <phoneticPr fontId="1" type="noConversion"/>
  </si>
  <si>
    <t>市場動態專案追蹤</t>
    <phoneticPr fontId="1" type="noConversion"/>
  </si>
  <si>
    <r>
      <t xml:space="preserve">louis </t>
    </r>
    <r>
      <rPr>
        <sz val="10"/>
        <rFont val="細明體"/>
        <family val="3"/>
        <charset val="136"/>
      </rPr>
      <t>正在進行的專案有</t>
    </r>
    <r>
      <rPr>
        <sz val="10"/>
        <rFont val="Tahoma"/>
        <family val="2"/>
      </rPr>
      <t>44</t>
    </r>
    <r>
      <rPr>
        <sz val="10"/>
        <rFont val="細明體"/>
        <family val="3"/>
        <charset val="136"/>
      </rPr>
      <t>個</t>
    </r>
    <phoneticPr fontId="1" type="noConversion"/>
  </si>
  <si>
    <r>
      <t>c</t>
    </r>
    <r>
      <rPr>
        <sz val="10"/>
        <rFont val="Tahoma"/>
        <family val="2"/>
      </rPr>
      <t xml:space="preserve">hris </t>
    </r>
    <r>
      <rPr>
        <sz val="10"/>
        <rFont val="細明體"/>
        <family val="3"/>
        <charset val="136"/>
      </rPr>
      <t>正在進行的專案有41個</t>
    </r>
    <phoneticPr fontId="1" type="noConversion"/>
  </si>
  <si>
    <r>
      <rPr>
        <sz val="10"/>
        <rFont val="Tahoma"/>
        <family val="2"/>
      </rPr>
      <t xml:space="preserve">Ian </t>
    </r>
    <r>
      <rPr>
        <sz val="10"/>
        <rFont val="細明體"/>
        <family val="3"/>
        <charset val="136"/>
      </rPr>
      <t>正在進行的專案有</t>
    </r>
    <r>
      <rPr>
        <sz val="10"/>
        <rFont val="Tahoma"/>
        <family val="2"/>
      </rPr>
      <t>47</t>
    </r>
    <r>
      <rPr>
        <sz val="10"/>
        <rFont val="細明體"/>
        <family val="3"/>
        <charset val="136"/>
      </rPr>
      <t>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</si>
</sst>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\ #,##0\ \);_(* &quot;-&quot;??_);_(\ @_ \)"/>
    <numFmt numFmtId="177" formatCode="_-* #,##0_-;\-* #,##0_-;_-* &quot;-&quot;??_-;_-@_-"/>
    <numFmt numFmtId="178" formatCode="_(* #,##0_);_(* \(#,##0\);_(* &quot;-&quot;??_);_(@_)"/>
  </numFmts>
  <fonts count="7" x14ac:knownFonts="1">
    <font>
      <sz val="10"/>
      <name val="Tahoma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10"/>
      <name val="Tahoma"/>
    </font>
    <font>
      <sz val="10"/>
      <name val="細明體"/>
      <family val="3"/>
      <charset val="136"/>
    </font>
    <font>
      <sz val="10"/>
      <name val="Tahoma"/>
      <family val="2"/>
    </font>
    <font>
      <sz val="10"/>
      <name val="Tahoma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pivotButton="1" applyBorder="1"/>
    <xf numFmtId="0" fontId="0" fillId="0" borderId="6" xfId="0" applyBorder="1"/>
    <xf numFmtId="0" fontId="0" fillId="0" borderId="2" xfId="0" applyBorder="1" applyAlignment="1">
      <alignment horizontal="left"/>
    </xf>
    <xf numFmtId="0" fontId="0" fillId="0" borderId="6" xfId="0" applyNumberFormat="1" applyBorder="1"/>
    <xf numFmtId="0" fontId="0" fillId="0" borderId="5" xfId="0" applyBorder="1" applyAlignment="1">
      <alignment horizontal="left" indent="1"/>
    </xf>
    <xf numFmtId="0" fontId="0" fillId="0" borderId="7" xfId="0" applyNumberFormat="1" applyBorder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NumberFormat="1" applyBorder="1"/>
    <xf numFmtId="0" fontId="0" fillId="0" borderId="8" xfId="0" pivotButton="1" applyBorder="1"/>
    <xf numFmtId="0" fontId="0" fillId="0" borderId="8" xfId="0" applyBorder="1"/>
    <xf numFmtId="0" fontId="0" fillId="0" borderId="10" xfId="0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9" xfId="0" applyNumberFormat="1" applyBorder="1"/>
    <xf numFmtId="0" fontId="0" fillId="0" borderId="11" xfId="0" applyNumberFormat="1" applyBorder="1"/>
    <xf numFmtId="177" fontId="0" fillId="0" borderId="2" xfId="0" applyNumberFormat="1" applyBorder="1"/>
    <xf numFmtId="177" fontId="0" fillId="0" borderId="10" xfId="0" applyNumberFormat="1" applyBorder="1"/>
    <xf numFmtId="177" fontId="0" fillId="0" borderId="6" xfId="0" applyNumberFormat="1" applyBorder="1"/>
    <xf numFmtId="177" fontId="0" fillId="0" borderId="0" xfId="0" applyNumberFormat="1"/>
    <xf numFmtId="177" fontId="0" fillId="0" borderId="9" xfId="0" applyNumberFormat="1" applyBorder="1"/>
    <xf numFmtId="177" fontId="0" fillId="0" borderId="11" xfId="0" applyNumberFormat="1" applyBorder="1"/>
    <xf numFmtId="177" fontId="0" fillId="0" borderId="8" xfId="0" applyNumberFormat="1" applyBorder="1"/>
    <xf numFmtId="0" fontId="0" fillId="0" borderId="5" xfId="0" applyNumberFormat="1" applyBorder="1"/>
    <xf numFmtId="0" fontId="0" fillId="0" borderId="1" xfId="0" applyNumberFormat="1" applyBorder="1"/>
    <xf numFmtId="177" fontId="0" fillId="0" borderId="1" xfId="0" applyNumberFormat="1" applyBorder="1"/>
    <xf numFmtId="0" fontId="0" fillId="0" borderId="12" xfId="0" applyBorder="1"/>
    <xf numFmtId="0" fontId="0" fillId="0" borderId="7" xfId="0" applyBorder="1"/>
    <xf numFmtId="0" fontId="0" fillId="2" borderId="8" xfId="0" applyFill="1" applyBorder="1"/>
    <xf numFmtId="0" fontId="0" fillId="0" borderId="2" xfId="0" applyBorder="1" applyAlignment="1">
      <alignment horizontal="left" indent="1"/>
    </xf>
    <xf numFmtId="0" fontId="0" fillId="0" borderId="0" xfId="0" applyAlignment="1">
      <alignment wrapText="1"/>
    </xf>
    <xf numFmtId="177" fontId="0" fillId="0" borderId="12" xfId="0" applyNumberFormat="1" applyBorder="1"/>
    <xf numFmtId="177" fontId="0" fillId="0" borderId="13" xfId="0" applyNumberFormat="1" applyBorder="1"/>
    <xf numFmtId="10" fontId="0" fillId="0" borderId="0" xfId="1" applyNumberFormat="1" applyFont="1" applyAlignment="1"/>
    <xf numFmtId="0" fontId="4" fillId="0" borderId="0" xfId="0" applyFont="1"/>
    <xf numFmtId="0" fontId="0" fillId="0" borderId="14" xfId="0" applyBorder="1"/>
    <xf numFmtId="0" fontId="0" fillId="0" borderId="14" xfId="0" pivotButton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indent="1"/>
    </xf>
    <xf numFmtId="0" fontId="0" fillId="0" borderId="21" xfId="0" applyBorder="1" applyAlignment="1">
      <alignment horizontal="left"/>
    </xf>
    <xf numFmtId="0" fontId="0" fillId="2" borderId="14" xfId="0" applyFill="1" applyBorder="1" applyAlignment="1">
      <alignment horizontal="left"/>
    </xf>
    <xf numFmtId="176" fontId="0" fillId="2" borderId="14" xfId="0" applyNumberFormat="1" applyFill="1" applyBorder="1"/>
    <xf numFmtId="176" fontId="0" fillId="2" borderId="19" xfId="0" applyNumberFormat="1" applyFill="1" applyBorder="1"/>
    <xf numFmtId="176" fontId="0" fillId="2" borderId="18" xfId="0" applyNumberFormat="1" applyFill="1" applyBorder="1"/>
    <xf numFmtId="176" fontId="0" fillId="0" borderId="14" xfId="0" applyNumberFormat="1" applyBorder="1"/>
    <xf numFmtId="176" fontId="0" fillId="0" borderId="19" xfId="0" applyNumberFormat="1" applyBorder="1"/>
    <xf numFmtId="176" fontId="0" fillId="0" borderId="18" xfId="0" applyNumberFormat="1" applyBorder="1"/>
    <xf numFmtId="176" fontId="0" fillId="0" borderId="21" xfId="0" applyNumberFormat="1" applyBorder="1"/>
    <xf numFmtId="176" fontId="0" fillId="0" borderId="22" xfId="0" applyNumberFormat="1" applyBorder="1"/>
    <xf numFmtId="176" fontId="0" fillId="0" borderId="23" xfId="0" applyNumberFormat="1" applyBorder="1"/>
    <xf numFmtId="0" fontId="0" fillId="0" borderId="24" xfId="0" applyBorder="1"/>
    <xf numFmtId="177" fontId="0" fillId="0" borderId="14" xfId="0" applyNumberFormat="1" applyBorder="1"/>
    <xf numFmtId="177" fontId="0" fillId="0" borderId="19" xfId="0" applyNumberFormat="1" applyBorder="1"/>
    <xf numFmtId="177" fontId="0" fillId="0" borderId="24" xfId="0" applyNumberFormat="1" applyBorder="1"/>
    <xf numFmtId="0" fontId="0" fillId="0" borderId="17" xfId="0" applyBorder="1" applyAlignment="1">
      <alignment horizontal="left"/>
    </xf>
    <xf numFmtId="177" fontId="0" fillId="0" borderId="17" xfId="0" applyNumberFormat="1" applyBorder="1"/>
    <xf numFmtId="177" fontId="0" fillId="0" borderId="25" xfId="0" applyNumberFormat="1" applyBorder="1"/>
    <xf numFmtId="177" fontId="0" fillId="0" borderId="21" xfId="0" applyNumberFormat="1" applyBorder="1"/>
    <xf numFmtId="177" fontId="0" fillId="0" borderId="22" xfId="0" applyNumberFormat="1" applyBorder="1"/>
    <xf numFmtId="177" fontId="0" fillId="0" borderId="26" xfId="0" applyNumberFormat="1" applyBorder="1"/>
    <xf numFmtId="0" fontId="0" fillId="0" borderId="23" xfId="0" pivotButton="1" applyBorder="1"/>
    <xf numFmtId="0" fontId="0" fillId="0" borderId="23" xfId="0" applyBorder="1"/>
    <xf numFmtId="0" fontId="0" fillId="0" borderId="14" xfId="0" pivotButton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4" xfId="0" applyBorder="1" applyAlignment="1">
      <alignment wrapText="1"/>
    </xf>
    <xf numFmtId="0" fontId="0" fillId="2" borderId="23" xfId="0" applyFill="1" applyBorder="1"/>
    <xf numFmtId="178" fontId="0" fillId="0" borderId="24" xfId="0" applyNumberFormat="1" applyBorder="1"/>
    <xf numFmtId="178" fontId="0" fillId="0" borderId="25" xfId="0" applyNumberFormat="1" applyBorder="1"/>
    <xf numFmtId="178" fontId="0" fillId="0" borderId="26" xfId="0" applyNumberFormat="1" applyBorder="1"/>
    <xf numFmtId="177" fontId="0" fillId="0" borderId="18" xfId="0" applyNumberFormat="1" applyBorder="1"/>
    <xf numFmtId="0" fontId="0" fillId="0" borderId="27" xfId="0" applyBorder="1"/>
    <xf numFmtId="177" fontId="0" fillId="0" borderId="27" xfId="0" applyNumberFormat="1" applyBorder="1"/>
    <xf numFmtId="177" fontId="0" fillId="0" borderId="28" xfId="0" applyNumberFormat="1" applyBorder="1"/>
    <xf numFmtId="0" fontId="0" fillId="0" borderId="21" xfId="0" applyBorder="1"/>
    <xf numFmtId="0" fontId="0" fillId="0" borderId="29" xfId="0" applyBorder="1"/>
    <xf numFmtId="177" fontId="0" fillId="0" borderId="23" xfId="0" applyNumberFormat="1" applyBorder="1"/>
    <xf numFmtId="0" fontId="0" fillId="2" borderId="27" xfId="0" applyFill="1" applyBorder="1"/>
    <xf numFmtId="177" fontId="0" fillId="2" borderId="27" xfId="0" applyNumberFormat="1" applyFill="1" applyBorder="1"/>
    <xf numFmtId="177" fontId="0" fillId="2" borderId="0" xfId="0" applyNumberFormat="1" applyFill="1"/>
    <xf numFmtId="0" fontId="6" fillId="0" borderId="0" xfId="0" applyFont="1"/>
    <xf numFmtId="0" fontId="2" fillId="2" borderId="0" xfId="0" applyFont="1" applyFill="1"/>
    <xf numFmtId="0" fontId="0" fillId="2" borderId="14" xfId="0" applyFill="1" applyBorder="1"/>
    <xf numFmtId="177" fontId="0" fillId="2" borderId="14" xfId="0" applyNumberFormat="1" applyFill="1" applyBorder="1"/>
    <xf numFmtId="177" fontId="0" fillId="2" borderId="19" xfId="0" applyNumberFormat="1" applyFill="1" applyBorder="1"/>
    <xf numFmtId="177" fontId="0" fillId="2" borderId="18" xfId="0" applyNumberFormat="1" applyFill="1" applyBorder="1"/>
    <xf numFmtId="0" fontId="5" fillId="0" borderId="0" xfId="0" applyFont="1"/>
    <xf numFmtId="178" fontId="0" fillId="0" borderId="2" xfId="0" applyNumberFormat="1" applyBorder="1"/>
    <xf numFmtId="178" fontId="0" fillId="0" borderId="10" xfId="0" applyNumberFormat="1" applyBorder="1"/>
    <xf numFmtId="178" fontId="0" fillId="0" borderId="6" xfId="0" applyNumberFormat="1" applyBorder="1"/>
    <xf numFmtId="178" fontId="0" fillId="0" borderId="5" xfId="0" applyNumberFormat="1" applyBorder="1"/>
    <xf numFmtId="178" fontId="0" fillId="0" borderId="1" xfId="0" applyNumberFormat="1" applyBorder="1"/>
    <xf numFmtId="178" fontId="0" fillId="0" borderId="7" xfId="0" applyNumberFormat="1" applyBorder="1"/>
    <xf numFmtId="178" fontId="0" fillId="0" borderId="9" xfId="0" applyNumberFormat="1" applyBorder="1"/>
    <xf numFmtId="178" fontId="0" fillId="0" borderId="11" xfId="0" applyNumberFormat="1" applyBorder="1"/>
    <xf numFmtId="178" fontId="0" fillId="0" borderId="8" xfId="0" applyNumberFormat="1" applyBorder="1"/>
    <xf numFmtId="0" fontId="0" fillId="0" borderId="17" xfId="0" applyBorder="1" applyAlignment="1">
      <alignment horizontal="left" indent="1"/>
    </xf>
    <xf numFmtId="177" fontId="0" fillId="0" borderId="20" xfId="0" applyNumberFormat="1" applyBorder="1"/>
    <xf numFmtId="0" fontId="0" fillId="0" borderId="14" xfId="0" applyBorder="1" applyAlignment="1">
      <alignment horizontal="left" indent="2"/>
    </xf>
    <xf numFmtId="176" fontId="0" fillId="0" borderId="17" xfId="0" applyNumberFormat="1" applyBorder="1"/>
    <xf numFmtId="176" fontId="0" fillId="0" borderId="1" xfId="0" applyNumberFormat="1" applyBorder="1"/>
    <xf numFmtId="176" fontId="0" fillId="0" borderId="20" xfId="0" applyNumberFormat="1" applyBorder="1"/>
  </cellXfs>
  <cellStyles count="2">
    <cellStyle name="一般" xfId="0" builtinId="0"/>
    <cellStyle name="百分比" xfId="1" builtinId="5"/>
  </cellStyles>
  <dxfs count="30">
    <dxf>
      <numFmt numFmtId="177" formatCode="_-* #,##0_-;\-* #,##0_-;_-* &quot;-&quot;??_-;_-@_-"/>
    </dxf>
    <dxf>
      <numFmt numFmtId="177" formatCode="_-* #,##0_-;\-* #,##0_-;_-* &quot;-&quot;??_-;_-@_-"/>
    </dxf>
    <dxf>
      <numFmt numFmtId="178" formatCode="_(* #,##0_);_(* \(#,##0\);_(* &quot;-&quot;??_);_(@_)"/>
    </dxf>
    <dxf>
      <fill>
        <patternFill patternType="solid">
          <bgColor rgb="FFFFFF00"/>
        </patternFill>
      </fill>
    </dxf>
    <dxf>
      <numFmt numFmtId="177" formatCode="_-* #,##0_-;\-* #,##0_-;_-* &quot;-&quot;??_-;_-@_-"/>
    </dxf>
    <dxf>
      <alignment wrapText="1" readingOrder="0"/>
    </dxf>
    <dxf>
      <alignment wrapText="1" readingOrder="0"/>
    </dxf>
    <dxf>
      <numFmt numFmtId="176" formatCode="_(* #,##0_);_(* \(\ #,##0\ \);_(* &quot;-&quot;??_);_(\ @_ \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8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7" formatCode="_-* #,##0_-;\-* #,##0_-;_-* &quot;-&quot;??_-;_-@_-"/>
    </dxf>
    <dxf>
      <numFmt numFmtId="177" formatCode="_-* #,##0_-;\-* #,##0_-;_-* &quot;-&quot;??_-;_-@_-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3307.75163564815" createdVersion="5" refreshedVersion="5" minRefreshableVersion="3" recordCount="568" xr:uid="{00000000-000A-0000-FFFF-FFFF00000000}">
  <cacheSource type="worksheet">
    <worksheetSource ref="A1:Q569" sheet="Project"/>
  </cacheSource>
  <cacheFields count="17">
    <cacheField name="年" numFmtId="0">
      <sharedItems containsSemiMixedTypes="0" containsString="0" containsNumber="1" containsInteger="1" minValue="2018" maxValue="2018"/>
    </cacheField>
    <cacheField name="月份" numFmtId="0">
      <sharedItems containsSemiMixedTypes="0" containsString="0" containsNumber="1" containsInteger="1" minValue="3" maxValue="5" count="3">
        <n v="3"/>
        <n v="4"/>
        <n v="5"/>
      </sharedItems>
    </cacheField>
    <cacheField name="期間資料版本" numFmtId="0">
      <sharedItems/>
    </cacheField>
    <cacheField name="公司" numFmtId="0">
      <sharedItems/>
    </cacheField>
    <cacheField name="事業單位" numFmtId="0">
      <sharedItems/>
    </cacheField>
    <cacheField name="專案代碼" numFmtId="0">
      <sharedItems/>
    </cacheField>
    <cacheField name="專案名稱" numFmtId="0">
      <sharedItems count="139">
        <s v="專案-未分析顧客"/>
        <s v="專案-健達生物"/>
        <s v="專案-台灣鉅邁"/>
        <s v="專案-興勤電子"/>
        <s v="專案-華新科技"/>
        <s v="專案-國巨楠梓"/>
        <s v="專案-瑞興發"/>
        <s v="專案-亞洲漢威"/>
        <s v="專案-大勤化成"/>
        <s v="專案-華邦電"/>
        <s v="專案-欣銓科技"/>
        <s v="專案-台星科"/>
        <s v="專案-福懋科技"/>
        <s v="專案-台弟工業"/>
        <s v="專案-群浤科技"/>
        <s v="專案-巨品表面"/>
        <s v="專案-旭德科技"/>
        <s v="專案-崇越石英製造廠"/>
        <s v="專案-南豐工業"/>
        <s v="專案-矽格"/>
        <s v="專案-興展企業"/>
        <s v="專案-欣旻工業"/>
        <s v="專案-璟德電子"/>
        <s v="專案-萬能科大"/>
        <s v="專案-辛耘企業-二廠"/>
        <s v="專案-正修科大"/>
        <s v="專案-捷暘"/>
        <s v="專案-台灣積水原聚"/>
        <s v="專案-長春人造樹脂"/>
        <s v="專案-kelly實驗室"/>
        <s v="專案-恆耀工業"/>
        <s v="專案-other customer"/>
        <s v="專案-工研院"/>
        <s v="專案-致嘉科技"/>
        <s v="專案-奇美實業"/>
        <s v="專案-新應材"/>
        <s v="專案-凱耀科技"/>
        <s v="專案-泓瀚科技"/>
        <s v="專案-勤凱-浚博"/>
        <s v="專案-道登電子"/>
        <s v="專案-優陽科技"/>
        <s v="專案-佳邦"/>
        <s v="專案-苗栗-友晁"/>
        <s v="專案-台灣得力"/>
        <s v="專案-永源"/>
        <s v="專案-新竹-錸德"/>
        <s v="專案-新竹-國碩"/>
        <s v="專案-台灣美磊"/>
        <s v="專案-昇陽光電"/>
        <s v="專案-瞬茂"/>
        <s v="專案-崇越科技"/>
        <s v="專案-台灣艾華電子"/>
        <s v="專案-廣達電腦"/>
        <s v="專案-永光三廠"/>
        <s v="專案-愛迪克"/>
        <s v="專案-台虹科技"/>
        <s v="專案-矽恩特殊材料"/>
        <s v="專案-友輝光電"/>
        <s v="專案-綠固"/>
        <s v="專案-瑞化"/>
        <s v="專案-達興"/>
        <s v="專案-長春-乾膜"/>
        <s v="專案-大格化學"/>
        <s v="專案-川裕工業"/>
        <s v="專案-洤順科技"/>
        <s v="專案-新竹互力"/>
        <s v="專案-桃園-宸鴻"/>
        <s v="專案-竹北凱鍶"/>
        <s v="專案-山鶯欣興電子"/>
        <s v="專案-新竹光聚合"/>
        <s v="專案-樹林台電研究所"/>
        <s v="專案-林口南亞科"/>
        <s v="專案-林口穩懋"/>
        <s v="專案-創毅國際"/>
        <s v="專案-台灣奈晶"/>
        <s v="專案-永光二廠"/>
        <s v="專案-東隆五金"/>
        <s v="專案-華震科技"/>
        <s v="專案-EMERSON"/>
        <s v="專案-桃園-愛賽克"/>
        <s v="專案-友達"/>
        <s v="專案-華泰電子"/>
        <s v="專案-渼豐表面處理"/>
        <s v="專案-大發金屬"/>
        <s v="專案-玉美-生物科技"/>
        <s v="專案-洗旺國際"/>
        <s v="專案-日月展金屬"/>
        <s v="專案-昌旺汽材"/>
        <s v="專案-彰陽工業"/>
        <s v="專案-杰昌金屬"/>
        <s v="專案-哈伯精密"/>
        <s v="專案-雷電光能"/>
        <s v="專案-普聯國際"/>
        <s v="專案-台灣京濱化"/>
        <s v="專案-盛復工業-大肚廠"/>
        <s v="專案-朝宇航太科技二廠"/>
        <s v="專案-高雄李長榮化工"/>
        <s v="專案-九怡工業"/>
        <s v="專案-世豐螺絲"/>
        <s v="專案-聯致科技"/>
        <s v="專案-肯美特"/>
        <s v="專案-冠品"/>
        <s v="專案-達方電子"/>
        <s v="專案-光洋科"/>
        <s v="專案-台灣-杜邦"/>
        <s v="專案-達邁"/>
        <s v="專案-永勝光學"/>
        <s v="專案-賀力氏"/>
        <s v="專案-臻鼎"/>
        <s v="專案-覆晶光電"/>
        <s v="專案-永光化學"/>
        <s v="專案-肥特補"/>
        <s v="專案-永明泰"/>
        <s v="專案-遠呈科技"/>
        <s v="專案-新北市-富致科技"/>
        <s v="專案-台灣同欣"/>
        <s v="專案-群創_竹南"/>
        <s v="專案-三德"/>
        <s v="專案-微鑽石"/>
        <s v="專案-上海安捷"/>
        <s v="專案-典雅實業"/>
        <s v="專案-伍德邁"/>
        <s v="專案-榮聰精密"/>
        <s v="專案-善存科技"/>
        <s v="專案-福特六和"/>
        <s v="專案-安炬"/>
        <s v="專案-志廣光電"/>
        <s v="專案-汐止研究所(公隆化學)"/>
        <s v="專案-恆橋"/>
        <s v="專案-黑德爾"/>
        <s v="專案-億光"/>
        <s v="專案-台灣-捷能材料"/>
        <s v="專案-群越"/>
        <s v="專案-金順億"/>
        <s v="專案-天成"/>
        <s v="專案-忠信汽車"/>
        <s v="專案-和蓮光電"/>
        <s v="專案-晶呈科技"/>
        <s v="專案-台灣優瑪"/>
      </sharedItems>
    </cacheField>
    <cacheField name="價值標的類型" numFmtId="0">
      <sharedItems/>
    </cacheField>
    <cacheField name="類型" numFmtId="0">
      <sharedItems/>
    </cacheField>
    <cacheField name="作業中心" numFmtId="0">
      <sharedItems count="3">
        <s v="NASL10:新事業開發部"/>
        <s v="NASL11:製程化學課"/>
        <s v="NASL12:電子化學課"/>
      </sharedItems>
    </cacheField>
    <cacheField name="資源/作業" numFmtId="0">
      <sharedItems containsBlank="1"/>
    </cacheField>
    <cacheField name="代碼" numFmtId="0">
      <sharedItems containsBlank="1" count="23">
        <s v="R05:其他費用"/>
        <s v="R03:交際費用"/>
        <s v="R04:樣品費"/>
        <s v="A05:拜訪新客戶"/>
        <s v="A07:推薦新產品"/>
        <s v="A09:偕同技術服務"/>
        <s v="A11:取樣分析"/>
        <s v="A01:關係維護"/>
        <s v="A02:市場動態"/>
        <s v="A18:Kelly內部事項"/>
        <s v="A04:專案追蹤"/>
        <s v="A10:偕同原廠拜訪"/>
        <s v="A03:爭取新專案"/>
        <s v="A12:客服諮詢"/>
        <s v="A08:新線(產品)追蹤"/>
        <m/>
        <s v="A19:目標客戶拜訪"/>
        <s v="A20:合作夥伴拜訪"/>
        <s v="A22:帳款收回"/>
        <s v="A13:客訴處理"/>
        <s v="A17:製程改善"/>
        <s v="A06:小批量試產"/>
        <s v="A16:試樣"/>
      </sharedItems>
    </cacheField>
    <cacheField name="金額" numFmtId="0">
      <sharedItems containsSemiMixedTypes="0" containsString="0" containsNumber="1" minValue="-36131.777777777897" maxValue="361317.77777777781"/>
    </cacheField>
    <cacheField name="實際產能(分鐘)" numFmtId="0">
      <sharedItems containsString="0" containsBlank="1" containsNumber="1" minValue="0" maxValue="9600.0000000396249"/>
    </cacheField>
    <cacheField name="產品" numFmtId="0">
      <sharedItems containsBlank="1"/>
    </cacheField>
    <cacheField name="數量" numFmtId="0">
      <sharedItems containsString="0" containsBlank="1" containsNumber="1" minValue="1" maxValue="500"/>
    </cacheField>
    <cacheField name="業務工程師" numFmtId="0">
      <sharedItems containsBlank="1" count="6">
        <m/>
        <s v="Vincent"/>
        <s v="Chris"/>
        <s v="Ian"/>
        <s v="Clapton"/>
        <s v="Lou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" refreshedDate="43307.988606828701" createdVersion="4" refreshedVersion="4" minRefreshableVersion="3" recordCount="53" xr:uid="{00000000-000A-0000-FFFF-FFFF07000000}">
  <cacheSource type="worksheet">
    <worksheetSource ref="A1:U54" sheet="Resource"/>
  </cacheSource>
  <cacheFields count="21">
    <cacheField name="年" numFmtId="0">
      <sharedItems containsSemiMixedTypes="0" containsString="0" containsNumber="1" containsInteger="1" minValue="2018" maxValue="2018"/>
    </cacheField>
    <cacheField name="月份" numFmtId="0">
      <sharedItems containsSemiMixedTypes="0" containsString="0" containsNumber="1" containsInteger="1" minValue="3" maxValue="5" count="3">
        <n v="3"/>
        <n v="4"/>
        <n v="5"/>
      </sharedItems>
    </cacheField>
    <cacheField name="期間資料版本" numFmtId="0">
      <sharedItems/>
    </cacheField>
    <cacheField name="公司" numFmtId="0">
      <sharedItems/>
    </cacheField>
    <cacheField name="事業單位" numFmtId="0">
      <sharedItems/>
    </cacheField>
    <cacheField name="作業中心" numFmtId="0">
      <sharedItems count="4">
        <s v="NASL10:新事業開發部"/>
        <s v="NASL11:製程化學課"/>
        <s v="NASL12:電子化學課"/>
        <s v="NATC11:應用技術課"/>
      </sharedItems>
    </cacheField>
    <cacheField name="作業中心-第一階" numFmtId="0">
      <sharedItems/>
    </cacheField>
    <cacheField name="作業中心-第二階" numFmtId="0">
      <sharedItems containsBlank="1"/>
    </cacheField>
    <cacheField name="可控制/不可控制之資源" numFmtId="0">
      <sharedItems count="2">
        <s v="可控制之資源"/>
        <s v="不可控制之資源"/>
      </sharedItems>
    </cacheField>
    <cacheField name="成本類型" numFmtId="0">
      <sharedItems count="4">
        <s v="1.作業中心自用之資源"/>
        <s v="5.支援作業中心(SSU)分攤之資源"/>
        <s v="4.管理作業中心分攤之資源"/>
        <s v="2.價值標的使用之資源"/>
      </sharedItems>
    </cacheField>
    <cacheField name="停止分攤" numFmtId="0">
      <sharedItems count="2">
        <s v="False"/>
        <s v="True"/>
      </sharedItems>
    </cacheField>
    <cacheField name="資源代碼" numFmtId="0">
      <sharedItems/>
    </cacheField>
    <cacheField name="資源-第一階" numFmtId="0">
      <sharedItems count="5">
        <s v="差旅費用"/>
        <s v="薪資費用"/>
        <s v="交際費用"/>
        <s v="樣品費用"/>
        <s v="其他費用"/>
      </sharedItems>
    </cacheField>
    <cacheField name="金額" numFmtId="0">
      <sharedItems containsSemiMixedTypes="0" containsString="0" containsNumber="1" containsInteger="1" minValue="300" maxValue="268081"/>
    </cacheField>
    <cacheField name="資源動因" numFmtId="0">
      <sharedItems/>
    </cacheField>
    <cacheField name="動因簡述" numFmtId="0">
      <sharedItems/>
    </cacheField>
    <cacheField name="資源動因值" numFmtId="0">
      <sharedItems containsString="0" containsBlank="1" containsNumber="1" minValue="0.2" maxValue="1"/>
    </cacheField>
    <cacheField name="(受)支援作業中心" numFmtId="0">
      <sharedItems containsBlank="1"/>
    </cacheField>
    <cacheField name="價值標的類型" numFmtId="0">
      <sharedItems containsBlank="1"/>
    </cacheField>
    <cacheField name="價值標的代碼" numFmtId="0">
      <sharedItems containsBlank="1"/>
    </cacheField>
    <cacheField name="資源動因費率" numFmtId="0">
      <sharedItems containsString="0" containsBlank="1" containsNumber="1" containsInteger="1" minValue="130000" maxValue="268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" refreshedDate="43307.990025694446" createdVersion="4" refreshedVersion="4" minRefreshableVersion="3" recordCount="208" xr:uid="{00000000-000A-0000-FFFF-FFFF11000000}">
  <cacheSource type="worksheet">
    <worksheetSource ref="A1:O209" sheet="ActivityCenter+ActivityModel"/>
  </cacheSource>
  <cacheFields count="15">
    <cacheField name="年" numFmtId="0">
      <sharedItems containsSemiMixedTypes="0" containsString="0" containsNumber="1" containsInteger="1" minValue="2018" maxValue="2018"/>
    </cacheField>
    <cacheField name="月份" numFmtId="0">
      <sharedItems containsSemiMixedTypes="0" containsString="0" containsNumber="1" containsInteger="1" minValue="3" maxValue="5" count="3">
        <n v="3"/>
        <n v="4"/>
        <n v="5"/>
      </sharedItems>
    </cacheField>
    <cacheField name="期間資料版本" numFmtId="0">
      <sharedItems/>
    </cacheField>
    <cacheField name="公司" numFmtId="0">
      <sharedItems/>
    </cacheField>
    <cacheField name="事業單位" numFmtId="0">
      <sharedItems/>
    </cacheField>
    <cacheField name="作業中心-第一階" numFmtId="0">
      <sharedItems/>
    </cacheField>
    <cacheField name="作業中心-第二階" numFmtId="0">
      <sharedItems count="2">
        <s v="NASL11:製程化學課"/>
        <s v="NASL12:電子化學課"/>
      </sharedItems>
    </cacheField>
    <cacheField name="成本類型" numFmtId="0">
      <sharedItems count="3">
        <s v="N. Cap. Rate*N. Cap. Hour"/>
        <s v="A. Cap. Rate*A. Cap. Hour"/>
        <s v="N. Cap. Rate*A. Cap. Hour"/>
      </sharedItems>
    </cacheField>
    <cacheField name="金額" numFmtId="0">
      <sharedItems containsSemiMixedTypes="0" containsString="0" containsNumber="1" minValue="0" maxValue="361317.77777699998"/>
    </cacheField>
    <cacheField name="作業中心動因費率" numFmtId="0">
      <sharedItems containsSemiMixedTypes="0" containsString="0" containsNumber="1" minValue="8.2727134146000001" maxValue="75.274537037000002"/>
    </cacheField>
    <cacheField name="作業中心動因值" numFmtId="0">
      <sharedItems containsSemiMixedTypes="0" containsString="0" containsNumber="1" minValue="0" maxValue="11040"/>
    </cacheField>
    <cacheField name="作業-第一階" numFmtId="0">
      <sharedItems/>
    </cacheField>
    <cacheField name="作業-第二階" numFmtId="0">
      <sharedItems containsBlank="1" count="23">
        <m/>
        <s v="A01:關係維護"/>
        <s v="A02:市場動態"/>
        <s v="A03:爭取新專案"/>
        <s v="A04:專案追蹤"/>
        <s v="A05:拜訪新客戶"/>
        <s v="A07:推薦新產品"/>
        <s v="A08:新線(產品)追蹤"/>
        <s v="A09:偕同技術服務"/>
        <s v="A06:小批量試產"/>
        <s v="A10:偕同原廠拜訪"/>
        <s v="A11:取樣分析"/>
        <s v="A12:客服諮詢"/>
        <s v="A13:客訴處理"/>
        <s v="A14:退貨處理"/>
        <s v="A15:配槽/開線/轉缸"/>
        <s v="A16:試樣"/>
        <s v="A17:製程改善"/>
        <s v="A18:Kelly內部事項"/>
        <s v="A19:目標客戶拜訪"/>
        <s v="A20:合作夥伴拜訪"/>
        <s v="A21:新市場開發"/>
        <s v="A22:帳款收回"/>
      </sharedItems>
    </cacheField>
    <cacheField name="附加價值屬性" numFmtId="0">
      <sharedItems containsBlank="1" count="3">
        <m/>
        <s v="有附加價值"/>
        <s v="無附加價值"/>
      </sharedItems>
    </cacheField>
    <cacheField name="顧客服務屬性" numFmtId="0">
      <sharedItems containsBlank="1" count="5">
        <m/>
        <s v="維持成本"/>
        <s v="取得成本"/>
        <s v="服務成本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" refreshedDate="43307.993227777777" createdVersion="4" refreshedVersion="4" minRefreshableVersion="3" recordCount="24" xr:uid="{00000000-000A-0000-FFFF-FFFF16000000}">
  <cacheSource type="worksheet">
    <worksheetSource ref="A1:Q25" sheet="ActivityCenter"/>
  </cacheSource>
  <cacheFields count="17">
    <cacheField name="年" numFmtId="0">
      <sharedItems containsSemiMixedTypes="0" containsString="0" containsNumber="1" containsInteger="1" minValue="2018" maxValue="2018"/>
    </cacheField>
    <cacheField name="月份" numFmtId="0">
      <sharedItems containsSemiMixedTypes="0" containsString="0" containsNumber="1" containsInteger="1" minValue="3" maxValue="5" count="3">
        <n v="3"/>
        <n v="4"/>
        <n v="5"/>
      </sharedItems>
    </cacheField>
    <cacheField name="期間資料版本" numFmtId="0">
      <sharedItems/>
    </cacheField>
    <cacheField name="公司" numFmtId="0">
      <sharedItems/>
    </cacheField>
    <cacheField name="事業單位" numFmtId="0">
      <sharedItems/>
    </cacheField>
    <cacheField name="作業中心" numFmtId="0">
      <sharedItems/>
    </cacheField>
    <cacheField name="作業中心-第一階" numFmtId="0">
      <sharedItems/>
    </cacheField>
    <cacheField name="作業中心-第二階" numFmtId="0">
      <sharedItems count="2">
        <s v="NASL11:製程化學課"/>
        <s v="NASL12:電子化學課"/>
      </sharedItems>
    </cacheField>
    <cacheField name="人/機時" numFmtId="0">
      <sharedItems/>
    </cacheField>
    <cacheField name="作業-第一階" numFmtId="0">
      <sharedItems count="4">
        <s v="N04:其他"/>
        <s v="N03:售後服務作業"/>
        <s v="N01:取得顧客作業"/>
        <s v="N02:維持顧客作業"/>
      </sharedItems>
    </cacheField>
    <cacheField name="正常產能費率" numFmtId="0">
      <sharedItems containsSemiMixedTypes="0" containsString="0" containsNumber="1" minValue="8.2727134146000001" maxValue="75.274537037000002"/>
    </cacheField>
    <cacheField name="實際產能費率" numFmtId="0">
      <sharedItems containsSemiMixedTypes="0" containsString="0" containsNumber="1" minValue="8.2727134146000001" maxValue="75.274537037000002"/>
    </cacheField>
    <cacheField name="正常產能(時間)" numFmtId="0">
      <sharedItems containsSemiMixedTypes="0" containsString="0" containsNumber="1" minValue="864" maxValue="11040"/>
    </cacheField>
    <cacheField name="實際產能(時間)" numFmtId="0">
      <sharedItems containsSemiMixedTypes="0" containsString="0" containsNumber="1" containsInteger="1" minValue="0" maxValue="10638"/>
    </cacheField>
    <cacheField name="正常產能金額(N*N)" numFmtId="0">
      <sharedItems containsSemiMixedTypes="0" containsString="0" containsNumber="1" minValue="26049.1199998925" maxValue="260148.80000019199"/>
    </cacheField>
    <cacheField name="實際產能金額(A*A)" numFmtId="0">
      <sharedItems containsSemiMixedTypes="0" containsString="0" containsNumber="1" minValue="0" maxValue="371630.38935200003"/>
    </cacheField>
    <cacheField name="剩餘(超用)產能時間" numFmtId="0">
      <sharedItems containsSemiMixedTypes="0" containsString="0" containsNumber="1" minValue="-6057.6" maxValue="33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" refreshedDate="43307.994211111109" createdVersion="4" refreshedVersion="4" minRefreshableVersion="3" recordCount="243" xr:uid="{00000000-000A-0000-FFFF-FFFF1C000000}">
  <cacheSource type="worksheet">
    <worksheetSource ref="A1:N244" sheet="ActivityDriver"/>
  </cacheSource>
  <cacheFields count="14">
    <cacheField name="年" numFmtId="0">
      <sharedItems containsSemiMixedTypes="0" containsString="0" containsNumber="1" containsInteger="1" minValue="2018" maxValue="2018"/>
    </cacheField>
    <cacheField name="月份" numFmtId="0">
      <sharedItems containsSemiMixedTypes="0" containsString="0" containsNumber="1" containsInteger="1" minValue="3" maxValue="5" count="3">
        <n v="3"/>
        <n v="4"/>
        <n v="5"/>
      </sharedItems>
    </cacheField>
    <cacheField name="期間資料版本" numFmtId="0">
      <sharedItems/>
    </cacheField>
    <cacheField name="公司" numFmtId="0">
      <sharedItems/>
    </cacheField>
    <cacheField name="事業單位" numFmtId="0">
      <sharedItems/>
    </cacheField>
    <cacheField name="作業中心" numFmtId="0">
      <sharedItems count="2">
        <s v="NASL12:電子化學課"/>
        <s v="NASL11:製程化學課"/>
      </sharedItems>
    </cacheField>
    <cacheField name="實際產能費率成本" numFmtId="0">
      <sharedItems containsSemiMixedTypes="0" containsString="0" containsNumber="1" minValue="41.363567073200002" maxValue="361317.77777777781"/>
    </cacheField>
    <cacheField name="正常產能費率成本" numFmtId="0">
      <sharedItems containsSemiMixedTypes="0" containsString="0" containsNumber="1" minValue="41.363567072999999" maxValue="361317.77777759999"/>
    </cacheField>
    <cacheField name="作業-第一階" numFmtId="0">
      <sharedItems/>
    </cacheField>
    <cacheField name="作業-第二階" numFmtId="0">
      <sharedItems count="19">
        <s v="A03:爭取新專案"/>
        <s v="A09:偕同技術服務"/>
        <s v="A12:客服諮詢"/>
        <s v="A18:Kelly內部事項"/>
        <s v="A05:拜訪新客戶"/>
        <s v="A08:新線(產品)追蹤"/>
        <s v="A11:取樣分析"/>
        <s v="A02:市場動態"/>
        <s v="A01:關係維護"/>
        <s v="A04:專案追蹤"/>
        <s v="A07:推薦新產品"/>
        <s v="A10:偕同原廠拜訪"/>
        <s v="A20:合作夥伴拜訪"/>
        <s v="A19:目標客戶拜訪"/>
        <s v="A22:帳款收回"/>
        <s v="A13:客訴處理"/>
        <s v="A17:製程改善"/>
        <s v="A06:小批量試產"/>
        <s v="A16:試樣"/>
      </sharedItems>
    </cacheField>
    <cacheField name="作業動因" numFmtId="0">
      <sharedItems/>
    </cacheField>
    <cacheField name="作業動因值" numFmtId="0">
      <sharedItems containsSemiMixedTypes="0" containsString="0" containsNumber="1" minValue="5" maxValue="9600"/>
    </cacheField>
    <cacheField name="價值標的類型" numFmtId="0">
      <sharedItems/>
    </cacheField>
    <cacheField name="價值標的" numFmtId="0">
      <sharedItems count="132">
        <s v="CPCRM12107:專案-達興"/>
        <s v="CPCRM19560:專案-山鶯欣興電子"/>
        <s v="CPCRM20039:專案-樹林台電研究所"/>
        <s v="CPCRM20254:專案-台灣奈晶"/>
        <s v="CPCRM08397:專案-奇美實業"/>
        <s v="CPCRM11452:專案-佳邦"/>
        <s v="CPCRM17041:專案-新竹-錸德"/>
        <s v="CP永光二廠:專案-永光二廠"/>
        <s v="CPCRM05175:專案-永光三廠"/>
        <s v="CPCRM08460:專案-台虹科技"/>
        <s v="CPCRM09345:專案-友輝光電"/>
        <s v="CPCRM10801:專案-綠固"/>
        <s v="CPCRM10912:專案-瑞化"/>
        <s v="CPCRM01095:專案-崇越石英製造廠"/>
        <s v="CPCRM10848:專案-華新科技"/>
        <s v="CPCRM11533:專案-國巨楠梓"/>
        <s v="CPCRM01049:專案-台星科"/>
        <s v="CPCRM01052:專案-福懋科技"/>
        <s v="CPCRM01037:專案-華邦電"/>
        <s v="CPCRM01042:專案-欣銓科技"/>
        <s v="CPCRM01090:專案-台弟工業"/>
        <s v="CPCRM01091:專案-群浤科技"/>
        <s v="CPCRM01093:專案-巨品表面"/>
        <s v="CPCRM01094:專案-旭德科技"/>
        <s v="CP other cus:專案-other customer"/>
        <s v="CPCRM1107:專案-長春人造樹脂"/>
        <s v="CP恆耀工業:專案-恆耀工業"/>
        <s v="CPCRM00783:專案-亞洲漢威"/>
        <s v="CPCRM01096:專案-南豐工業"/>
        <s v="CPCRM01097:專案-矽格"/>
        <s v="CPCRM01101:專案-興展企業"/>
        <s v="CPCRM01102:專案-欣旻工業"/>
        <s v="CPCRM01103:專案-璟德電子"/>
        <s v="CPCRM01111:專案-辛耘企業-二廠"/>
        <s v="CPCRM01117:專案-正修科大"/>
        <s v="CPCRM20153:專案-林口南亞科"/>
        <s v="CPCRM20195:專案-創毅國際"/>
        <s v="CPCRM01110:專案-廣達電腦"/>
        <s v="CPCRM16157:專案-洤順科技"/>
        <s v="CPCRM17382:專案-昇陽光電"/>
        <s v="CPCRM08411:專案-新應材"/>
        <s v="CPCRM03863:專案-致嘉科技"/>
        <s v="CPCRM01118:專案-捷暘"/>
        <s v="CPCRM1106:專案-台灣積水原聚"/>
        <s v="CPCRM00550:專案-瑞興發"/>
        <s v="CPCRM19947:專案-新竹光聚合"/>
        <s v="CPCRM14295:專案-kelly實驗室"/>
        <s v="CPCRM20154:專案-林口穩懋"/>
        <s v="CPCRM17040:專案-桃園-宸鴻"/>
        <s v="CPCRM01105:專案-萬能科大"/>
        <s v="CPCRM16897:專案-新竹互力"/>
        <s v="CPCRM17661:專案-瞬茂"/>
        <s v="CPCRM16694:專案-台灣得力"/>
        <s v="CPCRM16719:專案-永源"/>
        <s v="CPCRM17264:專案-新竹-國碩"/>
        <s v="CPCRM10747:專案-泓瀚科技"/>
        <s v="CPCRM10850:專案-優陽科技"/>
        <s v="CPCRM13503:專案-苗栗-友晁"/>
        <s v="CPCRM10748:專案-工研院"/>
        <s v="CPCRM17296:專案-台灣美磊"/>
        <s v="CPCRM17843:專案-崇越科技"/>
        <s v="CPCRM08459:專案-愛迪克"/>
        <s v="CPCRM19559:專案-竹北凱鍶"/>
        <s v="CPCRM14218:專案-川裕工業"/>
        <s v="CPCRM08511:專案-矽恩特殊材料"/>
        <s v="CPCRM13504:專案-大格化學"/>
        <s v="CPCRM00937:專案-大勤化成"/>
        <s v="CPCRM19914:專案-台灣艾華電子"/>
        <s v="CPCRM12969:專案-長春-乾膜"/>
        <s v="CPCRM08720:專案-凱耀科技"/>
        <s v="CPCRM10771:專案-勤凱-浚博"/>
        <s v="CPCRM10826:專案-道登電子"/>
        <s v="CPCRM05498:專案-興勤電子"/>
        <s v="CPCRM01130:專案-普聯國際"/>
        <s v="CPCRM18424:專案-臻鼎"/>
        <s v="CPCRM19770:專案-覆晶光電"/>
        <s v="CPCRM19822:專案-友達"/>
        <s v="CPCRM08406:專案-永光化學"/>
        <s v="CPCRM08704:專案-肯美特"/>
        <s v="CPCRM11713:專案-光洋科"/>
        <s v="CPCRM10072:專案-永明泰"/>
        <s v="CPCRM16774:專案-永勝光學"/>
        <s v="CPCRM17381:專案-桃園-愛賽克"/>
        <s v="CPCRM14290:專案-台灣-杜邦"/>
        <s v="CPCRM14633:專案-達邁"/>
        <s v="CPCRM16919:專案-新北市-富致科技"/>
        <s v="CPCRM01053:專案-渼豐表面處理"/>
        <s v="CP華震科技:專案-華震科技"/>
        <s v="CPCRM01129:專案-雷電光能"/>
        <s v="CP三德:專案-三德"/>
        <s v="CP微鑽石:專案-微鑽石"/>
        <s v="CPCRM01121:專案-大發金屬"/>
        <s v="CPCRM01122:專案-玉美-生物科技"/>
        <s v="CPCRM01123:專案-洗旺國際"/>
        <s v="CPCRM01124:專案-日月展金屬"/>
        <s v="CPCRM01125:專案-昌旺汽材"/>
        <s v="CPCRM01126:專案-彰陽工業"/>
        <s v="CPCRM01127:專案-杰昌金屬"/>
        <s v="CPCRM01128:專案-哈伯精密"/>
        <s v="CPCRM01132:專案-台灣京濱化"/>
        <s v="CPCRM01133:專案-盛復工業-大肚廠"/>
        <s v="CPCRM01140:專案-朝宇航太科技二廠"/>
        <s v="CPCRM17319:專案-高雄李長榮化工"/>
        <s v="CPCRM20308:專案-九怡工業"/>
        <s v="CP世豐螺絲:專案-世豐螺絲"/>
        <s v="CPCRM09005:專案-肥特補"/>
        <s v="CPCRM01046:專案-華泰電子"/>
        <s v="CPCRM17469:專案-賀力氏"/>
        <s v="CPCRM12175:專案-遠呈科技"/>
        <s v="CPCRM05197:專案-聯致科技"/>
        <s v="CPCRM09007:專案-冠品"/>
        <s v="CPCRM19561:專案-群創_竹南"/>
        <s v="CPCRM18081:專案-台灣同欣"/>
        <s v="CPCRM10849:專案-達方電子"/>
        <s v="CPCRM16083:專案-汐止研究所(公隆化學)"/>
        <s v="CPCRM13556:專案-安炬"/>
        <s v="CP忠信汽車:專案-忠信汽車"/>
        <s v="CP和蓮光電:專案-和蓮光電"/>
        <s v="CP晶呈科技:專案-晶呈科技"/>
        <s v="CP台灣優瑪:專案-台灣優瑪"/>
        <s v="CP天成:專案-天成"/>
        <s v="CPCRM08463:專案-億光"/>
        <s v="CPCRM01146:專案-善存科技"/>
        <s v="CPCRM01149:專案-福特六和"/>
        <s v="CPCRM01073:專案-榮聰精密"/>
        <s v="CPCRM16269:專案-台灣-捷能材料"/>
        <s v="CP金順億:專案-金順億"/>
        <s v="CPCRM17791:專案-恆橋"/>
        <s v="CPCRM01109:專案-伍德邁"/>
        <s v="CPCRM19638:專案-黑德爾"/>
        <s v="CPCRM20061:專案-群越"/>
        <s v="CPCRM14329:專案-志廣光電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" refreshedDate="43307.996647453707" createdVersion="4" refreshedVersion="4" minRefreshableVersion="3" recordCount="158" xr:uid="{00000000-000A-0000-FFFF-FFFF20000000}">
  <cacheSource type="worksheet">
    <worksheetSource ref="A1:J159" sheet="PartStock"/>
  </cacheSource>
  <cacheFields count="10">
    <cacheField name="年" numFmtId="0">
      <sharedItems containsSemiMixedTypes="0" containsString="0" containsNumber="1" containsInteger="1" minValue="2018" maxValue="2018"/>
    </cacheField>
    <cacheField name="月份" numFmtId="0">
      <sharedItems containsSemiMixedTypes="0" containsString="0" containsNumber="1" containsInteger="1" minValue="3" maxValue="5"/>
    </cacheField>
    <cacheField name="期間資料版本" numFmtId="0">
      <sharedItems/>
    </cacheField>
    <cacheField name="公司" numFmtId="0">
      <sharedItems/>
    </cacheField>
    <cacheField name="事業單位" numFmtId="0">
      <sharedItems/>
    </cacheField>
    <cacheField name="價值標的類型" numFmtId="0">
      <sharedItems/>
    </cacheField>
    <cacheField name="料號" numFmtId="0">
      <sharedItems count="46">
        <s v="61000017"/>
        <s v="61000027"/>
        <s v="61000028"/>
        <s v="71000576"/>
        <s v="74000063"/>
        <s v="74000071"/>
        <s v="74000158"/>
        <s v="74000162"/>
        <s v="74000193"/>
        <s v="74000242"/>
        <s v="74000245"/>
        <s v="74000252"/>
        <s v="74000254"/>
        <s v="87000085"/>
        <s v="87000175"/>
        <s v="87000182"/>
        <s v="87000189"/>
        <s v="88000407"/>
        <s v="88000411"/>
        <s v="88000413"/>
        <s v="88000423"/>
        <s v="88000426"/>
        <s v="88000428"/>
        <s v="88000513"/>
        <s v="88000522"/>
        <s v="88000535"/>
        <s v="88000554"/>
        <s v="72000045"/>
        <s v="74000150"/>
        <s v="74000246"/>
        <s v="74000251"/>
        <s v="74000253"/>
        <s v="87000060"/>
        <s v="88000409"/>
        <s v="88000418"/>
        <s v="88000435"/>
        <s v="72000019"/>
        <s v="72100012"/>
        <s v="72100014"/>
        <s v="74000188"/>
        <s v="87000167"/>
        <s v="87000174"/>
        <s v="87000181"/>
        <s v="87100033"/>
        <s v="88000408"/>
        <s v="88100060"/>
      </sharedItems>
    </cacheField>
    <cacheField name="類型" numFmtId="0">
      <sharedItems count="2">
        <s v="進料入庫"/>
        <s v="訂單出貨"/>
      </sharedItems>
    </cacheField>
    <cacheField name="數量" numFmtId="0">
      <sharedItems containsSemiMixedTypes="0" containsString="0" containsNumber="1" minValue="-3000" maxValue="3000"/>
    </cacheField>
    <cacheField name="金額" numFmtId="0">
      <sharedItems containsSemiMixedTypes="0" containsString="0" containsNumber="1" minValue="-286928.99990499998" maxValue="2869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" refreshedDate="43307.997418171297" createdVersion="4" refreshedVersion="4" minRefreshableVersion="3" recordCount="104" xr:uid="{00000000-000A-0000-FFFF-FFFF28000000}">
  <cacheSource type="worksheet">
    <worksheetSource ref="A1:U105" sheet="CustomerProductProfit"/>
  </cacheSource>
  <cacheFields count="21">
    <cacheField name="年" numFmtId="0">
      <sharedItems containsSemiMixedTypes="0" containsString="0" containsNumber="1" containsInteger="1" minValue="2018" maxValue="2018"/>
    </cacheField>
    <cacheField name="月份" numFmtId="0">
      <sharedItems containsSemiMixedTypes="0" containsString="0" containsNumber="1" containsInteger="1" minValue="3" maxValue="5" count="3">
        <n v="3"/>
        <n v="4"/>
        <n v="5"/>
      </sharedItems>
    </cacheField>
    <cacheField name="期間資料版本" numFmtId="0">
      <sharedItems/>
    </cacheField>
    <cacheField name="公司" numFmtId="0">
      <sharedItems/>
    </cacheField>
    <cacheField name="事業單位代碼" numFmtId="0">
      <sharedItems/>
    </cacheField>
    <cacheField name="顧客" numFmtId="0">
      <sharedItems count="38">
        <s v="CRM08406:永光化學"/>
        <s v="CRM00432:佳能"/>
        <s v="CRM00911:台灣鉅邁"/>
        <s v="CRM00024:亞洲光學"/>
        <s v="CRM00400:東隆五金"/>
        <s v="CRM17296:台灣美磊"/>
        <s v="CRM00860:茂順"/>
        <s v="CRM17381:桃園-愛賽克"/>
        <s v="CRM00696:健達生物"/>
        <s v="CRM11533:國巨楠梓"/>
        <s v="CRM10848:華新科技"/>
        <s v="華震科技:華震科技"/>
        <s v="CRM10771:勤凱-浚博"/>
        <s v="CRM00933:榮助"/>
        <s v="CRM00888:中壢億達薄膜"/>
        <s v="CRM00478:億豐(代買士林電機)"/>
        <s v="CRM05498:興勤電子"/>
        <s v="CRM05197:聯致科技"/>
        <s v="CRM01025:典雅實業"/>
        <s v="CRM16719:永源"/>
        <s v="CRM18521:博士碼"/>
        <s v="CRM20308:九怡工業"/>
        <s v="CRM01053:渼豐表面處理"/>
        <s v="CRM18081:台灣同欣"/>
        <s v="CRM10849:達方電子"/>
        <s v="CRM00684:元琦"/>
        <s v="CRM01052:福懋科技"/>
        <s v="CRM00417:佳凌科技"/>
        <s v="CRM00336:保勝光學"/>
        <s v="CRM00783:亞洲漢威"/>
        <s v="CRM19822:友達"/>
        <s v="CRM00512:華映"/>
        <s v="上海安捷:上海安捷"/>
        <s v="泉得興業:泉得興業"/>
        <s v="CRM00550:瑞興發"/>
        <s v="CRM08397:奇美實業"/>
        <s v="CRM08704:肯美特"/>
        <s v="CRM08411:新應材"/>
      </sharedItems>
    </cacheField>
    <cacheField name="訂單編號" numFmtId="0">
      <sharedItems/>
    </cacheField>
    <cacheField name="銷售作業中心" numFmtId="0">
      <sharedItems/>
    </cacheField>
    <cacheField name="出貨事業單位" numFmtId="0">
      <sharedItems/>
    </cacheField>
    <cacheField name="產品" numFmtId="0">
      <sharedItems count="46">
        <s v="87000189:UV樹酯 ART RESIN UN-981 18KG/PAIL"/>
        <s v="74000242:CS CLEAN 18KG/PAIL"/>
        <s v="74000158:CONTROX E162 214KG/DRUM"/>
        <s v="74000063:CE CLEANER 550 (20KG/BAG,CN"/>
        <s v="71000576:CS-718 鏡片清洗劑 20KG/PAL (JP"/>
        <s v="74000162:CONTROX E230  250KG/DRUM"/>
        <s v="88000513:觸變劑 DISPARLON  BB-102 16KG/PAIL"/>
        <s v="74000193:HAKUFORM A 801  207.8KG/DRUM"/>
        <s v="87000182:UV樹脂 ART RESIN UN-9200A 15KG/PAIL"/>
        <s v="87000175:UV樹脂 ART RESIN UN-6060PTM 13KG/PAIL (Zn"/>
        <s v="74000254:CE800塗料剝離劑 20KG/PAIL (TW"/>
        <s v="88000426:分散劑 HIPLAAD ED400 18KG/PAIL"/>
        <s v="88000423:分散劑 HIPLAAD ED251 17KG/PAIL"/>
        <s v="87000085:樹脂 HIPLAAD ER 2300 17KG/PAIL"/>
        <s v="88000407:分散劑 DISPARLON DA-70350 17KG/PAIL"/>
        <s v="61000027:重金屬捕集劑 Plexon 3315 30KG/CAN"/>
        <s v="61000017:絮凝劑 Neosorb GS-AN"/>
        <s v="88000411:分散劑 HIPLAAD ED120 17KG/PAIL"/>
        <s v="88000413:分散劑 HIPLAAD ED154 19KG/PAIL"/>
        <s v="74000245:CONTROX B42  25KG/PAIL"/>
        <s v="74000071:CE REMOVER 810 (20KG/PAL,CN"/>
        <s v="74000252:CHEMISOL 2504  18KG/PAIL"/>
        <s v="88000428:分散劑 HIPLAAD ED401 3KG/PAIL"/>
        <s v="88000535:消泡劑 DISPARLON  LAP-10 16KG/PAIL"/>
        <s v="88000554:消泡劑 DISPARLON P-420 15KG/PAIL"/>
        <s v="61000028:重金屬捕集劑 Plexon 3315(D"/>
        <s v="88000522:觸變劑 DISPARLON  NS5500 16KG/PAIL"/>
        <s v="88000409:分散劑 HIPLAAD ED116 17KG/PAIL"/>
        <s v="87000060:矽樹脂 MCR-H07 1KG/BOTTLE"/>
        <s v="88000418:分散劑 HIPLAAD ED174 18KG/PAIL"/>
        <s v="74000150:CONTROX 5042  16KG/PAIL"/>
        <s v="88000435:分散劑 HIPLAAD SAD01 17KG/PAIL"/>
        <s v="74000253:KOHUTTEN YOZAI #150  175KG/DRUM"/>
        <s v="74000246:DECORRDAL 20-1 232.40KG/DRUM"/>
        <s v="72000045:CUSTOS 625 25KG/PAIL"/>
        <s v="74000251:EMD9522 0.9KG/BATTEL"/>
        <s v="74000188:HAKUFORM 70-69AL193.6KG/DRUM"/>
        <s v="72100012:產品72100012"/>
        <s v="72100014:產品72100014"/>
        <s v="72000019:GX PROOF 6151 (20KG/PAL,CN"/>
        <s v="88000408:分散劑 HIPLAAD ED112 17KG/PAIL"/>
        <s v="87000167:UV樹脂 ART RESIN UN-3320HS 18KG/PAIL"/>
        <s v="87100033:產品87100033"/>
        <s v="87000174:UV樹脂 ART RESIN UN-6060PTM 18KG/PAIL"/>
        <s v="88100060:催化剂 K-PURE CXC-1612 1LB/PACKAGE"/>
        <s v="87000181:UV樹脂 ART RESIN UN-907 18KG/PAIL"/>
      </sharedItems>
    </cacheField>
    <cacheField name="銷貨收入" numFmtId="0">
      <sharedItems containsSemiMixedTypes="0" containsString="0" containsNumber="1" containsInteger="1" minValue="3500" maxValue="511700"/>
    </cacheField>
    <cacheField name="產品成本庫" numFmtId="0">
      <sharedItems containsSemiMixedTypes="0" containsString="0" containsNumber="1" minValue="1165.9999800000001" maxValue="277034.89646000002"/>
    </cacheField>
    <cacheField name="毛利率" numFmtId="0">
      <sharedItems containsSemiMixedTypes="0" containsString="0" containsNumber="1" minValue="-5819.1427199999998" maxValue="234665.10354000001"/>
    </cacheField>
    <cacheField name="產品管理成本(Management)" numFmtId="0">
      <sharedItems containsSemiMixedTypes="0" containsString="0" containsNumber="1" containsInteger="1" minValue="0" maxValue="0"/>
    </cacheField>
    <cacheField name="客戶服務成本(Service)" numFmtId="0">
      <sharedItems containsSemiMixedTypes="0" containsString="0" containsNumber="1" containsInteger="1" minValue="0" maxValue="0"/>
    </cacheField>
    <cacheField name="專案成本(Project)" numFmtId="0">
      <sharedItems containsSemiMixedTypes="0" containsString="0" containsNumber="1" minValue="0" maxValue="38156.136869000002"/>
    </cacheField>
    <cacheField name="總銷貨成本" numFmtId="0">
      <sharedItems containsSemiMixedTypes="0" containsString="0" containsNumber="1" minValue="1165.9999800000001" maxValue="278333.42144000001"/>
    </cacheField>
    <cacheField name="淨利" numFmtId="0">
      <sharedItems containsSemiMixedTypes="0" containsString="0" containsNumber="1" minValue="-31814.868568999998" maxValue="233366.57855999999"/>
    </cacheField>
    <cacheField name="數量" numFmtId="0">
      <sharedItems containsSemiMixedTypes="0" containsString="0" containsNumber="1" minValue="1" maxValue="3000"/>
    </cacheField>
    <cacheField name="淨利率" numFmtId="0">
      <sharedItems containsSemiMixedTypes="0" containsString="0" containsNumber="1" minValue="-3.976858" maxValue="0.80874999999999997"/>
    </cacheField>
    <cacheField name="業務工程師" numFmtId="0">
      <sharedItems count="5">
        <s v="Louis"/>
        <s v="Vincent"/>
        <s v="Chris"/>
        <s v="Ian"/>
        <s v="Clapt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8">
  <r>
    <n v="2018"/>
    <x v="0"/>
    <s v="201803"/>
    <s v="Kelly Group"/>
    <s v="公隆化學股份有限公司"/>
    <s v="CPunknow"/>
    <x v="0"/>
    <s v="CustomerProject"/>
    <s v="成本累積"/>
    <x v="0"/>
    <s v="Resource"/>
    <x v="0"/>
    <n v="3092"/>
    <m/>
    <m/>
    <m/>
    <x v="0"/>
  </r>
  <r>
    <n v="2018"/>
    <x v="0"/>
    <s v="201803"/>
    <s v="Kelly Group"/>
    <s v="公隆化學股份有限公司"/>
    <s v="CPCRM00696"/>
    <x v="1"/>
    <s v="CustomerProject"/>
    <s v="成本累積"/>
    <x v="1"/>
    <s v="Resource"/>
    <x v="1"/>
    <n v="300"/>
    <m/>
    <m/>
    <m/>
    <x v="1"/>
  </r>
  <r>
    <n v="2018"/>
    <x v="0"/>
    <s v="201803"/>
    <s v="Kelly Group"/>
    <s v="公隆化學股份有限公司"/>
    <s v="CPCRM00696"/>
    <x v="1"/>
    <s v="CustomerProject"/>
    <s v="成本累積"/>
    <x v="1"/>
    <s v="Resource"/>
    <x v="2"/>
    <n v="6350"/>
    <m/>
    <m/>
    <m/>
    <x v="1"/>
  </r>
  <r>
    <n v="2018"/>
    <x v="0"/>
    <s v="201803"/>
    <s v="Kelly Group"/>
    <s v="公隆化學股份有限公司"/>
    <s v="CPCRM00911"/>
    <x v="2"/>
    <s v="CustomerProject"/>
    <s v="成本累積"/>
    <x v="1"/>
    <s v="Resource"/>
    <x v="2"/>
    <n v="3372"/>
    <m/>
    <m/>
    <m/>
    <x v="1"/>
  </r>
  <r>
    <n v="2018"/>
    <x v="0"/>
    <s v="201803"/>
    <s v="Kelly Group"/>
    <s v="公隆化學股份有限公司"/>
    <s v="CPunknow"/>
    <x v="0"/>
    <s v="CustomerProject"/>
    <s v="成本累積"/>
    <x v="1"/>
    <s v="Resource"/>
    <x v="0"/>
    <n v="24210"/>
    <m/>
    <m/>
    <m/>
    <x v="0"/>
  </r>
  <r>
    <n v="2018"/>
    <x v="0"/>
    <s v="201803"/>
    <s v="Kelly Group"/>
    <s v="公隆化學股份有限公司"/>
    <s v="CPCRM05498"/>
    <x v="3"/>
    <s v="CustomerProject"/>
    <s v="成本累積"/>
    <x v="2"/>
    <s v="Resource"/>
    <x v="1"/>
    <n v="1035"/>
    <m/>
    <m/>
    <m/>
    <x v="2"/>
  </r>
  <r>
    <n v="2018"/>
    <x v="0"/>
    <s v="201803"/>
    <s v="Kelly Group"/>
    <s v="公隆化學股份有限公司"/>
    <s v="CPCRM10848"/>
    <x v="4"/>
    <s v="CustomerProject"/>
    <s v="成本累積"/>
    <x v="2"/>
    <s v="Resource"/>
    <x v="1"/>
    <n v="3526"/>
    <m/>
    <m/>
    <m/>
    <x v="2"/>
  </r>
  <r>
    <n v="2018"/>
    <x v="0"/>
    <s v="201803"/>
    <s v="Kelly Group"/>
    <s v="公隆化學股份有限公司"/>
    <s v="CPCRM11533"/>
    <x v="5"/>
    <s v="CustomerProject"/>
    <s v="成本累積"/>
    <x v="2"/>
    <s v="Resource"/>
    <x v="1"/>
    <n v="8493"/>
    <m/>
    <m/>
    <m/>
    <x v="2"/>
  </r>
  <r>
    <n v="2018"/>
    <x v="0"/>
    <s v="201803"/>
    <s v="Kelly Group"/>
    <s v="公隆化學股份有限公司"/>
    <s v="CPunknow"/>
    <x v="0"/>
    <s v="CustomerProject"/>
    <s v="成本累積"/>
    <x v="2"/>
    <s v="Resource"/>
    <x v="0"/>
    <n v="16648"/>
    <m/>
    <m/>
    <m/>
    <x v="0"/>
  </r>
  <r>
    <n v="2018"/>
    <x v="0"/>
    <s v="201803"/>
    <s v="Kelly Group"/>
    <s v="公隆化學股份有限公司"/>
    <s v="CPCRM00550"/>
    <x v="6"/>
    <s v="CustomerProject"/>
    <s v="成本累積"/>
    <x v="1"/>
    <s v="Activity"/>
    <x v="3"/>
    <n v="1886.3913043478001"/>
    <n v="48.000000000096691"/>
    <m/>
    <m/>
    <x v="3"/>
  </r>
  <r>
    <n v="2018"/>
    <x v="0"/>
    <s v="201803"/>
    <s v="Kelly Group"/>
    <s v="公隆化學股份有限公司"/>
    <s v="CPCRM00783"/>
    <x v="7"/>
    <s v="CustomerProject"/>
    <s v="成本累積"/>
    <x v="1"/>
    <s v="Activity"/>
    <x v="3"/>
    <n v="2279.3894927535998"/>
    <n v="58.000000000117041"/>
    <m/>
    <m/>
    <x v="3"/>
  </r>
  <r>
    <n v="2018"/>
    <x v="0"/>
    <s v="201803"/>
    <s v="Kelly Group"/>
    <s v="公隆化學股份有限公司"/>
    <s v="CPCRM00937"/>
    <x v="8"/>
    <s v="CustomerProject"/>
    <s v="成本累積"/>
    <x v="1"/>
    <s v="Activity"/>
    <x v="4"/>
    <n v="18863.9130434783"/>
    <n v="480.00000000097452"/>
    <m/>
    <m/>
    <x v="3"/>
  </r>
  <r>
    <n v="2018"/>
    <x v="0"/>
    <s v="201803"/>
    <s v="Kelly Group"/>
    <s v="公隆化學股份有限公司"/>
    <s v="CPCRM01037"/>
    <x v="9"/>
    <s v="CustomerProject"/>
    <s v="成本累積"/>
    <x v="1"/>
    <s v="Activity"/>
    <x v="5"/>
    <n v="8881.7590579709995"/>
    <n v="226.00000000045799"/>
    <m/>
    <m/>
    <x v="3"/>
  </r>
  <r>
    <n v="2018"/>
    <x v="0"/>
    <s v="201803"/>
    <s v="Kelly Group"/>
    <s v="公隆化學股份有限公司"/>
    <s v="CPCRM01042"/>
    <x v="10"/>
    <s v="CustomerProject"/>
    <s v="成本累積"/>
    <x v="1"/>
    <s v="Activity"/>
    <x v="5"/>
    <n v="1650.5923913043"/>
    <n v="42.000000000083965"/>
    <m/>
    <m/>
    <x v="3"/>
  </r>
  <r>
    <n v="2018"/>
    <x v="0"/>
    <s v="201803"/>
    <s v="Kelly Group"/>
    <s v="公隆化學股份有限公司"/>
    <s v="CPCRM01042"/>
    <x v="10"/>
    <s v="CustomerProject"/>
    <s v="成本累積"/>
    <x v="1"/>
    <s v="Activity"/>
    <x v="6"/>
    <n v="3694.1829710144998"/>
    <n v="94.000000000190823"/>
    <m/>
    <m/>
    <x v="3"/>
  </r>
  <r>
    <n v="2018"/>
    <x v="0"/>
    <s v="201803"/>
    <s v="Kelly Group"/>
    <s v="公隆化學股份有限公司"/>
    <s v="CPCRM01049"/>
    <x v="11"/>
    <s v="CustomerProject"/>
    <s v="成本累積"/>
    <x v="1"/>
    <s v="Activity"/>
    <x v="5"/>
    <n v="5698.4737318840998"/>
    <n v="145.00000000029516"/>
    <m/>
    <m/>
    <x v="3"/>
  </r>
  <r>
    <n v="2018"/>
    <x v="0"/>
    <s v="201803"/>
    <s v="Kelly Group"/>
    <s v="公隆化學股份有限公司"/>
    <s v="CPCRM01052"/>
    <x v="12"/>
    <s v="CustomerProject"/>
    <s v="成本累積"/>
    <x v="1"/>
    <s v="Activity"/>
    <x v="5"/>
    <n v="5384.0751811596001"/>
    <n v="137.00000000028243"/>
    <m/>
    <m/>
    <x v="3"/>
  </r>
  <r>
    <n v="2018"/>
    <x v="0"/>
    <s v="201803"/>
    <s v="Kelly Group"/>
    <s v="公隆化學股份有限公司"/>
    <s v="CPCRM01090"/>
    <x v="13"/>
    <s v="CustomerProject"/>
    <s v="成本累積"/>
    <x v="1"/>
    <s v="Activity"/>
    <x v="5"/>
    <n v="2633.0878623188"/>
    <n v="67.000000000134861"/>
    <m/>
    <m/>
    <x v="3"/>
  </r>
  <r>
    <n v="2018"/>
    <x v="0"/>
    <s v="201803"/>
    <s v="Kelly Group"/>
    <s v="公隆化學股份有限公司"/>
    <s v="CPCRM01091"/>
    <x v="14"/>
    <s v="CustomerProject"/>
    <s v="成本累積"/>
    <x v="1"/>
    <s v="Activity"/>
    <x v="5"/>
    <n v="4991.0769927536003"/>
    <n v="127.000000000257"/>
    <m/>
    <m/>
    <x v="3"/>
  </r>
  <r>
    <n v="2018"/>
    <x v="0"/>
    <s v="201803"/>
    <s v="Kelly Group"/>
    <s v="公隆化學股份有限公司"/>
    <s v="CPCRM01091"/>
    <x v="14"/>
    <s v="CustomerProject"/>
    <s v="成本累積"/>
    <x v="1"/>
    <s v="Activity"/>
    <x v="6"/>
    <n v="4087.1811594203"/>
    <n v="104.00000000021119"/>
    <m/>
    <m/>
    <x v="3"/>
  </r>
  <r>
    <n v="2018"/>
    <x v="0"/>
    <s v="201803"/>
    <s v="Kelly Group"/>
    <s v="公隆化學股份有限公司"/>
    <s v="CPCRM01093"/>
    <x v="15"/>
    <s v="CustomerProject"/>
    <s v="成本累積"/>
    <x v="1"/>
    <s v="Activity"/>
    <x v="5"/>
    <n v="2515.1884057971001"/>
    <n v="64.000000000129774"/>
    <m/>
    <m/>
    <x v="3"/>
  </r>
  <r>
    <n v="2018"/>
    <x v="0"/>
    <s v="201803"/>
    <s v="Kelly Group"/>
    <s v="公隆化學股份有限公司"/>
    <s v="CPCRM01094"/>
    <x v="16"/>
    <s v="CustomerProject"/>
    <s v="成本累積"/>
    <x v="1"/>
    <s v="Activity"/>
    <x v="3"/>
    <n v="10571.651268116"/>
    <n v="269.00000000054706"/>
    <m/>
    <m/>
    <x v="3"/>
  </r>
  <r>
    <n v="2018"/>
    <x v="0"/>
    <s v="201803"/>
    <s v="Kelly Group"/>
    <s v="公隆化學股份有限公司"/>
    <s v="CPCRM01094"/>
    <x v="16"/>
    <s v="CustomerProject"/>
    <s v="成本累積"/>
    <x v="1"/>
    <s v="Activity"/>
    <x v="5"/>
    <n v="3772.7826086956002"/>
    <n v="96.000000000193381"/>
    <m/>
    <m/>
    <x v="3"/>
  </r>
  <r>
    <n v="2018"/>
    <x v="0"/>
    <s v="201803"/>
    <s v="Kelly Group"/>
    <s v="公隆化學股份有限公司"/>
    <s v="CPCRM01094"/>
    <x v="16"/>
    <s v="CustomerProject"/>
    <s v="成本累積"/>
    <x v="1"/>
    <s v="Activity"/>
    <x v="6"/>
    <n v="2868.8867753621998"/>
    <n v="73.000000000145036"/>
    <m/>
    <m/>
    <x v="3"/>
  </r>
  <r>
    <n v="2018"/>
    <x v="0"/>
    <s v="201803"/>
    <s v="Kelly Group"/>
    <s v="公隆化學股份有限公司"/>
    <s v="CPCRM01095"/>
    <x v="17"/>
    <s v="CustomerProject"/>
    <s v="成本累積"/>
    <x v="1"/>
    <s v="Activity"/>
    <x v="3"/>
    <n v="1650.5923913043"/>
    <n v="42.000000000083965"/>
    <m/>
    <m/>
    <x v="3"/>
  </r>
  <r>
    <n v="2018"/>
    <x v="0"/>
    <s v="201803"/>
    <s v="Kelly Group"/>
    <s v="公隆化學股份有限公司"/>
    <s v="CPCRM01095"/>
    <x v="17"/>
    <s v="CustomerProject"/>
    <s v="成本累積"/>
    <x v="1"/>
    <s v="Activity"/>
    <x v="5"/>
    <n v="1296.8940217391"/>
    <n v="33.000000000066159"/>
    <m/>
    <m/>
    <x v="3"/>
  </r>
  <r>
    <n v="2018"/>
    <x v="0"/>
    <s v="201803"/>
    <s v="Kelly Group"/>
    <s v="公隆化學股份有限公司"/>
    <s v="CPCRM01095"/>
    <x v="17"/>
    <s v="CustomerProject"/>
    <s v="成本累積"/>
    <x v="1"/>
    <s v="Activity"/>
    <x v="6"/>
    <n v="5501.9746376812"/>
    <n v="140.00000000028498"/>
    <m/>
    <m/>
    <x v="3"/>
  </r>
  <r>
    <n v="2018"/>
    <x v="0"/>
    <s v="201803"/>
    <s v="Kelly Group"/>
    <s v="公隆化學股份有限公司"/>
    <s v="CPCRM01096"/>
    <x v="18"/>
    <s v="CustomerProject"/>
    <s v="成本累積"/>
    <x v="1"/>
    <s v="Activity"/>
    <x v="3"/>
    <n v="5462.6748188406"/>
    <n v="139.00000000028243"/>
    <m/>
    <m/>
    <x v="3"/>
  </r>
  <r>
    <n v="2018"/>
    <x v="0"/>
    <s v="201803"/>
    <s v="Kelly Group"/>
    <s v="公隆化學股份有限公司"/>
    <s v="CPCRM01097"/>
    <x v="19"/>
    <s v="CustomerProject"/>
    <s v="成本累積"/>
    <x v="1"/>
    <s v="Activity"/>
    <x v="3"/>
    <n v="12104.344202898599"/>
    <n v="308.0000000006259"/>
    <m/>
    <m/>
    <x v="3"/>
  </r>
  <r>
    <n v="2018"/>
    <x v="0"/>
    <s v="201803"/>
    <s v="Kelly Group"/>
    <s v="公隆化學股份有限公司"/>
    <s v="CPCRM01097"/>
    <x v="19"/>
    <s v="CustomerProject"/>
    <s v="成本累積"/>
    <x v="1"/>
    <s v="Activity"/>
    <x v="6"/>
    <n v="5659.1739130434999"/>
    <n v="144.0000000002926"/>
    <m/>
    <m/>
    <x v="3"/>
  </r>
  <r>
    <n v="2018"/>
    <x v="0"/>
    <s v="201803"/>
    <s v="Kelly Group"/>
    <s v="公隆化學股份有限公司"/>
    <s v="CPCRM01101"/>
    <x v="20"/>
    <s v="CustomerProject"/>
    <s v="成本累積"/>
    <x v="1"/>
    <s v="Activity"/>
    <x v="3"/>
    <n v="4833.8777173913004"/>
    <n v="123.00000000024937"/>
    <m/>
    <m/>
    <x v="3"/>
  </r>
  <r>
    <n v="2018"/>
    <x v="0"/>
    <s v="201803"/>
    <s v="Kelly Group"/>
    <s v="公隆化學股份有限公司"/>
    <s v="CPCRM01102"/>
    <x v="21"/>
    <s v="CustomerProject"/>
    <s v="成本累積"/>
    <x v="1"/>
    <s v="Activity"/>
    <x v="3"/>
    <n v="5148.2762681159002"/>
    <n v="131.00000000026463"/>
    <m/>
    <m/>
    <x v="3"/>
  </r>
  <r>
    <n v="2018"/>
    <x v="0"/>
    <s v="201803"/>
    <s v="Kelly Group"/>
    <s v="公隆化學股份有限公司"/>
    <s v="CPCRM01103"/>
    <x v="22"/>
    <s v="CustomerProject"/>
    <s v="成本累積"/>
    <x v="1"/>
    <s v="Activity"/>
    <x v="3"/>
    <n v="5305.4755434783001"/>
    <n v="135.00000000027481"/>
    <m/>
    <m/>
    <x v="3"/>
  </r>
  <r>
    <n v="2018"/>
    <x v="0"/>
    <s v="201803"/>
    <s v="Kelly Group"/>
    <s v="公隆化學股份有限公司"/>
    <s v="CPCRM01105"/>
    <x v="23"/>
    <s v="CustomerProject"/>
    <s v="成本累積"/>
    <x v="1"/>
    <s v="Activity"/>
    <x v="7"/>
    <n v="8174.3623188406"/>
    <n v="208.00000000042238"/>
    <m/>
    <m/>
    <x v="3"/>
  </r>
  <r>
    <n v="2018"/>
    <x v="0"/>
    <s v="201803"/>
    <s v="Kelly Group"/>
    <s v="公隆化學股份有限公司"/>
    <s v="CPCRM01105"/>
    <x v="23"/>
    <s v="CustomerProject"/>
    <s v="成本累積"/>
    <x v="1"/>
    <s v="Activity"/>
    <x v="8"/>
    <n v="8174.3623188406"/>
    <n v="208.00000000042238"/>
    <m/>
    <m/>
    <x v="3"/>
  </r>
  <r>
    <n v="2018"/>
    <x v="0"/>
    <s v="201803"/>
    <s v="Kelly Group"/>
    <s v="公隆化學股份有限公司"/>
    <s v="CPCRM01111"/>
    <x v="24"/>
    <s v="CustomerProject"/>
    <s v="成本累積"/>
    <x v="1"/>
    <s v="Activity"/>
    <x v="3"/>
    <n v="4951.7771739130003"/>
    <n v="126.00000000025446"/>
    <m/>
    <m/>
    <x v="3"/>
  </r>
  <r>
    <n v="2018"/>
    <x v="0"/>
    <s v="201803"/>
    <s v="Kelly Group"/>
    <s v="公隆化學股份有限公司"/>
    <s v="CPCRM01117"/>
    <x v="25"/>
    <s v="CustomerProject"/>
    <s v="成本累積"/>
    <x v="1"/>
    <s v="Activity"/>
    <x v="3"/>
    <n v="9628.4556159420008"/>
    <n v="245.00000000049619"/>
    <m/>
    <m/>
    <x v="3"/>
  </r>
  <r>
    <n v="2018"/>
    <x v="0"/>
    <s v="201803"/>
    <s v="Kelly Group"/>
    <s v="公隆化學股份有限公司"/>
    <s v="CPCRM01118"/>
    <x v="26"/>
    <s v="CustomerProject"/>
    <s v="成本累積"/>
    <x v="1"/>
    <s v="Activity"/>
    <x v="3"/>
    <n v="18863.913043478398"/>
    <n v="480.00000000097702"/>
    <m/>
    <m/>
    <x v="3"/>
  </r>
  <r>
    <n v="2018"/>
    <x v="0"/>
    <s v="201803"/>
    <s v="Kelly Group"/>
    <s v="公隆化學股份有限公司"/>
    <s v="CPCRM1106"/>
    <x v="27"/>
    <s v="CustomerProject"/>
    <s v="成本累積"/>
    <x v="1"/>
    <s v="Activity"/>
    <x v="3"/>
    <n v="5659.1739130434999"/>
    <n v="144.0000000002926"/>
    <m/>
    <m/>
    <x v="3"/>
  </r>
  <r>
    <n v="2018"/>
    <x v="0"/>
    <s v="201803"/>
    <s v="Kelly Group"/>
    <s v="公隆化學股份有限公司"/>
    <s v="CPCRM1107"/>
    <x v="28"/>
    <s v="CustomerProject"/>
    <s v="成本累積"/>
    <x v="1"/>
    <s v="Activity"/>
    <x v="3"/>
    <n v="4008.5815217391"/>
    <n v="102.0000000002061"/>
    <m/>
    <m/>
    <x v="3"/>
  </r>
  <r>
    <n v="2018"/>
    <x v="0"/>
    <s v="201803"/>
    <s v="Kelly Group"/>
    <s v="公隆化學股份有限公司"/>
    <s v="CPCRM14295"/>
    <x v="29"/>
    <s v="CustomerProject"/>
    <s v="成本累積"/>
    <x v="1"/>
    <s v="Activity"/>
    <x v="6"/>
    <n v="18863.9130434783"/>
    <n v="480.00000000097452"/>
    <m/>
    <m/>
    <x v="3"/>
  </r>
  <r>
    <n v="2018"/>
    <x v="0"/>
    <s v="201803"/>
    <s v="Kelly Group"/>
    <s v="公隆化學股份有限公司"/>
    <s v="CP恆耀工業"/>
    <x v="30"/>
    <s v="CustomerProject"/>
    <s v="成本累積"/>
    <x v="1"/>
    <s v="Activity"/>
    <x v="3"/>
    <n v="2436.5887681159002"/>
    <n v="62.000000000124686"/>
    <m/>
    <m/>
    <x v="3"/>
  </r>
  <r>
    <n v="2018"/>
    <x v="0"/>
    <s v="201803"/>
    <s v="Kelly Group"/>
    <s v="公隆化學股份有限公司"/>
    <s v="CP other cus"/>
    <x v="31"/>
    <s v="CustomerProject"/>
    <s v="成本累積"/>
    <x v="1"/>
    <s v="Activity"/>
    <x v="9"/>
    <n v="226366.95652173911"/>
    <n v="5760.0000000116815"/>
    <m/>
    <m/>
    <x v="4"/>
  </r>
  <r>
    <n v="2018"/>
    <x v="0"/>
    <s v="201803"/>
    <s v="Kelly Group"/>
    <s v="公隆化學股份有限公司"/>
    <s v="CPCRM10748"/>
    <x v="32"/>
    <s v="CustomerProject"/>
    <s v="成本累積"/>
    <x v="2"/>
    <s v="Activity"/>
    <x v="10"/>
    <n v="1276.9887462714"/>
    <n v="133.00000000135398"/>
    <m/>
    <m/>
    <x v="5"/>
  </r>
  <r>
    <n v="2018"/>
    <x v="0"/>
    <s v="201803"/>
    <s v="Kelly Group"/>
    <s v="公隆化學股份有限公司"/>
    <s v="CPCRM03863"/>
    <x v="33"/>
    <s v="CustomerProject"/>
    <s v="成本累積"/>
    <x v="2"/>
    <s v="Activity"/>
    <x v="3"/>
    <n v="2304.3405947753999"/>
    <n v="240.00000000243716"/>
    <m/>
    <m/>
    <x v="2"/>
  </r>
  <r>
    <n v="2018"/>
    <x v="0"/>
    <s v="201803"/>
    <s v="Kelly Group"/>
    <s v="公隆化學股份有限公司"/>
    <s v="CPCRM05498"/>
    <x v="3"/>
    <s v="CustomerProject"/>
    <s v="成本累積"/>
    <x v="2"/>
    <s v="Activity"/>
    <x v="11"/>
    <n v="4608.6811895506999"/>
    <n v="480.00000000486386"/>
    <m/>
    <m/>
    <x v="2"/>
  </r>
  <r>
    <n v="2018"/>
    <x v="0"/>
    <s v="201803"/>
    <s v="Kelly Group"/>
    <s v="公隆化學股份有限公司"/>
    <s v="CPCRM08397"/>
    <x v="34"/>
    <s v="CustomerProject"/>
    <s v="成本累積"/>
    <x v="2"/>
    <s v="Activity"/>
    <x v="12"/>
    <n v="3072.4541263671999"/>
    <n v="320.00000000324951"/>
    <m/>
    <m/>
    <x v="2"/>
  </r>
  <r>
    <n v="2018"/>
    <x v="0"/>
    <s v="201803"/>
    <s v="Kelly Group"/>
    <s v="公隆化學股份有限公司"/>
    <s v="CPCRM08411"/>
    <x v="35"/>
    <s v="CustomerProject"/>
    <s v="成本累積"/>
    <x v="2"/>
    <s v="Activity"/>
    <x v="3"/>
    <n v="1344.1986802855999"/>
    <n v="140.00000000141645"/>
    <m/>
    <m/>
    <x v="2"/>
  </r>
  <r>
    <n v="2018"/>
    <x v="0"/>
    <s v="201803"/>
    <s v="Kelly Group"/>
    <s v="公隆化學股份有限公司"/>
    <s v="CPCRM08720"/>
    <x v="36"/>
    <s v="CustomerProject"/>
    <s v="成本累積"/>
    <x v="2"/>
    <s v="Activity"/>
    <x v="4"/>
    <n v="1536.2270631836"/>
    <n v="160.00000000162476"/>
    <m/>
    <m/>
    <x v="2"/>
  </r>
  <r>
    <n v="2018"/>
    <x v="0"/>
    <s v="201803"/>
    <s v="Kelly Group"/>
    <s v="公隆化學股份有限公司"/>
    <s v="CPCRM10747"/>
    <x v="37"/>
    <s v="CustomerProject"/>
    <s v="成本累積"/>
    <x v="2"/>
    <s v="Activity"/>
    <x v="10"/>
    <n v="2304.3405947753999"/>
    <n v="240.00000000243716"/>
    <m/>
    <m/>
    <x v="2"/>
  </r>
  <r>
    <n v="2018"/>
    <x v="0"/>
    <s v="201803"/>
    <s v="Kelly Group"/>
    <s v="公隆化學股份有限公司"/>
    <s v="CPCRM10771"/>
    <x v="38"/>
    <s v="CustomerProject"/>
    <s v="成本累積"/>
    <x v="2"/>
    <s v="Activity"/>
    <x v="11"/>
    <n v="2304.3405947752999"/>
    <n v="240.00000000242673"/>
    <m/>
    <m/>
    <x v="2"/>
  </r>
  <r>
    <n v="2018"/>
    <x v="0"/>
    <s v="201803"/>
    <s v="Kelly Group"/>
    <s v="公隆化學股份有限公司"/>
    <s v="CPCRM10826"/>
    <x v="39"/>
    <s v="CustomerProject"/>
    <s v="成本累積"/>
    <x v="2"/>
    <s v="Activity"/>
    <x v="11"/>
    <n v="2304.3405947753999"/>
    <n v="240.00000000243716"/>
    <m/>
    <m/>
    <x v="2"/>
  </r>
  <r>
    <n v="2018"/>
    <x v="0"/>
    <s v="201803"/>
    <s v="Kelly Group"/>
    <s v="公隆化學股份有限公司"/>
    <s v="CPCRM10848"/>
    <x v="4"/>
    <s v="CustomerProject"/>
    <s v="成本累積"/>
    <x v="2"/>
    <s v="Activity"/>
    <x v="5"/>
    <n v="1022.5511389316"/>
    <n v="106.50000000108318"/>
    <m/>
    <m/>
    <x v="2"/>
  </r>
  <r>
    <n v="2018"/>
    <x v="0"/>
    <s v="201803"/>
    <s v="Kelly Group"/>
    <s v="公隆化學股份有限公司"/>
    <s v="CPCRM10848"/>
    <x v="4"/>
    <s v="CustomerProject"/>
    <s v="成本累積"/>
    <x v="2"/>
    <s v="Activity"/>
    <x v="11"/>
    <n v="3326.8917337070002"/>
    <n v="346.50000000352037"/>
    <m/>
    <m/>
    <x v="2"/>
  </r>
  <r>
    <n v="2018"/>
    <x v="0"/>
    <s v="201803"/>
    <s v="Kelly Group"/>
    <s v="公隆化學股份有限公司"/>
    <s v="CPCRM10848"/>
    <x v="4"/>
    <s v="CustomerProject"/>
    <s v="成本累積"/>
    <x v="2"/>
    <s v="Activity"/>
    <x v="13"/>
    <n v="4608.6811895507999"/>
    <n v="480.00000000487432"/>
    <m/>
    <m/>
    <x v="2"/>
  </r>
  <r>
    <n v="2018"/>
    <x v="0"/>
    <s v="201803"/>
    <s v="Kelly Group"/>
    <s v="公隆化學股份有限公司"/>
    <s v="CPCRM10850"/>
    <x v="40"/>
    <s v="CustomerProject"/>
    <s v="成本累積"/>
    <x v="2"/>
    <s v="Activity"/>
    <x v="10"/>
    <n v="2313.9420139202998"/>
    <n v="241.00000000244754"/>
    <m/>
    <m/>
    <x v="2"/>
  </r>
  <r>
    <n v="2018"/>
    <x v="0"/>
    <s v="201803"/>
    <s v="Kelly Group"/>
    <s v="公隆化學股份有限公司"/>
    <s v="CPCRM10850"/>
    <x v="40"/>
    <s v="CustomerProject"/>
    <s v="成本累積"/>
    <x v="2"/>
    <s v="Activity"/>
    <x v="4"/>
    <n v="1977.8923438489001"/>
    <n v="206.00000000209346"/>
    <m/>
    <m/>
    <x v="2"/>
  </r>
  <r>
    <n v="2018"/>
    <x v="0"/>
    <s v="201803"/>
    <s v="Kelly Group"/>
    <s v="公隆化學股份有限公司"/>
    <s v="CPCRM11452"/>
    <x v="41"/>
    <s v="CustomerProject"/>
    <s v="成本累積"/>
    <x v="2"/>
    <s v="Activity"/>
    <x v="12"/>
    <n v="2304.3405947753999"/>
    <n v="240.00000000243716"/>
    <m/>
    <m/>
    <x v="2"/>
  </r>
  <r>
    <n v="2018"/>
    <x v="0"/>
    <s v="201803"/>
    <s v="Kelly Group"/>
    <s v="公隆化學股份有限公司"/>
    <s v="CPCRM11533"/>
    <x v="5"/>
    <s v="CustomerProject"/>
    <s v="成本累積"/>
    <x v="2"/>
    <s v="Activity"/>
    <x v="5"/>
    <n v="1281.7894558437999"/>
    <n v="133.50000000135398"/>
    <m/>
    <m/>
    <x v="2"/>
  </r>
  <r>
    <n v="2018"/>
    <x v="0"/>
    <s v="201803"/>
    <s v="Kelly Group"/>
    <s v="公隆化學股份有限公司"/>
    <s v="CPCRM11533"/>
    <x v="5"/>
    <s v="CustomerProject"/>
    <s v="成本累積"/>
    <x v="2"/>
    <s v="Activity"/>
    <x v="11"/>
    <n v="3586.1300506192001"/>
    <n v="373.50000000379111"/>
    <m/>
    <m/>
    <x v="2"/>
  </r>
  <r>
    <n v="2018"/>
    <x v="0"/>
    <s v="201803"/>
    <s v="Kelly Group"/>
    <s v="公隆化學股份有限公司"/>
    <s v="CPCRM13503"/>
    <x v="42"/>
    <s v="CustomerProject"/>
    <s v="成本累積"/>
    <x v="2"/>
    <s v="Activity"/>
    <x v="10"/>
    <n v="2304.3405947753999"/>
    <n v="240.00000000243716"/>
    <m/>
    <m/>
    <x v="2"/>
  </r>
  <r>
    <n v="2018"/>
    <x v="0"/>
    <s v="201803"/>
    <s v="Kelly Group"/>
    <s v="公隆化學股份有限公司"/>
    <s v="CPCRM16694"/>
    <x v="43"/>
    <s v="CustomerProject"/>
    <s v="成本累積"/>
    <x v="2"/>
    <s v="Activity"/>
    <x v="8"/>
    <n v="1315.3944228508999"/>
    <n v="137.00000000138522"/>
    <m/>
    <m/>
    <x v="2"/>
  </r>
  <r>
    <n v="2018"/>
    <x v="0"/>
    <s v="201803"/>
    <s v="Kelly Group"/>
    <s v="公隆化學股份有限公司"/>
    <s v="CPCRM16719"/>
    <x v="44"/>
    <s v="CustomerProject"/>
    <s v="成本累積"/>
    <x v="2"/>
    <s v="Activity"/>
    <x v="7"/>
    <n v="614.49082527339999"/>
    <n v="64.000000000645741"/>
    <m/>
    <m/>
    <x v="2"/>
  </r>
  <r>
    <n v="2018"/>
    <x v="0"/>
    <s v="201803"/>
    <s v="Kelly Group"/>
    <s v="公隆化學股份有限公司"/>
    <s v="CPCRM16719"/>
    <x v="44"/>
    <s v="CustomerProject"/>
    <s v="成本累積"/>
    <x v="2"/>
    <s v="Activity"/>
    <x v="10"/>
    <n v="8295.6261411914002"/>
    <n v="864.00000000876958"/>
    <m/>
    <m/>
    <x v="2"/>
  </r>
  <r>
    <n v="2018"/>
    <x v="0"/>
    <s v="201803"/>
    <s v="Kelly Group"/>
    <s v="公隆化學股份有限公司"/>
    <s v="CPCRM17041"/>
    <x v="45"/>
    <s v="CustomerProject"/>
    <s v="成本累積"/>
    <x v="2"/>
    <s v="Activity"/>
    <x v="8"/>
    <n v="772.91424116420001"/>
    <n v="80.500000000812392"/>
    <m/>
    <m/>
    <x v="2"/>
  </r>
  <r>
    <n v="2018"/>
    <x v="0"/>
    <s v="201803"/>
    <s v="Kelly Group"/>
    <s v="公隆化學股份有限公司"/>
    <s v="CPCRM17041"/>
    <x v="45"/>
    <s v="CustomerProject"/>
    <s v="成本累積"/>
    <x v="2"/>
    <s v="Activity"/>
    <x v="12"/>
    <n v="2088.3086640151"/>
    <n v="217.50000000219759"/>
    <m/>
    <m/>
    <x v="2"/>
  </r>
  <r>
    <n v="2018"/>
    <x v="0"/>
    <s v="201803"/>
    <s v="Kelly Group"/>
    <s v="公隆化學股份有限公司"/>
    <s v="CPCRM17264"/>
    <x v="46"/>
    <s v="CustomerProject"/>
    <s v="成本累積"/>
    <x v="2"/>
    <s v="Activity"/>
    <x v="7"/>
    <n v="748.91069330200003"/>
    <n v="78.000000000791559"/>
    <m/>
    <m/>
    <x v="2"/>
  </r>
  <r>
    <n v="2018"/>
    <x v="0"/>
    <s v="201803"/>
    <s v="Kelly Group"/>
    <s v="公隆化學股份有限公司"/>
    <s v="CPCRM17264"/>
    <x v="46"/>
    <s v="CustomerProject"/>
    <s v="成本累積"/>
    <x v="2"/>
    <s v="Activity"/>
    <x v="10"/>
    <n v="3293.2867666998"/>
    <n v="343.00000000347865"/>
    <m/>
    <m/>
    <x v="2"/>
  </r>
  <r>
    <n v="2018"/>
    <x v="0"/>
    <s v="201803"/>
    <s v="Kelly Group"/>
    <s v="公隆化學股份有限公司"/>
    <s v="CPCRM17296"/>
    <x v="47"/>
    <s v="CustomerProject"/>
    <s v="成本累積"/>
    <x v="2"/>
    <s v="Activity"/>
    <x v="10"/>
    <n v="1536.2270631836"/>
    <n v="160.00000000162476"/>
    <m/>
    <m/>
    <x v="2"/>
  </r>
  <r>
    <n v="2018"/>
    <x v="0"/>
    <s v="201803"/>
    <s v="Kelly Group"/>
    <s v="公隆化學股份有限公司"/>
    <s v="CPCRM17382"/>
    <x v="48"/>
    <s v="CustomerProject"/>
    <s v="成本累積"/>
    <x v="2"/>
    <s v="Activity"/>
    <x v="7"/>
    <n v="1541.0277727560001"/>
    <n v="160.50000000162478"/>
    <m/>
    <m/>
    <x v="2"/>
  </r>
  <r>
    <n v="2018"/>
    <x v="0"/>
    <s v="201803"/>
    <s v="Kelly Group"/>
    <s v="公隆化學股份有限公司"/>
    <s v="CPCRM17382"/>
    <x v="48"/>
    <s v="CustomerProject"/>
    <s v="成本累積"/>
    <x v="2"/>
    <s v="Activity"/>
    <x v="8"/>
    <n v="1541.0277727560001"/>
    <n v="160.50000000162478"/>
    <m/>
    <m/>
    <x v="2"/>
  </r>
  <r>
    <n v="2018"/>
    <x v="0"/>
    <s v="201803"/>
    <s v="Kelly Group"/>
    <s v="公隆化學股份有限公司"/>
    <s v="CPCRM17382"/>
    <x v="48"/>
    <s v="CustomerProject"/>
    <s v="成本累積"/>
    <x v="2"/>
    <s v="Activity"/>
    <x v="3"/>
    <n v="1997.0951821387"/>
    <n v="208.00000000211429"/>
    <m/>
    <m/>
    <x v="2"/>
  </r>
  <r>
    <n v="2018"/>
    <x v="0"/>
    <s v="201803"/>
    <s v="Kelly Group"/>
    <s v="公隆化學股份有限公司"/>
    <s v="CPCRM17661"/>
    <x v="49"/>
    <s v="CustomerProject"/>
    <s v="成本累積"/>
    <x v="2"/>
    <s v="Activity"/>
    <x v="7"/>
    <n v="763.31282201930003"/>
    <n v="79.500000000801975"/>
    <m/>
    <m/>
    <x v="2"/>
  </r>
  <r>
    <n v="2018"/>
    <x v="0"/>
    <s v="201803"/>
    <s v="Kelly Group"/>
    <s v="公隆化學股份有限公司"/>
    <s v="CPCRM17661"/>
    <x v="49"/>
    <s v="CustomerProject"/>
    <s v="成本累積"/>
    <x v="2"/>
    <s v="Activity"/>
    <x v="8"/>
    <n v="763.31282201930003"/>
    <n v="79.500000000801975"/>
    <m/>
    <m/>
    <x v="2"/>
  </r>
  <r>
    <n v="2018"/>
    <x v="0"/>
    <s v="201803"/>
    <s v="Kelly Group"/>
    <s v="公隆化學股份有限公司"/>
    <s v="CPCRM17843"/>
    <x v="50"/>
    <s v="CustomerProject"/>
    <s v="成本累積"/>
    <x v="2"/>
    <s v="Activity"/>
    <x v="10"/>
    <n v="1315.3944228508999"/>
    <n v="137.00000000138522"/>
    <m/>
    <m/>
    <x v="2"/>
  </r>
  <r>
    <n v="2018"/>
    <x v="0"/>
    <s v="201803"/>
    <s v="Kelly Group"/>
    <s v="公隆化學股份有限公司"/>
    <s v="CPCRM19914"/>
    <x v="51"/>
    <s v="CustomerProject"/>
    <s v="成本累積"/>
    <x v="2"/>
    <s v="Activity"/>
    <x v="4"/>
    <n v="681.70075928769995"/>
    <n v="71.000000000718643"/>
    <m/>
    <m/>
    <x v="2"/>
  </r>
  <r>
    <n v="2018"/>
    <x v="0"/>
    <s v="201803"/>
    <s v="Kelly Group"/>
    <s v="公隆化學股份有限公司"/>
    <s v="CPCRM01110"/>
    <x v="52"/>
    <s v="CustomerProject"/>
    <s v="成本累積"/>
    <x v="2"/>
    <s v="Activity"/>
    <x v="3"/>
    <n v="4608.6811895507999"/>
    <n v="480.00000000487432"/>
    <m/>
    <m/>
    <x v="5"/>
  </r>
  <r>
    <n v="2018"/>
    <x v="0"/>
    <s v="201803"/>
    <s v="Kelly Group"/>
    <s v="公隆化學股份有限公司"/>
    <s v="CPCRM05175"/>
    <x v="53"/>
    <s v="CustomerProject"/>
    <s v="成本累積"/>
    <x v="2"/>
    <s v="Activity"/>
    <x v="12"/>
    <n v="1843.4724758202999"/>
    <n v="192.00000000194763"/>
    <m/>
    <m/>
    <x v="5"/>
  </r>
  <r>
    <n v="2018"/>
    <x v="0"/>
    <s v="201803"/>
    <s v="Kelly Group"/>
    <s v="公隆化學股份有限公司"/>
    <s v="CPCRM08459"/>
    <x v="54"/>
    <s v="CustomerProject"/>
    <s v="成本累積"/>
    <x v="2"/>
    <s v="Activity"/>
    <x v="10"/>
    <n v="144.02128717350001"/>
    <n v="15.000000000156229"/>
    <m/>
    <m/>
    <x v="5"/>
  </r>
  <r>
    <n v="2018"/>
    <x v="0"/>
    <s v="201803"/>
    <s v="Kelly Group"/>
    <s v="公隆化學股份有限公司"/>
    <s v="CPCRM08460"/>
    <x v="55"/>
    <s v="CustomerProject"/>
    <s v="成本累積"/>
    <x v="2"/>
    <s v="Activity"/>
    <x v="12"/>
    <n v="1536.2270631836"/>
    <n v="160.00000000162476"/>
    <m/>
    <m/>
    <x v="5"/>
  </r>
  <r>
    <n v="2018"/>
    <x v="0"/>
    <s v="201803"/>
    <s v="Kelly Group"/>
    <s v="公隆化學股份有限公司"/>
    <s v="CPCRM08511"/>
    <x v="56"/>
    <s v="CustomerProject"/>
    <s v="成本累積"/>
    <x v="2"/>
    <s v="Activity"/>
    <x v="10"/>
    <n v="1824.2696375304999"/>
    <n v="190.00000000192679"/>
    <m/>
    <m/>
    <x v="5"/>
  </r>
  <r>
    <n v="2018"/>
    <x v="0"/>
    <s v="201803"/>
    <s v="Kelly Group"/>
    <s v="公隆化學股份有限公司"/>
    <s v="CPCRM09345"/>
    <x v="57"/>
    <s v="CustomerProject"/>
    <s v="成本累積"/>
    <x v="2"/>
    <s v="Activity"/>
    <x v="12"/>
    <n v="4608.6811895507999"/>
    <n v="480.00000000487432"/>
    <m/>
    <m/>
    <x v="5"/>
  </r>
  <r>
    <n v="2018"/>
    <x v="0"/>
    <s v="201803"/>
    <s v="Kelly Group"/>
    <s v="公隆化學股份有限公司"/>
    <s v="CPCRM10801"/>
    <x v="58"/>
    <s v="CustomerProject"/>
    <s v="成本累積"/>
    <x v="2"/>
    <s v="Activity"/>
    <x v="12"/>
    <n v="6144.9082527341998"/>
    <n v="640.00000000647822"/>
    <m/>
    <m/>
    <x v="5"/>
  </r>
  <r>
    <n v="2018"/>
    <x v="0"/>
    <s v="201803"/>
    <s v="Kelly Group"/>
    <s v="公隆化學股份有限公司"/>
    <s v="CPCRM10912"/>
    <x v="59"/>
    <s v="CustomerProject"/>
    <s v="成本累積"/>
    <x v="2"/>
    <s v="Activity"/>
    <x v="12"/>
    <n v="864.12772304079999"/>
    <n v="90.000000000916529"/>
    <m/>
    <m/>
    <x v="5"/>
  </r>
  <r>
    <n v="2018"/>
    <x v="0"/>
    <s v="201803"/>
    <s v="Kelly Group"/>
    <s v="公隆化學股份有限公司"/>
    <s v="CPCRM10912"/>
    <x v="59"/>
    <s v="CustomerProject"/>
    <s v="成本累積"/>
    <x v="2"/>
    <s v="Activity"/>
    <x v="4"/>
    <n v="48.007095724499997"/>
    <n v="5.0000000000520757"/>
    <m/>
    <m/>
    <x v="5"/>
  </r>
  <r>
    <n v="2018"/>
    <x v="0"/>
    <s v="201803"/>
    <s v="Kelly Group"/>
    <s v="公隆化學股份有限公司"/>
    <s v="CPCRM12107"/>
    <x v="60"/>
    <s v="CustomerProject"/>
    <s v="成本累積"/>
    <x v="2"/>
    <s v="Activity"/>
    <x v="12"/>
    <n v="4608.6811895507999"/>
    <n v="480.00000000487432"/>
    <m/>
    <m/>
    <x v="5"/>
  </r>
  <r>
    <n v="2018"/>
    <x v="0"/>
    <s v="201803"/>
    <s v="Kelly Group"/>
    <s v="公隆化學股份有限公司"/>
    <s v="CPCRM12969"/>
    <x v="61"/>
    <s v="CustomerProject"/>
    <s v="成本累積"/>
    <x v="2"/>
    <s v="Activity"/>
    <x v="4"/>
    <n v="748.91069330200003"/>
    <n v="78.000000000791559"/>
    <m/>
    <m/>
    <x v="5"/>
  </r>
  <r>
    <n v="2018"/>
    <x v="0"/>
    <s v="201803"/>
    <s v="Kelly Group"/>
    <s v="公隆化學股份有限公司"/>
    <s v="CPCRM13504"/>
    <x v="62"/>
    <s v="CustomerProject"/>
    <s v="成本累積"/>
    <x v="2"/>
    <s v="Activity"/>
    <x v="10"/>
    <n v="1862.6753141101001"/>
    <n v="194.00000000196849"/>
    <m/>
    <m/>
    <x v="5"/>
  </r>
  <r>
    <n v="2018"/>
    <x v="0"/>
    <s v="201803"/>
    <s v="Kelly Group"/>
    <s v="公隆化學股份有限公司"/>
    <s v="CPCRM14218"/>
    <x v="63"/>
    <s v="CustomerProject"/>
    <s v="成本累積"/>
    <x v="2"/>
    <s v="Activity"/>
    <x v="10"/>
    <n v="2208.3264033263999"/>
    <n v="230.000000002333"/>
    <m/>
    <m/>
    <x v="5"/>
  </r>
  <r>
    <n v="2018"/>
    <x v="0"/>
    <s v="201803"/>
    <s v="Kelly Group"/>
    <s v="公隆化學股份有限公司"/>
    <s v="CPCRM16157"/>
    <x v="64"/>
    <s v="CustomerProject"/>
    <s v="成本累積"/>
    <x v="2"/>
    <s v="Activity"/>
    <x v="10"/>
    <n v="969.7433336345"/>
    <n v="101.00000000101028"/>
    <m/>
    <m/>
    <x v="5"/>
  </r>
  <r>
    <n v="2018"/>
    <x v="0"/>
    <s v="201803"/>
    <s v="Kelly Group"/>
    <s v="公隆化學股份有限公司"/>
    <s v="CPCRM16157"/>
    <x v="64"/>
    <s v="CustomerProject"/>
    <s v="成本累積"/>
    <x v="2"/>
    <s v="Activity"/>
    <x v="3"/>
    <n v="1392.2057760101"/>
    <n v="145.00000000146855"/>
    <m/>
    <m/>
    <x v="5"/>
  </r>
  <r>
    <n v="2018"/>
    <x v="0"/>
    <s v="201803"/>
    <s v="Kelly Group"/>
    <s v="公隆化學股份有限公司"/>
    <s v="CPCRM16897"/>
    <x v="65"/>
    <s v="CustomerProject"/>
    <s v="成本累積"/>
    <x v="2"/>
    <s v="Activity"/>
    <x v="8"/>
    <n v="2054.7036970080999"/>
    <n v="214.00000000217676"/>
    <m/>
    <m/>
    <x v="5"/>
  </r>
  <r>
    <n v="2018"/>
    <x v="0"/>
    <s v="201803"/>
    <s v="Kelly Group"/>
    <s v="公隆化學股份有限公司"/>
    <s v="CPCRM17040"/>
    <x v="66"/>
    <s v="CustomerProject"/>
    <s v="成本累積"/>
    <x v="2"/>
    <s v="Activity"/>
    <x v="8"/>
    <n v="1977.8923438490001"/>
    <n v="206.00000000210389"/>
    <m/>
    <m/>
    <x v="5"/>
  </r>
  <r>
    <n v="2018"/>
    <x v="0"/>
    <s v="201803"/>
    <s v="Kelly Group"/>
    <s v="公隆化學股份有限公司"/>
    <s v="CPCRM19559"/>
    <x v="67"/>
    <s v="CustomerProject"/>
    <s v="成本累積"/>
    <x v="2"/>
    <s v="Activity"/>
    <x v="10"/>
    <n v="1536.2270631836"/>
    <n v="160.00000000162476"/>
    <m/>
    <m/>
    <x v="5"/>
  </r>
  <r>
    <n v="2018"/>
    <x v="0"/>
    <s v="201803"/>
    <s v="Kelly Group"/>
    <s v="公隆化學股份有限公司"/>
    <s v="CPCRM19560"/>
    <x v="68"/>
    <s v="CustomerProject"/>
    <s v="成本累積"/>
    <x v="2"/>
    <s v="Activity"/>
    <x v="7"/>
    <n v="1661.0455120674001"/>
    <n v="173.00000000177059"/>
    <m/>
    <m/>
    <x v="5"/>
  </r>
  <r>
    <n v="2018"/>
    <x v="0"/>
    <s v="201803"/>
    <s v="Kelly Group"/>
    <s v="公隆化學股份有限公司"/>
    <s v="CPCRM19560"/>
    <x v="68"/>
    <s v="CustomerProject"/>
    <s v="成本累積"/>
    <x v="2"/>
    <s v="Activity"/>
    <x v="12"/>
    <n v="3907.7775919731998"/>
    <n v="407.00000000412439"/>
    <m/>
    <m/>
    <x v="5"/>
  </r>
  <r>
    <n v="2018"/>
    <x v="0"/>
    <s v="201803"/>
    <s v="Kelly Group"/>
    <s v="公隆化學股份有限公司"/>
    <s v="CPCRM19947"/>
    <x v="69"/>
    <s v="CustomerProject"/>
    <s v="成本累積"/>
    <x v="2"/>
    <s v="Activity"/>
    <x v="14"/>
    <n v="1276.9887462710999"/>
    <n v="133.00000000132272"/>
    <m/>
    <m/>
    <x v="5"/>
  </r>
  <r>
    <n v="2018"/>
    <x v="0"/>
    <s v="201803"/>
    <s v="Kelly Group"/>
    <s v="公隆化學股份有限公司"/>
    <s v="CPCRM20039"/>
    <x v="70"/>
    <s v="CustomerProject"/>
    <s v="成本累積"/>
    <x v="2"/>
    <s v="Activity"/>
    <x v="12"/>
    <n v="2736.4044562958002"/>
    <n v="285.00000000289543"/>
    <m/>
    <m/>
    <x v="5"/>
  </r>
  <r>
    <n v="2018"/>
    <x v="0"/>
    <s v="201803"/>
    <s v="Kelly Group"/>
    <s v="公隆化學股份有限公司"/>
    <s v="CPCRM20153"/>
    <x v="71"/>
    <s v="CustomerProject"/>
    <s v="成本累積"/>
    <x v="2"/>
    <s v="Activity"/>
    <x v="3"/>
    <n v="1353.8000994305"/>
    <n v="141.00000000142688"/>
    <m/>
    <m/>
    <x v="5"/>
  </r>
  <r>
    <n v="2018"/>
    <x v="0"/>
    <s v="201803"/>
    <s v="Kelly Group"/>
    <s v="公隆化學股份有限公司"/>
    <s v="CPCRM20154"/>
    <x v="72"/>
    <s v="CustomerProject"/>
    <s v="成本累積"/>
    <x v="2"/>
    <s v="Activity"/>
    <x v="6"/>
    <n v="432.0638615204"/>
    <n v="45.000000000458265"/>
    <m/>
    <m/>
    <x v="5"/>
  </r>
  <r>
    <n v="2018"/>
    <x v="0"/>
    <s v="201803"/>
    <s v="Kelly Group"/>
    <s v="公隆化學股份有限公司"/>
    <s v="CPCRM20195"/>
    <x v="73"/>
    <s v="CustomerProject"/>
    <s v="成本累積"/>
    <x v="2"/>
    <s v="Activity"/>
    <x v="3"/>
    <n v="2697.9987797161998"/>
    <n v="281.00000000285377"/>
    <m/>
    <m/>
    <x v="5"/>
  </r>
  <r>
    <n v="2018"/>
    <x v="0"/>
    <s v="201803"/>
    <s v="Kelly Group"/>
    <s v="公隆化學股份有限公司"/>
    <s v="CPCRM20254"/>
    <x v="74"/>
    <s v="CustomerProject"/>
    <s v="成本累積"/>
    <x v="2"/>
    <s v="Activity"/>
    <x v="12"/>
    <n v="4464.6599023772997"/>
    <n v="465.00000000471806"/>
    <m/>
    <m/>
    <x v="5"/>
  </r>
  <r>
    <n v="2018"/>
    <x v="0"/>
    <s v="201803"/>
    <s v="Kelly Group"/>
    <s v="公隆化學股份有限公司"/>
    <s v="CP other cus"/>
    <x v="31"/>
    <s v="CustomerProject"/>
    <s v="成本累積"/>
    <x v="2"/>
    <s v="Activity"/>
    <x v="9"/>
    <n v="82956.261411913598"/>
    <n v="8640.0000000876535"/>
    <m/>
    <m/>
    <x v="4"/>
  </r>
  <r>
    <n v="2018"/>
    <x v="0"/>
    <s v="201803"/>
    <s v="Kelly Group"/>
    <s v="公隆化學股份有限公司"/>
    <s v="CP永光二廠"/>
    <x v="75"/>
    <s v="CustomerProject"/>
    <s v="成本累積"/>
    <x v="2"/>
    <s v="Activity"/>
    <x v="12"/>
    <n v="921.73623791019997"/>
    <n v="96.000000000979028"/>
    <m/>
    <m/>
    <x v="5"/>
  </r>
  <r>
    <n v="2018"/>
    <x v="0"/>
    <s v="201803"/>
    <s v="Kelly Group"/>
    <s v="公隆化學股份有限公司"/>
    <s v="CPCRM05498"/>
    <x v="3"/>
    <s v="CustomerProject"/>
    <s v="成本歸屬至產品"/>
    <x v="2"/>
    <m/>
    <x v="15"/>
    <n v="-4608.6811895506999"/>
    <m/>
    <s v="88000428"/>
    <n v="3"/>
    <x v="2"/>
  </r>
  <r>
    <n v="2018"/>
    <x v="0"/>
    <s v="201803"/>
    <s v="Kelly Group"/>
    <s v="公隆化學股份有限公司"/>
    <s v="CPCRM05498"/>
    <x v="3"/>
    <s v="CustomerProject"/>
    <s v="成本歸屬至產品"/>
    <x v="2"/>
    <m/>
    <x v="15"/>
    <n v="-1035"/>
    <m/>
    <s v="88000428"/>
    <n v="3"/>
    <x v="2"/>
  </r>
  <r>
    <n v="2018"/>
    <x v="0"/>
    <s v="201803"/>
    <s v="Kelly Group"/>
    <s v="公隆化學股份有限公司"/>
    <s v="CPCRM10771"/>
    <x v="38"/>
    <s v="CustomerProject"/>
    <s v="成本歸屬至產品"/>
    <x v="2"/>
    <m/>
    <x v="15"/>
    <n v="-1241.5159374412999"/>
    <m/>
    <s v="88000411"/>
    <n v="17"/>
    <x v="2"/>
  </r>
  <r>
    <n v="2018"/>
    <x v="0"/>
    <s v="201803"/>
    <s v="Kelly Group"/>
    <s v="公隆化學股份有限公司"/>
    <s v="CPCRM10771"/>
    <x v="38"/>
    <s v="CustomerProject"/>
    <s v="成本歸屬至產品"/>
    <x v="2"/>
    <m/>
    <x v="15"/>
    <n v="-1062.824657334"/>
    <m/>
    <s v="88000413"/>
    <n v="19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89.291759581400001"/>
    <m/>
    <s v="87000085"/>
    <n v="1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106.6540461667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1654.9585503317001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1195.3736177498999"/>
    <m/>
    <s v="88000426"/>
    <n v="36"/>
    <x v="2"/>
  </r>
  <r>
    <n v="2018"/>
    <x v="0"/>
    <s v="201803"/>
    <s v="Kelly Group"/>
    <s v="公隆化學股份有限公司"/>
    <s v="CPCRM11533"/>
    <x v="5"/>
    <s v="CustomerProject"/>
    <s v="成本歸屬至產品"/>
    <x v="2"/>
    <m/>
    <x v="15"/>
    <n v="-453.10893807709999"/>
    <m/>
    <s v="88000423"/>
    <n v="17"/>
    <x v="2"/>
  </r>
  <r>
    <n v="2018"/>
    <x v="0"/>
    <s v="201803"/>
    <s v="Kelly Group"/>
    <s v="公隆化學股份有限公司"/>
    <s v="CPCRM11533"/>
    <x v="5"/>
    <s v="CustomerProject"/>
    <s v="成本歸屬至產品"/>
    <x v="2"/>
    <m/>
    <x v="15"/>
    <n v="-828.68051776669995"/>
    <m/>
    <s v="88000426"/>
    <n v="18"/>
    <x v="2"/>
  </r>
  <r>
    <n v="2018"/>
    <x v="0"/>
    <s v="201803"/>
    <s v="Kelly Group"/>
    <s v="公隆化學股份有限公司"/>
    <s v="CPCRM11533"/>
    <x v="5"/>
    <s v="CustomerProject"/>
    <s v="成本歸屬至產品"/>
    <x v="2"/>
    <m/>
    <x v="15"/>
    <n v="-1267.6868042832"/>
    <m/>
    <s v="88000423"/>
    <n v="17"/>
    <x v="2"/>
  </r>
  <r>
    <n v="2018"/>
    <x v="0"/>
    <s v="201803"/>
    <s v="Kelly Group"/>
    <s v="公隆化學股份有限公司"/>
    <s v="CPCRM11533"/>
    <x v="5"/>
    <s v="CustomerProject"/>
    <s v="成本歸屬至產品"/>
    <x v="2"/>
    <m/>
    <x v="15"/>
    <n v="-2318.4432463359999"/>
    <m/>
    <s v="88000426"/>
    <n v="18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402.44173332449998"/>
    <m/>
    <s v="87000085"/>
    <n v="1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480.69429258209999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2163.1243166195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1562.4208470246999"/>
    <m/>
    <s v="88000426"/>
    <n v="36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307.89926517800001"/>
    <m/>
    <s v="87000085"/>
    <n v="1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367.76856674039999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479.94320774990001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346.66212543360001"/>
    <m/>
    <s v="88000426"/>
    <n v="36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290.51262624370003"/>
    <m/>
    <s v="87000085"/>
    <n v="1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347.00119245769997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1561.5053660596"/>
    <m/>
    <s v="88000407"/>
    <n v="187"/>
    <x v="2"/>
  </r>
  <r>
    <n v="2018"/>
    <x v="0"/>
    <s v="201803"/>
    <s v="Kelly Group"/>
    <s v="公隆化學股份有限公司"/>
    <s v="CPCRM10848"/>
    <x v="4"/>
    <s v="CustomerProject"/>
    <s v="成本歸屬至產品"/>
    <x v="2"/>
    <m/>
    <x v="15"/>
    <n v="-1127.8725489460001"/>
    <m/>
    <s v="88000426"/>
    <n v="36"/>
    <x v="2"/>
  </r>
  <r>
    <n v="2018"/>
    <x v="0"/>
    <s v="201803"/>
    <s v="Kelly Group"/>
    <s v="公隆化學股份有限公司"/>
    <s v="CPCRM11533"/>
    <x v="5"/>
    <s v="CustomerProject"/>
    <s v="成本歸屬至產品"/>
    <x v="2"/>
    <m/>
    <x v="15"/>
    <n v="-3002.2514177694002"/>
    <m/>
    <s v="88000423"/>
    <n v="17"/>
    <x v="2"/>
  </r>
  <r>
    <n v="2018"/>
    <x v="0"/>
    <s v="201803"/>
    <s v="Kelly Group"/>
    <s v="公隆化學股份有限公司"/>
    <s v="CPCRM11533"/>
    <x v="5"/>
    <s v="CustomerProject"/>
    <s v="成本歸屬至產品"/>
    <x v="2"/>
    <m/>
    <x v="15"/>
    <n v="-5490.7485822305998"/>
    <m/>
    <s v="88000426"/>
    <n v="18"/>
    <x v="2"/>
  </r>
  <r>
    <n v="2018"/>
    <x v="0"/>
    <s v="201803"/>
    <s v="Kelly Group"/>
    <s v="公隆化學股份有限公司"/>
    <s v="CPCRM16719"/>
    <x v="44"/>
    <s v="CustomerProject"/>
    <s v="成本歸屬至產品"/>
    <x v="2"/>
    <m/>
    <x v="15"/>
    <n v="-614.49082527339999"/>
    <m/>
    <s v="88000522"/>
    <n v="16"/>
    <x v="2"/>
  </r>
  <r>
    <n v="2018"/>
    <x v="0"/>
    <s v="201803"/>
    <s v="Kelly Group"/>
    <s v="公隆化學股份有限公司"/>
    <s v="CPCRM16719"/>
    <x v="44"/>
    <s v="CustomerProject"/>
    <s v="成本歸屬至產品"/>
    <x v="2"/>
    <m/>
    <x v="15"/>
    <n v="-8295.6261411914002"/>
    <m/>
    <s v="88000522"/>
    <n v="16"/>
    <x v="2"/>
  </r>
  <r>
    <n v="2018"/>
    <x v="0"/>
    <s v="201803"/>
    <s v="Kelly Group"/>
    <s v="公隆化學股份有限公司"/>
    <s v="CPCRM17296"/>
    <x v="47"/>
    <s v="CustomerProject"/>
    <s v="成本歸屬至產品"/>
    <x v="2"/>
    <m/>
    <x v="15"/>
    <n v="-1536.2270631836"/>
    <m/>
    <s v="88000513"/>
    <n v="16"/>
    <x v="2"/>
  </r>
  <r>
    <n v="2018"/>
    <x v="1"/>
    <s v="201804"/>
    <s v="Kelly Group"/>
    <s v="公隆化學股份有限公司"/>
    <s v="CPunknow"/>
    <x v="0"/>
    <s v="CustomerProject"/>
    <s v="成本累積"/>
    <x v="0"/>
    <s v="Resource"/>
    <x v="0"/>
    <n v="3991"/>
    <m/>
    <m/>
    <m/>
    <x v="0"/>
  </r>
  <r>
    <n v="2018"/>
    <x v="1"/>
    <s v="201804"/>
    <s v="Kelly Group"/>
    <s v="公隆化學股份有限公司"/>
    <s v="CPCRM00400"/>
    <x v="76"/>
    <s v="CustomerProject"/>
    <s v="成本累積"/>
    <x v="1"/>
    <s v="Resource"/>
    <x v="0"/>
    <n v="3500"/>
    <m/>
    <m/>
    <m/>
    <x v="1"/>
  </r>
  <r>
    <n v="2018"/>
    <x v="1"/>
    <s v="201804"/>
    <s v="Kelly Group"/>
    <s v="公隆化學股份有限公司"/>
    <s v="CPCRM00696"/>
    <x v="1"/>
    <s v="CustomerProject"/>
    <s v="成本累積"/>
    <x v="1"/>
    <s v="Resource"/>
    <x v="1"/>
    <n v="0"/>
    <m/>
    <m/>
    <m/>
    <x v="1"/>
  </r>
  <r>
    <n v="2018"/>
    <x v="1"/>
    <s v="201804"/>
    <s v="Kelly Group"/>
    <s v="公隆化學股份有限公司"/>
    <s v="CPCRM00696"/>
    <x v="1"/>
    <s v="CustomerProject"/>
    <s v="成本累積"/>
    <x v="1"/>
    <s v="Resource"/>
    <x v="2"/>
    <n v="0"/>
    <m/>
    <m/>
    <m/>
    <x v="1"/>
  </r>
  <r>
    <n v="2018"/>
    <x v="1"/>
    <s v="201804"/>
    <s v="Kelly Group"/>
    <s v="公隆化學股份有限公司"/>
    <s v="CPCRM00911"/>
    <x v="2"/>
    <s v="CustomerProject"/>
    <s v="成本累積"/>
    <x v="1"/>
    <s v="Resource"/>
    <x v="2"/>
    <n v="0"/>
    <m/>
    <m/>
    <m/>
    <x v="1"/>
  </r>
  <r>
    <n v="2018"/>
    <x v="1"/>
    <s v="201804"/>
    <s v="Kelly Group"/>
    <s v="公隆化學股份有限公司"/>
    <s v="CP華震科技"/>
    <x v="77"/>
    <s v="CustomerProject"/>
    <s v="成本累積"/>
    <x v="1"/>
    <s v="Resource"/>
    <x v="0"/>
    <n v="1500"/>
    <m/>
    <m/>
    <m/>
    <x v="3"/>
  </r>
  <r>
    <n v="2018"/>
    <x v="1"/>
    <s v="201804"/>
    <s v="Kelly Group"/>
    <s v="公隆化學股份有限公司"/>
    <s v="CPunknow"/>
    <x v="0"/>
    <s v="CustomerProject"/>
    <s v="成本累積"/>
    <x v="1"/>
    <s v="Resource"/>
    <x v="0"/>
    <n v="11664"/>
    <m/>
    <m/>
    <m/>
    <x v="0"/>
  </r>
  <r>
    <n v="2018"/>
    <x v="1"/>
    <s v="201804"/>
    <s v="Kelly Group"/>
    <s v="公隆化學股份有限公司"/>
    <s v="CPEMERSON"/>
    <x v="78"/>
    <s v="CustomerProject"/>
    <s v="成本累積"/>
    <x v="1"/>
    <s v="Resource"/>
    <x v="0"/>
    <n v="1467"/>
    <m/>
    <m/>
    <m/>
    <x v="1"/>
  </r>
  <r>
    <n v="2018"/>
    <x v="1"/>
    <s v="201804"/>
    <s v="Kelly Group"/>
    <s v="公隆化學股份有限公司"/>
    <s v="CPCRM05498"/>
    <x v="3"/>
    <s v="CustomerProject"/>
    <s v="成本累積"/>
    <x v="2"/>
    <s v="Resource"/>
    <x v="1"/>
    <n v="0"/>
    <m/>
    <m/>
    <m/>
    <x v="2"/>
  </r>
  <r>
    <n v="2018"/>
    <x v="1"/>
    <s v="201804"/>
    <s v="Kelly Group"/>
    <s v="公隆化學股份有限公司"/>
    <s v="CPCRM10848"/>
    <x v="4"/>
    <s v="CustomerProject"/>
    <s v="成本累積"/>
    <x v="2"/>
    <s v="Resource"/>
    <x v="1"/>
    <n v="0"/>
    <m/>
    <m/>
    <m/>
    <x v="2"/>
  </r>
  <r>
    <n v="2018"/>
    <x v="1"/>
    <s v="201804"/>
    <s v="Kelly Group"/>
    <s v="公隆化學股份有限公司"/>
    <s v="CPCRM10848"/>
    <x v="4"/>
    <s v="CustomerProject"/>
    <s v="成本累積"/>
    <x v="2"/>
    <s v="Resource"/>
    <x v="0"/>
    <n v="1600"/>
    <m/>
    <m/>
    <m/>
    <x v="2"/>
  </r>
  <r>
    <n v="2018"/>
    <x v="1"/>
    <s v="201804"/>
    <s v="Kelly Group"/>
    <s v="公隆化學股份有限公司"/>
    <s v="CPCRM11533"/>
    <x v="5"/>
    <s v="CustomerProject"/>
    <s v="成本累積"/>
    <x v="2"/>
    <s v="Resource"/>
    <x v="1"/>
    <n v="0"/>
    <m/>
    <m/>
    <m/>
    <x v="2"/>
  </r>
  <r>
    <n v="2018"/>
    <x v="1"/>
    <s v="201804"/>
    <s v="Kelly Group"/>
    <s v="公隆化學股份有限公司"/>
    <s v="CPCRM17381"/>
    <x v="79"/>
    <s v="CustomerProject"/>
    <s v="成本累積"/>
    <x v="2"/>
    <s v="Resource"/>
    <x v="1"/>
    <n v="535"/>
    <m/>
    <m/>
    <m/>
    <x v="2"/>
  </r>
  <r>
    <n v="2018"/>
    <x v="1"/>
    <s v="201804"/>
    <s v="Kelly Group"/>
    <s v="公隆化學股份有限公司"/>
    <s v="CPCRM19822"/>
    <x v="80"/>
    <s v="CustomerProject"/>
    <s v="成本累積"/>
    <x v="2"/>
    <s v="Resource"/>
    <x v="0"/>
    <n v="3500"/>
    <m/>
    <m/>
    <m/>
    <x v="2"/>
  </r>
  <r>
    <n v="2018"/>
    <x v="1"/>
    <s v="201804"/>
    <s v="Kelly Group"/>
    <s v="公隆化學股份有限公司"/>
    <s v="CPunknow"/>
    <x v="0"/>
    <s v="CustomerProject"/>
    <s v="成本累積"/>
    <x v="2"/>
    <s v="Resource"/>
    <x v="0"/>
    <n v="5409"/>
    <m/>
    <m/>
    <m/>
    <x v="0"/>
  </r>
  <r>
    <n v="2018"/>
    <x v="1"/>
    <s v="201804"/>
    <s v="Kelly Group"/>
    <s v="公隆化學股份有限公司"/>
    <s v="CPCRM00550"/>
    <x v="6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0783"/>
    <x v="7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0937"/>
    <x v="8"/>
    <s v="CustomerProject"/>
    <s v="成本累積"/>
    <x v="1"/>
    <s v="Activity"/>
    <x v="4"/>
    <n v="0"/>
    <n v="0"/>
    <m/>
    <m/>
    <x v="3"/>
  </r>
  <r>
    <n v="2018"/>
    <x v="1"/>
    <s v="201804"/>
    <s v="Kelly Group"/>
    <s v="公隆化學股份有限公司"/>
    <s v="CPCRM01037"/>
    <x v="9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37"/>
    <x v="9"/>
    <s v="CustomerProject"/>
    <s v="成本累積"/>
    <x v="1"/>
    <s v="Activity"/>
    <x v="6"/>
    <n v="1129.1180555556"/>
    <n v="15.000000000007971"/>
    <m/>
    <m/>
    <x v="3"/>
  </r>
  <r>
    <n v="2018"/>
    <x v="1"/>
    <s v="201804"/>
    <s v="Kelly Group"/>
    <s v="公隆化學股份有限公司"/>
    <s v="CPCRM01042"/>
    <x v="10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42"/>
    <x v="10"/>
    <s v="CustomerProject"/>
    <s v="成本累積"/>
    <x v="1"/>
    <s v="Activity"/>
    <x v="6"/>
    <n v="0"/>
    <n v="0"/>
    <m/>
    <m/>
    <x v="3"/>
  </r>
  <r>
    <n v="2018"/>
    <x v="1"/>
    <s v="201804"/>
    <s v="Kelly Group"/>
    <s v="公隆化學股份有限公司"/>
    <s v="CPCRM01046"/>
    <x v="81"/>
    <s v="CustomerProject"/>
    <s v="成本累積"/>
    <x v="1"/>
    <s v="Activity"/>
    <x v="16"/>
    <n v="4140.0995370370001"/>
    <n v="55.000000000026567"/>
    <m/>
    <m/>
    <x v="3"/>
  </r>
  <r>
    <n v="2018"/>
    <x v="1"/>
    <s v="201804"/>
    <s v="Kelly Group"/>
    <s v="公隆化學股份有限公司"/>
    <s v="CPCRM01049"/>
    <x v="11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52"/>
    <x v="12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53"/>
    <x v="82"/>
    <s v="CustomerProject"/>
    <s v="成本累積"/>
    <x v="1"/>
    <s v="Activity"/>
    <x v="5"/>
    <n v="7602.7282407407001"/>
    <n v="101.00000000004916"/>
    <m/>
    <m/>
    <x v="3"/>
  </r>
  <r>
    <n v="2018"/>
    <x v="1"/>
    <s v="201804"/>
    <s v="Kelly Group"/>
    <s v="公隆化學股份有限公司"/>
    <s v="CPCRM01090"/>
    <x v="13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91"/>
    <x v="14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91"/>
    <x v="14"/>
    <s v="CustomerProject"/>
    <s v="成本累積"/>
    <x v="1"/>
    <s v="Activity"/>
    <x v="6"/>
    <n v="0"/>
    <n v="0"/>
    <m/>
    <m/>
    <x v="3"/>
  </r>
  <r>
    <n v="2018"/>
    <x v="1"/>
    <s v="201804"/>
    <s v="Kelly Group"/>
    <s v="公隆化學股份有限公司"/>
    <s v="CPCRM01093"/>
    <x v="15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94"/>
    <x v="16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094"/>
    <x v="16"/>
    <s v="CustomerProject"/>
    <s v="成本累積"/>
    <x v="1"/>
    <s v="Activity"/>
    <x v="5"/>
    <n v="0"/>
    <n v="0"/>
    <m/>
    <m/>
    <x v="3"/>
  </r>
  <r>
    <n v="2018"/>
    <x v="1"/>
    <s v="201804"/>
    <s v="Kelly Group"/>
    <s v="公隆化學股份有限公司"/>
    <s v="CPCRM01094"/>
    <x v="16"/>
    <s v="CustomerProject"/>
    <s v="成本累積"/>
    <x v="1"/>
    <s v="Activity"/>
    <x v="6"/>
    <n v="19947.752314814799"/>
    <n v="265.00000000013017"/>
    <m/>
    <m/>
    <x v="3"/>
  </r>
  <r>
    <n v="2018"/>
    <x v="1"/>
    <s v="201804"/>
    <s v="Kelly Group"/>
    <s v="公隆化學股份有限公司"/>
    <s v="CPCRM01095"/>
    <x v="17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095"/>
    <x v="17"/>
    <s v="CustomerProject"/>
    <s v="成本累積"/>
    <x v="1"/>
    <s v="Activity"/>
    <x v="5"/>
    <n v="8355.4736111110997"/>
    <n v="111.00000000005446"/>
    <m/>
    <m/>
    <x v="3"/>
  </r>
  <r>
    <n v="2018"/>
    <x v="1"/>
    <s v="201804"/>
    <s v="Kelly Group"/>
    <s v="公隆化學股份有限公司"/>
    <s v="CPCRM01095"/>
    <x v="17"/>
    <s v="CustomerProject"/>
    <s v="成本累積"/>
    <x v="1"/>
    <s v="Activity"/>
    <x v="6"/>
    <n v="0"/>
    <n v="0"/>
    <m/>
    <m/>
    <x v="3"/>
  </r>
  <r>
    <n v="2018"/>
    <x v="1"/>
    <s v="201804"/>
    <s v="Kelly Group"/>
    <s v="公隆化學股份有限公司"/>
    <s v="CPCRM01096"/>
    <x v="18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097"/>
    <x v="19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097"/>
    <x v="19"/>
    <s v="CustomerProject"/>
    <s v="成本累積"/>
    <x v="1"/>
    <s v="Activity"/>
    <x v="6"/>
    <n v="0"/>
    <n v="0"/>
    <m/>
    <m/>
    <x v="3"/>
  </r>
  <r>
    <n v="2018"/>
    <x v="1"/>
    <s v="201804"/>
    <s v="Kelly Group"/>
    <s v="公隆化學股份有限公司"/>
    <s v="CPCRM01101"/>
    <x v="20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101"/>
    <x v="20"/>
    <s v="CustomerProject"/>
    <s v="成本累積"/>
    <x v="1"/>
    <s v="Activity"/>
    <x v="5"/>
    <n v="10237.337037037099"/>
    <n v="136.00000000006773"/>
    <m/>
    <m/>
    <x v="3"/>
  </r>
  <r>
    <n v="2018"/>
    <x v="1"/>
    <s v="201804"/>
    <s v="Kelly Group"/>
    <s v="公隆化學股份有限公司"/>
    <s v="CPCRM01102"/>
    <x v="21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103"/>
    <x v="22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105"/>
    <x v="23"/>
    <s v="CustomerProject"/>
    <s v="成本累積"/>
    <x v="1"/>
    <s v="Activity"/>
    <x v="7"/>
    <n v="0"/>
    <n v="0"/>
    <m/>
    <m/>
    <x v="3"/>
  </r>
  <r>
    <n v="2018"/>
    <x v="1"/>
    <s v="201804"/>
    <s v="Kelly Group"/>
    <s v="公隆化學股份有限公司"/>
    <s v="CPCRM01105"/>
    <x v="23"/>
    <s v="CustomerProject"/>
    <s v="成本累積"/>
    <x v="1"/>
    <s v="Activity"/>
    <x v="8"/>
    <n v="0"/>
    <n v="0"/>
    <m/>
    <m/>
    <x v="3"/>
  </r>
  <r>
    <n v="2018"/>
    <x v="1"/>
    <s v="201804"/>
    <s v="Kelly Group"/>
    <s v="公隆化學股份有限公司"/>
    <s v="CPCRM01111"/>
    <x v="24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117"/>
    <x v="25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118"/>
    <x v="26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01121"/>
    <x v="83"/>
    <s v="CustomerProject"/>
    <s v="成本累積"/>
    <x v="1"/>
    <s v="Activity"/>
    <x v="3"/>
    <n v="12871.9458333333"/>
    <n v="171.0000000000837"/>
    <m/>
    <m/>
    <x v="3"/>
  </r>
  <r>
    <n v="2018"/>
    <x v="1"/>
    <s v="201804"/>
    <s v="Kelly Group"/>
    <s v="公隆化學股份有限公司"/>
    <s v="CPCRM01122"/>
    <x v="84"/>
    <s v="CustomerProject"/>
    <s v="成本累積"/>
    <x v="1"/>
    <s v="Activity"/>
    <x v="3"/>
    <n v="11667.553240740701"/>
    <n v="155.00000000007574"/>
    <m/>
    <m/>
    <x v="3"/>
  </r>
  <r>
    <n v="2018"/>
    <x v="1"/>
    <s v="201804"/>
    <s v="Kelly Group"/>
    <s v="公隆化學股份有限公司"/>
    <s v="CPCRM01123"/>
    <x v="85"/>
    <s v="CustomerProject"/>
    <s v="成本累積"/>
    <x v="1"/>
    <s v="Activity"/>
    <x v="3"/>
    <n v="6172.5120370369996"/>
    <n v="82.000000000039847"/>
    <m/>
    <m/>
    <x v="3"/>
  </r>
  <r>
    <n v="2018"/>
    <x v="1"/>
    <s v="201804"/>
    <s v="Kelly Group"/>
    <s v="公隆化學股份有限公司"/>
    <s v="CPCRM01124"/>
    <x v="86"/>
    <s v="CustomerProject"/>
    <s v="成本累積"/>
    <x v="1"/>
    <s v="Activity"/>
    <x v="3"/>
    <n v="5419.7666666667001"/>
    <n v="72.000000000035868"/>
    <m/>
    <m/>
    <x v="3"/>
  </r>
  <r>
    <n v="2018"/>
    <x v="1"/>
    <s v="201804"/>
    <s v="Kelly Group"/>
    <s v="公隆化學股份有限公司"/>
    <s v="CPCRM01125"/>
    <x v="87"/>
    <s v="CustomerProject"/>
    <s v="成本累積"/>
    <x v="1"/>
    <s v="Activity"/>
    <x v="3"/>
    <n v="7376.9046296296001"/>
    <n v="98.00000000004782"/>
    <m/>
    <m/>
    <x v="3"/>
  </r>
  <r>
    <n v="2018"/>
    <x v="1"/>
    <s v="201804"/>
    <s v="Kelly Group"/>
    <s v="公隆化學股份有限公司"/>
    <s v="CPCRM01126"/>
    <x v="88"/>
    <s v="CustomerProject"/>
    <s v="成本累積"/>
    <x v="1"/>
    <s v="Activity"/>
    <x v="3"/>
    <n v="5269.2175925926003"/>
    <n v="70.000000000034547"/>
    <m/>
    <m/>
    <x v="3"/>
  </r>
  <r>
    <n v="2018"/>
    <x v="1"/>
    <s v="201804"/>
    <s v="Kelly Group"/>
    <s v="公隆化學股份有限公司"/>
    <s v="CPCRM01127"/>
    <x v="89"/>
    <s v="CustomerProject"/>
    <s v="成本累積"/>
    <x v="1"/>
    <s v="Activity"/>
    <x v="3"/>
    <n v="11818.1023148148"/>
    <n v="157.00000000007705"/>
    <m/>
    <m/>
    <x v="3"/>
  </r>
  <r>
    <n v="2018"/>
    <x v="1"/>
    <s v="201804"/>
    <s v="Kelly Group"/>
    <s v="公隆化學股份有限公司"/>
    <s v="CPCRM01128"/>
    <x v="90"/>
    <s v="CustomerProject"/>
    <s v="成本累積"/>
    <x v="1"/>
    <s v="Activity"/>
    <x v="3"/>
    <n v="7527.4537037036998"/>
    <n v="100.00000000004916"/>
    <m/>
    <m/>
    <x v="3"/>
  </r>
  <r>
    <n v="2018"/>
    <x v="1"/>
    <s v="201804"/>
    <s v="Kelly Group"/>
    <s v="公隆化學股份有限公司"/>
    <s v="CPCRM01129"/>
    <x v="91"/>
    <s v="CustomerProject"/>
    <s v="成本累積"/>
    <x v="1"/>
    <s v="Activity"/>
    <x v="3"/>
    <n v="14151.612962963"/>
    <n v="188.000000000093"/>
    <m/>
    <m/>
    <x v="3"/>
  </r>
  <r>
    <n v="2018"/>
    <x v="1"/>
    <s v="201804"/>
    <s v="Kelly Group"/>
    <s v="公隆化學股份有限公司"/>
    <s v="CPCRM01129"/>
    <x v="91"/>
    <s v="CustomerProject"/>
    <s v="成本累積"/>
    <x v="1"/>
    <s v="Activity"/>
    <x v="5"/>
    <n v="17162.594444444399"/>
    <n v="228.00000000011158"/>
    <m/>
    <m/>
    <x v="3"/>
  </r>
  <r>
    <n v="2018"/>
    <x v="1"/>
    <s v="201804"/>
    <s v="Kelly Group"/>
    <s v="公隆化學股份有限公司"/>
    <s v="CPCRM01130"/>
    <x v="92"/>
    <s v="CustomerProject"/>
    <s v="成本累積"/>
    <x v="1"/>
    <s v="Activity"/>
    <x v="17"/>
    <n v="10312.611574074101"/>
    <n v="137.00000000006776"/>
    <m/>
    <m/>
    <x v="3"/>
  </r>
  <r>
    <n v="2018"/>
    <x v="1"/>
    <s v="201804"/>
    <s v="Kelly Group"/>
    <s v="公隆化學股份有限公司"/>
    <s v="CPCRM01132"/>
    <x v="93"/>
    <s v="CustomerProject"/>
    <s v="成本累積"/>
    <x v="1"/>
    <s v="Activity"/>
    <x v="3"/>
    <n v="11667.553240740701"/>
    <n v="155.00000000007574"/>
    <m/>
    <m/>
    <x v="3"/>
  </r>
  <r>
    <n v="2018"/>
    <x v="1"/>
    <s v="201804"/>
    <s v="Kelly Group"/>
    <s v="公隆化學股份有限公司"/>
    <s v="CPCRM01133"/>
    <x v="94"/>
    <s v="CustomerProject"/>
    <s v="成本累積"/>
    <x v="1"/>
    <s v="Activity"/>
    <x v="3"/>
    <n v="4140.0995370370001"/>
    <n v="55.000000000026567"/>
    <m/>
    <m/>
    <x v="3"/>
  </r>
  <r>
    <n v="2018"/>
    <x v="1"/>
    <s v="201804"/>
    <s v="Kelly Group"/>
    <s v="公隆化學股份有限公司"/>
    <s v="CPCRM01140"/>
    <x v="95"/>
    <s v="CustomerProject"/>
    <s v="成本累積"/>
    <x v="1"/>
    <s v="Activity"/>
    <x v="3"/>
    <n v="12495.5731481482"/>
    <n v="166.00000000008237"/>
    <m/>
    <m/>
    <x v="3"/>
  </r>
  <r>
    <n v="2018"/>
    <x v="1"/>
    <s v="201804"/>
    <s v="Kelly Group"/>
    <s v="公隆化學股份有限公司"/>
    <s v="CPCRM1106"/>
    <x v="27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1106"/>
    <x v="27"/>
    <s v="CustomerProject"/>
    <s v="成本累積"/>
    <x v="1"/>
    <s v="Activity"/>
    <x v="5"/>
    <n v="7828.5518518519002"/>
    <n v="104.00000000005181"/>
    <m/>
    <m/>
    <x v="3"/>
  </r>
  <r>
    <n v="2018"/>
    <x v="1"/>
    <s v="201804"/>
    <s v="Kelly Group"/>
    <s v="公隆化學股份有限公司"/>
    <s v="CPCRM1107"/>
    <x v="28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CRM14295"/>
    <x v="29"/>
    <s v="CustomerProject"/>
    <s v="成本累積"/>
    <x v="1"/>
    <s v="Activity"/>
    <x v="6"/>
    <n v="0"/>
    <n v="0"/>
    <m/>
    <m/>
    <x v="3"/>
  </r>
  <r>
    <n v="2018"/>
    <x v="1"/>
    <s v="201804"/>
    <s v="Kelly Group"/>
    <s v="公隆化學股份有限公司"/>
    <s v="CPCRM17319"/>
    <x v="96"/>
    <s v="CustomerProject"/>
    <s v="成本累積"/>
    <x v="1"/>
    <s v="Activity"/>
    <x v="3"/>
    <n v="10538.435185185201"/>
    <n v="140.00000000006909"/>
    <m/>
    <m/>
    <x v="3"/>
  </r>
  <r>
    <n v="2018"/>
    <x v="1"/>
    <s v="201804"/>
    <s v="Kelly Group"/>
    <s v="公隆化學股份有限公司"/>
    <s v="CPCRM20308"/>
    <x v="97"/>
    <s v="CustomerProject"/>
    <s v="成本累積"/>
    <x v="1"/>
    <s v="Activity"/>
    <x v="3"/>
    <n v="36131.777777777897"/>
    <n v="480.00000000023778"/>
    <m/>
    <m/>
    <x v="5"/>
  </r>
  <r>
    <n v="2018"/>
    <x v="1"/>
    <s v="201804"/>
    <s v="Kelly Group"/>
    <s v="公隆化學股份有限公司"/>
    <s v="CP世豐螺絲"/>
    <x v="98"/>
    <s v="CustomerProject"/>
    <s v="成本累積"/>
    <x v="1"/>
    <s v="Activity"/>
    <x v="3"/>
    <n v="8957.6699074074004"/>
    <n v="119.00000000005845"/>
    <m/>
    <m/>
    <x v="3"/>
  </r>
  <r>
    <n v="2018"/>
    <x v="1"/>
    <s v="201804"/>
    <s v="Kelly Group"/>
    <s v="公隆化學股份有限公司"/>
    <s v="CP恆耀工業"/>
    <x v="30"/>
    <s v="CustomerProject"/>
    <s v="成本累積"/>
    <x v="1"/>
    <s v="Activity"/>
    <x v="3"/>
    <n v="0"/>
    <n v="0"/>
    <m/>
    <m/>
    <x v="3"/>
  </r>
  <r>
    <n v="2018"/>
    <x v="1"/>
    <s v="201804"/>
    <s v="Kelly Group"/>
    <s v="公隆化學股份有限公司"/>
    <s v="CP華震科技"/>
    <x v="77"/>
    <s v="CustomerProject"/>
    <s v="成本累積"/>
    <x v="1"/>
    <s v="Activity"/>
    <x v="5"/>
    <n v="36131.777777777803"/>
    <n v="480.00000000023647"/>
    <m/>
    <m/>
    <x v="3"/>
  </r>
  <r>
    <n v="2018"/>
    <x v="1"/>
    <s v="201804"/>
    <s v="Kelly Group"/>
    <s v="公隆化學股份有限公司"/>
    <s v="CP other cus"/>
    <x v="31"/>
    <s v="CustomerProject"/>
    <s v="成本累積"/>
    <x v="1"/>
    <s v="Activity"/>
    <x v="9"/>
    <n v="361317.77777777781"/>
    <n v="4800.000000002362"/>
    <m/>
    <m/>
    <x v="4"/>
  </r>
  <r>
    <n v="2018"/>
    <x v="1"/>
    <s v="201804"/>
    <s v="Kelly Group"/>
    <s v="公隆化學股份有限公司"/>
    <s v="CPCRM10748"/>
    <x v="32"/>
    <s v="CustomerProject"/>
    <s v="成本累積"/>
    <x v="2"/>
    <s v="Activity"/>
    <x v="8"/>
    <n v="4889.0181818183"/>
    <n v="384.00000000055769"/>
    <m/>
    <m/>
    <x v="5"/>
  </r>
  <r>
    <n v="2018"/>
    <x v="1"/>
    <s v="201804"/>
    <s v="Kelly Group"/>
    <s v="公隆化學股份有限公司"/>
    <s v="CPCRM10748"/>
    <x v="32"/>
    <s v="CustomerProject"/>
    <s v="成本累積"/>
    <x v="2"/>
    <s v="Activity"/>
    <x v="10"/>
    <n v="0"/>
    <n v="0"/>
    <m/>
    <m/>
    <x v="5"/>
  </r>
  <r>
    <n v="2018"/>
    <x v="1"/>
    <s v="201804"/>
    <s v="Kelly Group"/>
    <s v="公隆化學股份有限公司"/>
    <s v="CPCRM20308"/>
    <x v="97"/>
    <s v="CustomerProject"/>
    <s v="成本累積"/>
    <x v="2"/>
    <s v="Activity"/>
    <x v="3"/>
    <n v="1222.2545454545"/>
    <n v="96.000000000133525"/>
    <m/>
    <m/>
    <x v="5"/>
  </r>
  <r>
    <n v="2018"/>
    <x v="1"/>
    <s v="201804"/>
    <s v="Kelly Group"/>
    <s v="公隆化學股份有限公司"/>
    <s v="CPCRM20308"/>
    <x v="97"/>
    <s v="CustomerProject"/>
    <s v="成本累積"/>
    <x v="2"/>
    <s v="Activity"/>
    <x v="18"/>
    <n v="802.1045454545"/>
    <n v="63.000000000086402"/>
    <m/>
    <m/>
    <x v="5"/>
  </r>
  <r>
    <n v="2018"/>
    <x v="1"/>
    <s v="201804"/>
    <s v="Kelly Group"/>
    <s v="公隆化學股份有限公司"/>
    <s v="CPCRM03863"/>
    <x v="33"/>
    <s v="CustomerProject"/>
    <s v="成本累積"/>
    <x v="2"/>
    <s v="Activity"/>
    <x v="3"/>
    <n v="0"/>
    <n v="0"/>
    <m/>
    <m/>
    <x v="2"/>
  </r>
  <r>
    <n v="2018"/>
    <x v="1"/>
    <s v="201804"/>
    <s v="Kelly Group"/>
    <s v="公隆化學股份有限公司"/>
    <s v="CPCRM05197"/>
    <x v="99"/>
    <s v="CustomerProject"/>
    <s v="成本累積"/>
    <x v="2"/>
    <s v="Activity"/>
    <x v="10"/>
    <n v="3055.6363636363999"/>
    <n v="240.00000000034558"/>
    <m/>
    <m/>
    <x v="2"/>
  </r>
  <r>
    <n v="2018"/>
    <x v="1"/>
    <s v="201804"/>
    <s v="Kelly Group"/>
    <s v="公隆化學股份有限公司"/>
    <s v="CPCRM05498"/>
    <x v="3"/>
    <s v="CustomerProject"/>
    <s v="成本累積"/>
    <x v="2"/>
    <s v="Activity"/>
    <x v="12"/>
    <n v="3654.0318181818002"/>
    <n v="287.00000000040848"/>
    <m/>
    <m/>
    <x v="2"/>
  </r>
  <r>
    <n v="2018"/>
    <x v="1"/>
    <s v="201804"/>
    <s v="Kelly Group"/>
    <s v="公隆化學股份有限公司"/>
    <s v="CPCRM05498"/>
    <x v="3"/>
    <s v="CustomerProject"/>
    <s v="成本累積"/>
    <x v="2"/>
    <s v="Activity"/>
    <x v="11"/>
    <n v="0"/>
    <n v="0"/>
    <m/>
    <m/>
    <x v="2"/>
  </r>
  <r>
    <n v="2018"/>
    <x v="1"/>
    <s v="201804"/>
    <s v="Kelly Group"/>
    <s v="公隆化學股份有限公司"/>
    <s v="CPCRM08397"/>
    <x v="34"/>
    <s v="CustomerProject"/>
    <s v="成本累積"/>
    <x v="2"/>
    <s v="Activity"/>
    <x v="12"/>
    <n v="0"/>
    <n v="0"/>
    <m/>
    <m/>
    <x v="2"/>
  </r>
  <r>
    <n v="2018"/>
    <x v="1"/>
    <s v="201804"/>
    <s v="Kelly Group"/>
    <s v="公隆化學股份有限公司"/>
    <s v="CPCRM08411"/>
    <x v="35"/>
    <s v="CustomerProject"/>
    <s v="成本累積"/>
    <x v="2"/>
    <s v="Activity"/>
    <x v="8"/>
    <n v="2024.3590909090999"/>
    <n v="159.00000000022777"/>
    <m/>
    <m/>
    <x v="2"/>
  </r>
  <r>
    <n v="2018"/>
    <x v="1"/>
    <s v="201804"/>
    <s v="Kelly Group"/>
    <s v="公隆化學股份有限公司"/>
    <s v="CPCRM08411"/>
    <x v="35"/>
    <s v="CustomerProject"/>
    <s v="成本累積"/>
    <x v="2"/>
    <s v="Activity"/>
    <x v="3"/>
    <n v="0"/>
    <n v="0"/>
    <m/>
    <m/>
    <x v="2"/>
  </r>
  <r>
    <n v="2018"/>
    <x v="1"/>
    <s v="201804"/>
    <s v="Kelly Group"/>
    <s v="公隆化學股份有限公司"/>
    <s v="CPCRM08704"/>
    <x v="100"/>
    <s v="CustomerProject"/>
    <s v="成本累積"/>
    <x v="2"/>
    <s v="Activity"/>
    <x v="12"/>
    <n v="3908.6681818182001"/>
    <n v="307.00000000043985"/>
    <m/>
    <m/>
    <x v="2"/>
  </r>
  <r>
    <n v="2018"/>
    <x v="1"/>
    <s v="201804"/>
    <s v="Kelly Group"/>
    <s v="公隆化學股份有限公司"/>
    <s v="CPCRM08720"/>
    <x v="36"/>
    <s v="CustomerProject"/>
    <s v="成本累積"/>
    <x v="2"/>
    <s v="Activity"/>
    <x v="10"/>
    <n v="2444.5090909091"/>
    <n v="192.00000000027489"/>
    <m/>
    <m/>
    <x v="2"/>
  </r>
  <r>
    <n v="2018"/>
    <x v="1"/>
    <s v="201804"/>
    <s v="Kelly Group"/>
    <s v="公隆化學股份有限公司"/>
    <s v="CPCRM08720"/>
    <x v="36"/>
    <s v="CustomerProject"/>
    <s v="成本累積"/>
    <x v="2"/>
    <s v="Activity"/>
    <x v="4"/>
    <n v="0"/>
    <n v="0"/>
    <m/>
    <m/>
    <x v="2"/>
  </r>
  <r>
    <n v="2018"/>
    <x v="1"/>
    <s v="201804"/>
    <s v="Kelly Group"/>
    <s v="公隆化學股份有限公司"/>
    <s v="CPCRM09007"/>
    <x v="101"/>
    <s v="CustomerProject"/>
    <s v="成本累積"/>
    <x v="2"/>
    <s v="Activity"/>
    <x v="10"/>
    <n v="2037.0909090908999"/>
    <n v="160.00000000022777"/>
    <m/>
    <m/>
    <x v="2"/>
  </r>
  <r>
    <n v="2018"/>
    <x v="1"/>
    <s v="201804"/>
    <s v="Kelly Group"/>
    <s v="公隆化學股份有限公司"/>
    <s v="CPCRM10747"/>
    <x v="37"/>
    <s v="CustomerProject"/>
    <s v="成本累積"/>
    <x v="2"/>
    <s v="Activity"/>
    <x v="10"/>
    <n v="0"/>
    <n v="0"/>
    <m/>
    <m/>
    <x v="2"/>
  </r>
  <r>
    <n v="2018"/>
    <x v="1"/>
    <s v="201804"/>
    <s v="Kelly Group"/>
    <s v="公隆化學股份有限公司"/>
    <s v="CPCRM10771"/>
    <x v="38"/>
    <s v="CustomerProject"/>
    <s v="成本累積"/>
    <x v="2"/>
    <s v="Activity"/>
    <x v="7"/>
    <n v="2457.2409090909"/>
    <n v="193.00000000027489"/>
    <m/>
    <m/>
    <x v="2"/>
  </r>
  <r>
    <n v="2018"/>
    <x v="1"/>
    <s v="201804"/>
    <s v="Kelly Group"/>
    <s v="公隆化學股份有限公司"/>
    <s v="CPCRM10771"/>
    <x v="38"/>
    <s v="CustomerProject"/>
    <s v="成本累積"/>
    <x v="2"/>
    <s v="Activity"/>
    <x v="11"/>
    <n v="0"/>
    <n v="0"/>
    <m/>
    <m/>
    <x v="2"/>
  </r>
  <r>
    <n v="2018"/>
    <x v="1"/>
    <s v="201804"/>
    <s v="Kelly Group"/>
    <s v="公隆化學股份有限公司"/>
    <s v="CPCRM10826"/>
    <x v="39"/>
    <s v="CustomerProject"/>
    <s v="成本累積"/>
    <x v="2"/>
    <s v="Activity"/>
    <x v="11"/>
    <n v="0"/>
    <n v="0"/>
    <m/>
    <m/>
    <x v="2"/>
  </r>
  <r>
    <n v="2018"/>
    <x v="1"/>
    <s v="201804"/>
    <s v="Kelly Group"/>
    <s v="公隆化學股份有限公司"/>
    <s v="CPCRM10848"/>
    <x v="4"/>
    <s v="CustomerProject"/>
    <s v="成本累積"/>
    <x v="2"/>
    <s v="Activity"/>
    <x v="5"/>
    <n v="0"/>
    <n v="0"/>
    <m/>
    <m/>
    <x v="2"/>
  </r>
  <r>
    <n v="2018"/>
    <x v="1"/>
    <s v="201804"/>
    <s v="Kelly Group"/>
    <s v="公隆化學股份有限公司"/>
    <s v="CPCRM10848"/>
    <x v="4"/>
    <s v="CustomerProject"/>
    <s v="成本累積"/>
    <x v="2"/>
    <s v="Activity"/>
    <x v="11"/>
    <n v="0"/>
    <n v="0"/>
    <m/>
    <m/>
    <x v="2"/>
  </r>
  <r>
    <n v="2018"/>
    <x v="1"/>
    <s v="201804"/>
    <s v="Kelly Group"/>
    <s v="公隆化學股份有限公司"/>
    <s v="CPCRM10848"/>
    <x v="4"/>
    <s v="CustomerProject"/>
    <s v="成本累積"/>
    <x v="2"/>
    <s v="Activity"/>
    <x v="13"/>
    <n v="0"/>
    <n v="0"/>
    <m/>
    <m/>
    <x v="2"/>
  </r>
  <r>
    <n v="2018"/>
    <x v="1"/>
    <s v="201804"/>
    <s v="Kelly Group"/>
    <s v="公隆化學股份有限公司"/>
    <s v="CPCRM10849"/>
    <x v="102"/>
    <s v="CustomerProject"/>
    <s v="成本累積"/>
    <x v="2"/>
    <s v="Activity"/>
    <x v="7"/>
    <n v="3577.6409090909001"/>
    <n v="281.00000000040058"/>
    <m/>
    <m/>
    <x v="2"/>
  </r>
  <r>
    <n v="2018"/>
    <x v="1"/>
    <s v="201804"/>
    <s v="Kelly Group"/>
    <s v="公隆化學股份有限公司"/>
    <s v="CPCRM10850"/>
    <x v="40"/>
    <s v="CustomerProject"/>
    <s v="成本累積"/>
    <x v="2"/>
    <s v="Activity"/>
    <x v="10"/>
    <n v="0"/>
    <n v="0"/>
    <m/>
    <m/>
    <x v="2"/>
  </r>
  <r>
    <n v="2018"/>
    <x v="1"/>
    <s v="201804"/>
    <s v="Kelly Group"/>
    <s v="公隆化學股份有限公司"/>
    <s v="CPCRM10850"/>
    <x v="40"/>
    <s v="CustomerProject"/>
    <s v="成本累積"/>
    <x v="2"/>
    <s v="Activity"/>
    <x v="4"/>
    <n v="0"/>
    <n v="0"/>
    <m/>
    <m/>
    <x v="2"/>
  </r>
  <r>
    <n v="2018"/>
    <x v="1"/>
    <s v="201804"/>
    <s v="Kelly Group"/>
    <s v="公隆化學股份有限公司"/>
    <s v="CPCRM11452"/>
    <x v="41"/>
    <s v="CustomerProject"/>
    <s v="成本累積"/>
    <x v="2"/>
    <s v="Activity"/>
    <x v="12"/>
    <n v="0"/>
    <n v="0"/>
    <m/>
    <m/>
    <x v="2"/>
  </r>
  <r>
    <n v="2018"/>
    <x v="1"/>
    <s v="201804"/>
    <s v="Kelly Group"/>
    <s v="公隆化學股份有限公司"/>
    <s v="CPCRM11533"/>
    <x v="5"/>
    <s v="CustomerProject"/>
    <s v="成本累積"/>
    <x v="2"/>
    <s v="Activity"/>
    <x v="5"/>
    <n v="0"/>
    <n v="0"/>
    <m/>
    <m/>
    <x v="2"/>
  </r>
  <r>
    <n v="2018"/>
    <x v="1"/>
    <s v="201804"/>
    <s v="Kelly Group"/>
    <s v="公隆化學股份有限公司"/>
    <s v="CPCRM11533"/>
    <x v="5"/>
    <s v="CustomerProject"/>
    <s v="成本累積"/>
    <x v="2"/>
    <s v="Activity"/>
    <x v="11"/>
    <n v="0"/>
    <n v="0"/>
    <m/>
    <m/>
    <x v="2"/>
  </r>
  <r>
    <n v="2018"/>
    <x v="1"/>
    <s v="201804"/>
    <s v="Kelly Group"/>
    <s v="公隆化學股份有限公司"/>
    <s v="CPCRM11713"/>
    <x v="103"/>
    <s v="CustomerProject"/>
    <s v="成本累積"/>
    <x v="2"/>
    <s v="Activity"/>
    <x v="12"/>
    <n v="2533.6318181818001"/>
    <n v="199.00000000028277"/>
    <m/>
    <m/>
    <x v="2"/>
  </r>
  <r>
    <n v="2018"/>
    <x v="1"/>
    <s v="201804"/>
    <s v="Kelly Group"/>
    <s v="公隆化學股份有限公司"/>
    <s v="CPCRM13503"/>
    <x v="42"/>
    <s v="CustomerProject"/>
    <s v="成本累積"/>
    <x v="2"/>
    <s v="Activity"/>
    <x v="10"/>
    <n v="0"/>
    <n v="0"/>
    <m/>
    <m/>
    <x v="2"/>
  </r>
  <r>
    <n v="2018"/>
    <x v="1"/>
    <s v="201804"/>
    <s v="Kelly Group"/>
    <s v="公隆化學股份有限公司"/>
    <s v="CPCRM14290"/>
    <x v="104"/>
    <s v="CustomerProject"/>
    <s v="成本累積"/>
    <x v="2"/>
    <s v="Activity"/>
    <x v="12"/>
    <n v="2037.0909090908999"/>
    <n v="160.00000000022777"/>
    <m/>
    <m/>
    <x v="2"/>
  </r>
  <r>
    <n v="2018"/>
    <x v="1"/>
    <s v="201804"/>
    <s v="Kelly Group"/>
    <s v="公隆化學股份有限公司"/>
    <s v="CPCRM14633"/>
    <x v="105"/>
    <s v="CustomerProject"/>
    <s v="成本累積"/>
    <x v="2"/>
    <s v="Activity"/>
    <x v="12"/>
    <n v="2037.0909090908999"/>
    <n v="160.00000000022777"/>
    <m/>
    <m/>
    <x v="2"/>
  </r>
  <r>
    <n v="2018"/>
    <x v="1"/>
    <s v="201804"/>
    <s v="Kelly Group"/>
    <s v="公隆化學股份有限公司"/>
    <s v="CPCRM16694"/>
    <x v="43"/>
    <s v="CustomerProject"/>
    <s v="成本累積"/>
    <x v="2"/>
    <s v="Activity"/>
    <x v="8"/>
    <n v="0"/>
    <n v="0"/>
    <m/>
    <m/>
    <x v="2"/>
  </r>
  <r>
    <n v="2018"/>
    <x v="1"/>
    <s v="201804"/>
    <s v="Kelly Group"/>
    <s v="公隆化學股份有限公司"/>
    <s v="CPCRM16719"/>
    <x v="44"/>
    <s v="CustomerProject"/>
    <s v="成本累積"/>
    <x v="2"/>
    <s v="Activity"/>
    <x v="7"/>
    <n v="0"/>
    <n v="0"/>
    <m/>
    <m/>
    <x v="2"/>
  </r>
  <r>
    <n v="2018"/>
    <x v="1"/>
    <s v="201804"/>
    <s v="Kelly Group"/>
    <s v="公隆化學股份有限公司"/>
    <s v="CPCRM16719"/>
    <x v="44"/>
    <s v="CustomerProject"/>
    <s v="成本累積"/>
    <x v="2"/>
    <s v="Activity"/>
    <x v="10"/>
    <n v="0"/>
    <n v="0"/>
    <m/>
    <m/>
    <x v="2"/>
  </r>
  <r>
    <n v="2018"/>
    <x v="1"/>
    <s v="201804"/>
    <s v="Kelly Group"/>
    <s v="公隆化學股份有限公司"/>
    <s v="CPCRM16774"/>
    <x v="106"/>
    <s v="CustomerProject"/>
    <s v="成本累積"/>
    <x v="2"/>
    <s v="Activity"/>
    <x v="12"/>
    <n v="2202.6045454545001"/>
    <n v="173.00000000024349"/>
    <m/>
    <m/>
    <x v="2"/>
  </r>
  <r>
    <n v="2018"/>
    <x v="1"/>
    <s v="201804"/>
    <s v="Kelly Group"/>
    <s v="公隆化學股份有限公司"/>
    <s v="CPCRM17041"/>
    <x v="45"/>
    <s v="CustomerProject"/>
    <s v="成本累積"/>
    <x v="2"/>
    <s v="Activity"/>
    <x v="8"/>
    <n v="0"/>
    <n v="0"/>
    <m/>
    <m/>
    <x v="2"/>
  </r>
  <r>
    <n v="2018"/>
    <x v="1"/>
    <s v="201804"/>
    <s v="Kelly Group"/>
    <s v="公隆化學股份有限公司"/>
    <s v="CPCRM17041"/>
    <x v="45"/>
    <s v="CustomerProject"/>
    <s v="成本累積"/>
    <x v="2"/>
    <s v="Activity"/>
    <x v="12"/>
    <n v="0"/>
    <n v="0"/>
    <m/>
    <m/>
    <x v="2"/>
  </r>
  <r>
    <n v="2018"/>
    <x v="1"/>
    <s v="201804"/>
    <s v="Kelly Group"/>
    <s v="公隆化學股份有限公司"/>
    <s v="CPCRM17264"/>
    <x v="46"/>
    <s v="CustomerProject"/>
    <s v="成本累積"/>
    <x v="2"/>
    <s v="Activity"/>
    <x v="7"/>
    <n v="0"/>
    <n v="0"/>
    <m/>
    <m/>
    <x v="2"/>
  </r>
  <r>
    <n v="2018"/>
    <x v="1"/>
    <s v="201804"/>
    <s v="Kelly Group"/>
    <s v="公隆化學股份有限公司"/>
    <s v="CPCRM17264"/>
    <x v="46"/>
    <s v="CustomerProject"/>
    <s v="成本累積"/>
    <x v="2"/>
    <s v="Activity"/>
    <x v="10"/>
    <n v="0"/>
    <n v="0"/>
    <m/>
    <m/>
    <x v="2"/>
  </r>
  <r>
    <n v="2018"/>
    <x v="1"/>
    <s v="201804"/>
    <s v="Kelly Group"/>
    <s v="公隆化學股份有限公司"/>
    <s v="CPCRM17296"/>
    <x v="47"/>
    <s v="CustomerProject"/>
    <s v="成本累積"/>
    <x v="2"/>
    <s v="Activity"/>
    <x v="10"/>
    <n v="3055.6363636363999"/>
    <n v="240.00000000034558"/>
    <m/>
    <m/>
    <x v="2"/>
  </r>
  <r>
    <n v="2018"/>
    <x v="1"/>
    <s v="201804"/>
    <s v="Kelly Group"/>
    <s v="公隆化學股份有限公司"/>
    <s v="CPCRM17381"/>
    <x v="79"/>
    <s v="CustomerProject"/>
    <s v="成本累積"/>
    <x v="2"/>
    <s v="Activity"/>
    <x v="12"/>
    <n v="2037.0909090908999"/>
    <n v="160.00000000022777"/>
    <m/>
    <m/>
    <x v="2"/>
  </r>
  <r>
    <n v="2018"/>
    <x v="1"/>
    <s v="201804"/>
    <s v="Kelly Group"/>
    <s v="公隆化學股份有限公司"/>
    <s v="CPCRM17381"/>
    <x v="79"/>
    <s v="CustomerProject"/>
    <s v="成本累積"/>
    <x v="2"/>
    <s v="Activity"/>
    <x v="16"/>
    <n v="3055.6363636363999"/>
    <n v="240.00000000034558"/>
    <m/>
    <m/>
    <x v="2"/>
  </r>
  <r>
    <n v="2018"/>
    <x v="1"/>
    <s v="201804"/>
    <s v="Kelly Group"/>
    <s v="公隆化學股份有限公司"/>
    <s v="CPCRM17382"/>
    <x v="48"/>
    <s v="CustomerProject"/>
    <s v="成本累積"/>
    <x v="2"/>
    <s v="Activity"/>
    <x v="7"/>
    <n v="0"/>
    <n v="0"/>
    <m/>
    <m/>
    <x v="2"/>
  </r>
  <r>
    <n v="2018"/>
    <x v="1"/>
    <s v="201804"/>
    <s v="Kelly Group"/>
    <s v="公隆化學股份有限公司"/>
    <s v="CPCRM17382"/>
    <x v="48"/>
    <s v="CustomerProject"/>
    <s v="成本累積"/>
    <x v="2"/>
    <s v="Activity"/>
    <x v="8"/>
    <n v="0"/>
    <n v="0"/>
    <m/>
    <m/>
    <x v="2"/>
  </r>
  <r>
    <n v="2018"/>
    <x v="1"/>
    <s v="201804"/>
    <s v="Kelly Group"/>
    <s v="公隆化學股份有限公司"/>
    <s v="CPCRM17382"/>
    <x v="48"/>
    <s v="CustomerProject"/>
    <s v="成本累積"/>
    <x v="2"/>
    <s v="Activity"/>
    <x v="3"/>
    <n v="0"/>
    <n v="0"/>
    <m/>
    <m/>
    <x v="2"/>
  </r>
  <r>
    <n v="2018"/>
    <x v="1"/>
    <s v="201804"/>
    <s v="Kelly Group"/>
    <s v="公隆化學股份有限公司"/>
    <s v="CPCRM17469"/>
    <x v="107"/>
    <s v="CustomerProject"/>
    <s v="成本累積"/>
    <x v="2"/>
    <s v="Activity"/>
    <x v="10"/>
    <n v="2037.0909090908999"/>
    <n v="160.00000000022777"/>
    <m/>
    <m/>
    <x v="2"/>
  </r>
  <r>
    <n v="2018"/>
    <x v="1"/>
    <s v="201804"/>
    <s v="Kelly Group"/>
    <s v="公隆化學股份有限公司"/>
    <s v="CPCRM17661"/>
    <x v="49"/>
    <s v="CustomerProject"/>
    <s v="成本累積"/>
    <x v="2"/>
    <s v="Activity"/>
    <x v="7"/>
    <n v="0"/>
    <n v="0"/>
    <m/>
    <m/>
    <x v="2"/>
  </r>
  <r>
    <n v="2018"/>
    <x v="1"/>
    <s v="201804"/>
    <s v="Kelly Group"/>
    <s v="公隆化學股份有限公司"/>
    <s v="CPCRM17661"/>
    <x v="49"/>
    <s v="CustomerProject"/>
    <s v="成本累積"/>
    <x v="2"/>
    <s v="Activity"/>
    <x v="8"/>
    <n v="0"/>
    <n v="0"/>
    <m/>
    <m/>
    <x v="2"/>
  </r>
  <r>
    <n v="2018"/>
    <x v="1"/>
    <s v="201804"/>
    <s v="Kelly Group"/>
    <s v="公隆化學股份有限公司"/>
    <s v="CPCRM17843"/>
    <x v="50"/>
    <s v="CustomerProject"/>
    <s v="成本累積"/>
    <x v="2"/>
    <s v="Activity"/>
    <x v="10"/>
    <n v="0"/>
    <n v="0"/>
    <m/>
    <m/>
    <x v="2"/>
  </r>
  <r>
    <n v="2018"/>
    <x v="1"/>
    <s v="201804"/>
    <s v="Kelly Group"/>
    <s v="公隆化學股份有限公司"/>
    <s v="CPCRM18424"/>
    <x v="108"/>
    <s v="CustomerProject"/>
    <s v="成本累積"/>
    <x v="2"/>
    <s v="Activity"/>
    <x v="12"/>
    <n v="2037.0909090908999"/>
    <n v="160.00000000022777"/>
    <m/>
    <m/>
    <x v="2"/>
  </r>
  <r>
    <n v="2018"/>
    <x v="1"/>
    <s v="201804"/>
    <s v="Kelly Group"/>
    <s v="公隆化學股份有限公司"/>
    <s v="CPCRM19770"/>
    <x v="109"/>
    <s v="CustomerProject"/>
    <s v="成本累積"/>
    <x v="2"/>
    <s v="Activity"/>
    <x v="12"/>
    <n v="3055.6363636363999"/>
    <n v="240.00000000034558"/>
    <m/>
    <m/>
    <x v="2"/>
  </r>
  <r>
    <n v="2018"/>
    <x v="1"/>
    <s v="201804"/>
    <s v="Kelly Group"/>
    <s v="公隆化學股份有限公司"/>
    <s v="CPCRM19822"/>
    <x v="80"/>
    <s v="CustomerProject"/>
    <s v="成本累積"/>
    <x v="2"/>
    <s v="Activity"/>
    <x v="7"/>
    <n v="3348.4681818181998"/>
    <n v="263.00000000037699"/>
    <m/>
    <m/>
    <x v="2"/>
  </r>
  <r>
    <n v="2018"/>
    <x v="1"/>
    <s v="201804"/>
    <s v="Kelly Group"/>
    <s v="公隆化學股份有限公司"/>
    <s v="CPCRM19822"/>
    <x v="80"/>
    <s v="CustomerProject"/>
    <s v="成本累積"/>
    <x v="2"/>
    <s v="Activity"/>
    <x v="12"/>
    <n v="2151.6772727273001"/>
    <n v="169.00000000024349"/>
    <m/>
    <m/>
    <x v="2"/>
  </r>
  <r>
    <n v="2018"/>
    <x v="1"/>
    <s v="201804"/>
    <s v="Kelly Group"/>
    <s v="公隆化學股份有限公司"/>
    <s v="CPCRM19914"/>
    <x v="51"/>
    <s v="CustomerProject"/>
    <s v="成本累積"/>
    <x v="2"/>
    <s v="Activity"/>
    <x v="4"/>
    <n v="0"/>
    <n v="0"/>
    <m/>
    <m/>
    <x v="2"/>
  </r>
  <r>
    <n v="2018"/>
    <x v="1"/>
    <s v="201804"/>
    <s v="Kelly Group"/>
    <s v="公隆化學股份有限公司"/>
    <s v="CPCRM01110"/>
    <x v="52"/>
    <s v="CustomerProject"/>
    <s v="成本累積"/>
    <x v="2"/>
    <s v="Activity"/>
    <x v="3"/>
    <n v="2533.6318181819001"/>
    <n v="199.00000000029064"/>
    <m/>
    <m/>
    <x v="5"/>
  </r>
  <r>
    <n v="2018"/>
    <x v="1"/>
    <s v="201804"/>
    <s v="Kelly Group"/>
    <s v="公隆化學股份有限公司"/>
    <s v="CPCRM05175"/>
    <x v="53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08406"/>
    <x v="110"/>
    <s v="CustomerProject"/>
    <s v="成本累積"/>
    <x v="2"/>
    <s v="Activity"/>
    <x v="12"/>
    <n v="1871.5772727272999"/>
    <n v="147.00000000021205"/>
    <m/>
    <m/>
    <x v="5"/>
  </r>
  <r>
    <n v="2018"/>
    <x v="1"/>
    <s v="201804"/>
    <s v="Kelly Group"/>
    <s v="公隆化學股份有限公司"/>
    <s v="CPCRM08406"/>
    <x v="110"/>
    <s v="CustomerProject"/>
    <s v="成本累積"/>
    <x v="2"/>
    <s v="Activity"/>
    <x v="4"/>
    <n v="2826.4636363637001"/>
    <n v="222.00000000032205"/>
    <m/>
    <m/>
    <x v="5"/>
  </r>
  <r>
    <n v="2018"/>
    <x v="1"/>
    <s v="201804"/>
    <s v="Kelly Group"/>
    <s v="公隆化學股份有限公司"/>
    <s v="CPCRM08459"/>
    <x v="54"/>
    <s v="CustomerProject"/>
    <s v="成本累積"/>
    <x v="2"/>
    <s v="Activity"/>
    <x v="10"/>
    <n v="0"/>
    <n v="0"/>
    <m/>
    <m/>
    <x v="5"/>
  </r>
  <r>
    <n v="2018"/>
    <x v="1"/>
    <s v="201804"/>
    <s v="Kelly Group"/>
    <s v="公隆化學股份有限公司"/>
    <s v="CPCRM08460"/>
    <x v="55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08511"/>
    <x v="56"/>
    <s v="CustomerProject"/>
    <s v="成本累積"/>
    <x v="2"/>
    <s v="Activity"/>
    <x v="8"/>
    <n v="1362.3045454544999"/>
    <n v="107.00000000014923"/>
    <m/>
    <m/>
    <x v="5"/>
  </r>
  <r>
    <n v="2018"/>
    <x v="1"/>
    <s v="201804"/>
    <s v="Kelly Group"/>
    <s v="公隆化學股份有限公司"/>
    <s v="CPCRM08511"/>
    <x v="56"/>
    <s v="CustomerProject"/>
    <s v="成本累積"/>
    <x v="2"/>
    <s v="Activity"/>
    <x v="12"/>
    <n v="1362.3045454544999"/>
    <n v="107.00000000014923"/>
    <m/>
    <m/>
    <x v="5"/>
  </r>
  <r>
    <n v="2018"/>
    <x v="1"/>
    <s v="201804"/>
    <s v="Kelly Group"/>
    <s v="公隆化學股份有限公司"/>
    <s v="CPCRM08511"/>
    <x v="56"/>
    <s v="CustomerProject"/>
    <s v="成本累積"/>
    <x v="2"/>
    <s v="Activity"/>
    <x v="10"/>
    <n v="0"/>
    <n v="0"/>
    <m/>
    <m/>
    <x v="5"/>
  </r>
  <r>
    <n v="2018"/>
    <x v="1"/>
    <s v="201804"/>
    <s v="Kelly Group"/>
    <s v="公隆化學股份有限公司"/>
    <s v="CPCRM09005"/>
    <x v="111"/>
    <s v="CustomerProject"/>
    <s v="成本累積"/>
    <x v="2"/>
    <s v="Activity"/>
    <x v="10"/>
    <n v="1413.2318181818"/>
    <n v="111.00000000015709"/>
    <m/>
    <m/>
    <x v="5"/>
  </r>
  <r>
    <n v="2018"/>
    <x v="1"/>
    <s v="201804"/>
    <s v="Kelly Group"/>
    <s v="公隆化學股份有限公司"/>
    <s v="CPCRM09005"/>
    <x v="111"/>
    <s v="CustomerProject"/>
    <s v="成本累積"/>
    <x v="2"/>
    <s v="Activity"/>
    <x v="16"/>
    <n v="1400.5"/>
    <n v="110.00000000015709"/>
    <m/>
    <m/>
    <x v="5"/>
  </r>
  <r>
    <n v="2018"/>
    <x v="1"/>
    <s v="201804"/>
    <s v="Kelly Group"/>
    <s v="公隆化學股份有限公司"/>
    <s v="CPCRM09345"/>
    <x v="57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10072"/>
    <x v="112"/>
    <s v="CustomerProject"/>
    <s v="成本累積"/>
    <x v="2"/>
    <s v="Activity"/>
    <x v="12"/>
    <n v="1591.4772727273"/>
    <n v="125.00000000018066"/>
    <m/>
    <m/>
    <x v="5"/>
  </r>
  <r>
    <n v="2018"/>
    <x v="1"/>
    <s v="201804"/>
    <s v="Kelly Group"/>
    <s v="公隆化學股份有限公司"/>
    <s v="CPCRM10801"/>
    <x v="58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10912"/>
    <x v="59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10912"/>
    <x v="59"/>
    <s v="CustomerProject"/>
    <s v="成本累積"/>
    <x v="2"/>
    <s v="Activity"/>
    <x v="4"/>
    <n v="0"/>
    <n v="0"/>
    <m/>
    <m/>
    <x v="5"/>
  </r>
  <r>
    <n v="2018"/>
    <x v="1"/>
    <s v="201804"/>
    <s v="Kelly Group"/>
    <s v="公隆化學股份有限公司"/>
    <s v="CPCRM12107"/>
    <x v="60"/>
    <s v="CustomerProject"/>
    <s v="成本累積"/>
    <x v="2"/>
    <s v="Activity"/>
    <x v="7"/>
    <n v="4914.4818181818"/>
    <n v="386.00000000054979"/>
    <m/>
    <m/>
    <x v="5"/>
  </r>
  <r>
    <n v="2018"/>
    <x v="1"/>
    <s v="201804"/>
    <s v="Kelly Group"/>
    <s v="公隆化學股份有限公司"/>
    <s v="CPCRM12107"/>
    <x v="60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12175"/>
    <x v="113"/>
    <s v="CustomerProject"/>
    <s v="成本累積"/>
    <x v="2"/>
    <s v="Activity"/>
    <x v="10"/>
    <n v="6251.3227272726999"/>
    <n v="491.00000000069906"/>
    <m/>
    <m/>
    <x v="5"/>
  </r>
  <r>
    <n v="2018"/>
    <x v="1"/>
    <s v="201804"/>
    <s v="Kelly Group"/>
    <s v="公隆化學股份有限公司"/>
    <s v="CPCRM12969"/>
    <x v="61"/>
    <s v="CustomerProject"/>
    <s v="成本累積"/>
    <x v="2"/>
    <s v="Activity"/>
    <x v="12"/>
    <n v="3284.8090909091002"/>
    <n v="258.0000000003692"/>
    <m/>
    <m/>
    <x v="5"/>
  </r>
  <r>
    <n v="2018"/>
    <x v="1"/>
    <s v="201804"/>
    <s v="Kelly Group"/>
    <s v="公隆化學股份有限公司"/>
    <s v="CPCRM12969"/>
    <x v="61"/>
    <s v="CustomerProject"/>
    <s v="成本累積"/>
    <x v="2"/>
    <s v="Activity"/>
    <x v="4"/>
    <n v="0"/>
    <n v="0"/>
    <m/>
    <m/>
    <x v="5"/>
  </r>
  <r>
    <n v="2018"/>
    <x v="1"/>
    <s v="201804"/>
    <s v="Kelly Group"/>
    <s v="公隆化學股份有限公司"/>
    <s v="CPCRM13504"/>
    <x v="62"/>
    <s v="CustomerProject"/>
    <s v="成本累積"/>
    <x v="2"/>
    <s v="Activity"/>
    <x v="10"/>
    <n v="0"/>
    <n v="0"/>
    <m/>
    <m/>
    <x v="5"/>
  </r>
  <r>
    <n v="2018"/>
    <x v="1"/>
    <s v="201804"/>
    <s v="Kelly Group"/>
    <s v="公隆化學股份有限公司"/>
    <s v="CPCRM14218"/>
    <x v="63"/>
    <s v="CustomerProject"/>
    <s v="成本累積"/>
    <x v="2"/>
    <s v="Activity"/>
    <x v="10"/>
    <n v="0"/>
    <n v="0"/>
    <m/>
    <m/>
    <x v="5"/>
  </r>
  <r>
    <n v="2018"/>
    <x v="1"/>
    <s v="201804"/>
    <s v="Kelly Group"/>
    <s v="公隆化學股份有限公司"/>
    <s v="CPCRM16157"/>
    <x v="64"/>
    <s v="CustomerProject"/>
    <s v="成本累積"/>
    <x v="2"/>
    <s v="Activity"/>
    <x v="10"/>
    <n v="0"/>
    <n v="0"/>
    <m/>
    <m/>
    <x v="5"/>
  </r>
  <r>
    <n v="2018"/>
    <x v="1"/>
    <s v="201804"/>
    <s v="Kelly Group"/>
    <s v="公隆化學股份有限公司"/>
    <s v="CPCRM16157"/>
    <x v="64"/>
    <s v="CustomerProject"/>
    <s v="成本累積"/>
    <x v="2"/>
    <s v="Activity"/>
    <x v="3"/>
    <n v="0"/>
    <n v="0"/>
    <m/>
    <m/>
    <x v="5"/>
  </r>
  <r>
    <n v="2018"/>
    <x v="1"/>
    <s v="201804"/>
    <s v="Kelly Group"/>
    <s v="公隆化學股份有限公司"/>
    <s v="CPCRM16897"/>
    <x v="65"/>
    <s v="CustomerProject"/>
    <s v="成本累積"/>
    <x v="2"/>
    <s v="Activity"/>
    <x v="8"/>
    <n v="0"/>
    <n v="0"/>
    <m/>
    <m/>
    <x v="5"/>
  </r>
  <r>
    <n v="2018"/>
    <x v="1"/>
    <s v="201804"/>
    <s v="Kelly Group"/>
    <s v="公隆化學股份有限公司"/>
    <s v="CPCRM16919"/>
    <x v="114"/>
    <s v="CustomerProject"/>
    <s v="成本累積"/>
    <x v="2"/>
    <s v="Activity"/>
    <x v="12"/>
    <n v="2100.75"/>
    <n v="165.00000000023564"/>
    <m/>
    <m/>
    <x v="5"/>
  </r>
  <r>
    <n v="2018"/>
    <x v="1"/>
    <s v="201804"/>
    <s v="Kelly Group"/>
    <s v="公隆化學股份有限公司"/>
    <s v="CPCRM17040"/>
    <x v="66"/>
    <s v="CustomerProject"/>
    <s v="成本累積"/>
    <x v="2"/>
    <s v="Activity"/>
    <x v="8"/>
    <n v="0"/>
    <n v="0"/>
    <m/>
    <m/>
    <x v="5"/>
  </r>
  <r>
    <n v="2018"/>
    <x v="1"/>
    <s v="201804"/>
    <s v="Kelly Group"/>
    <s v="公隆化學股份有限公司"/>
    <s v="CPCRM18081"/>
    <x v="115"/>
    <s v="CustomerProject"/>
    <s v="成本累積"/>
    <x v="2"/>
    <s v="Activity"/>
    <x v="7"/>
    <n v="1044.0090909091"/>
    <n v="82.000000000117822"/>
    <m/>
    <m/>
    <x v="5"/>
  </r>
  <r>
    <n v="2018"/>
    <x v="1"/>
    <s v="201804"/>
    <s v="Kelly Group"/>
    <s v="公隆化學股份有限公司"/>
    <s v="CPCRM19559"/>
    <x v="67"/>
    <s v="CustomerProject"/>
    <s v="成本累積"/>
    <x v="2"/>
    <s v="Activity"/>
    <x v="10"/>
    <n v="0"/>
    <n v="0"/>
    <m/>
    <m/>
    <x v="5"/>
  </r>
  <r>
    <n v="2018"/>
    <x v="1"/>
    <s v="201804"/>
    <s v="Kelly Group"/>
    <s v="公隆化學股份有限公司"/>
    <s v="CPCRM19559"/>
    <x v="67"/>
    <s v="CustomerProject"/>
    <s v="成本累積"/>
    <x v="2"/>
    <s v="Activity"/>
    <x v="19"/>
    <n v="3666.7636363636002"/>
    <n v="288.00000000040848"/>
    <m/>
    <m/>
    <x v="5"/>
  </r>
  <r>
    <n v="2018"/>
    <x v="1"/>
    <s v="201804"/>
    <s v="Kelly Group"/>
    <s v="公隆化學股份有限公司"/>
    <s v="CPCRM19560"/>
    <x v="68"/>
    <s v="CustomerProject"/>
    <s v="成本累積"/>
    <x v="2"/>
    <s v="Activity"/>
    <x v="7"/>
    <n v="0"/>
    <n v="0"/>
    <m/>
    <m/>
    <x v="5"/>
  </r>
  <r>
    <n v="2018"/>
    <x v="1"/>
    <s v="201804"/>
    <s v="Kelly Group"/>
    <s v="公隆化學股份有限公司"/>
    <s v="CPCRM19560"/>
    <x v="68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19561"/>
    <x v="116"/>
    <s v="CustomerProject"/>
    <s v="成本累積"/>
    <x v="2"/>
    <s v="Activity"/>
    <x v="7"/>
    <n v="1807.9181818182001"/>
    <n v="142.00000000020421"/>
    <m/>
    <m/>
    <x v="5"/>
  </r>
  <r>
    <n v="2018"/>
    <x v="1"/>
    <s v="201804"/>
    <s v="Kelly Group"/>
    <s v="公隆化學股份有限公司"/>
    <s v="CPCRM19947"/>
    <x v="69"/>
    <s v="CustomerProject"/>
    <s v="成本累積"/>
    <x v="2"/>
    <s v="Activity"/>
    <x v="4"/>
    <n v="2826.4636363636"/>
    <n v="222.00000000031417"/>
    <m/>
    <m/>
    <x v="5"/>
  </r>
  <r>
    <n v="2018"/>
    <x v="1"/>
    <s v="201804"/>
    <s v="Kelly Group"/>
    <s v="公隆化學股份有限公司"/>
    <s v="CPCRM19947"/>
    <x v="69"/>
    <s v="CustomerProject"/>
    <s v="成本累積"/>
    <x v="2"/>
    <s v="Activity"/>
    <x v="14"/>
    <n v="0"/>
    <n v="0"/>
    <m/>
    <m/>
    <x v="5"/>
  </r>
  <r>
    <n v="2018"/>
    <x v="1"/>
    <s v="201804"/>
    <s v="Kelly Group"/>
    <s v="公隆化學股份有限公司"/>
    <s v="CPCRM20039"/>
    <x v="70"/>
    <s v="CustomerProject"/>
    <s v="成本累積"/>
    <x v="2"/>
    <s v="Activity"/>
    <x v="8"/>
    <n v="1362.3045454544999"/>
    <n v="107.00000000014923"/>
    <m/>
    <m/>
    <x v="5"/>
  </r>
  <r>
    <n v="2018"/>
    <x v="1"/>
    <s v="201804"/>
    <s v="Kelly Group"/>
    <s v="公隆化學股份有限公司"/>
    <s v="CPCRM20039"/>
    <x v="70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CRM20153"/>
    <x v="71"/>
    <s v="CustomerProject"/>
    <s v="成本累積"/>
    <x v="2"/>
    <s v="Activity"/>
    <x v="3"/>
    <n v="0"/>
    <n v="0"/>
    <m/>
    <m/>
    <x v="5"/>
  </r>
  <r>
    <n v="2018"/>
    <x v="1"/>
    <s v="201804"/>
    <s v="Kelly Group"/>
    <s v="公隆化學股份有限公司"/>
    <s v="CPCRM20154"/>
    <x v="72"/>
    <s v="CustomerProject"/>
    <s v="成本累積"/>
    <x v="2"/>
    <s v="Activity"/>
    <x v="6"/>
    <n v="0"/>
    <n v="0"/>
    <m/>
    <m/>
    <x v="5"/>
  </r>
  <r>
    <n v="2018"/>
    <x v="1"/>
    <s v="201804"/>
    <s v="Kelly Group"/>
    <s v="公隆化學股份有限公司"/>
    <s v="CPCRM20195"/>
    <x v="73"/>
    <s v="CustomerProject"/>
    <s v="成本累積"/>
    <x v="2"/>
    <s v="Activity"/>
    <x v="3"/>
    <n v="0"/>
    <n v="0"/>
    <m/>
    <m/>
    <x v="5"/>
  </r>
  <r>
    <n v="2018"/>
    <x v="1"/>
    <s v="201804"/>
    <s v="Kelly Group"/>
    <s v="公隆化學股份有限公司"/>
    <s v="CPCRM20254"/>
    <x v="74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 other cus"/>
    <x v="31"/>
    <s v="CustomerProject"/>
    <s v="成本累積"/>
    <x v="2"/>
    <s v="Activity"/>
    <x v="9"/>
    <n v="97780.363636363603"/>
    <n v="7680.0000000109649"/>
    <m/>
    <m/>
    <x v="4"/>
  </r>
  <r>
    <n v="2018"/>
    <x v="1"/>
    <s v="201804"/>
    <s v="Kelly Group"/>
    <s v="公隆化學股份有限公司"/>
    <s v="CP永光二廠"/>
    <x v="75"/>
    <s v="CustomerProject"/>
    <s v="成本累積"/>
    <x v="2"/>
    <s v="Activity"/>
    <x v="12"/>
    <n v="0"/>
    <n v="0"/>
    <m/>
    <m/>
    <x v="5"/>
  </r>
  <r>
    <n v="2018"/>
    <x v="1"/>
    <s v="201804"/>
    <s v="Kelly Group"/>
    <s v="公隆化學股份有限公司"/>
    <s v="CP三德"/>
    <x v="117"/>
    <s v="CustomerProject"/>
    <s v="成本累積"/>
    <x v="2"/>
    <s v="Activity"/>
    <x v="3"/>
    <n v="1044.0090909091"/>
    <n v="82.000000000117822"/>
    <m/>
    <m/>
    <x v="5"/>
  </r>
  <r>
    <n v="2018"/>
    <x v="1"/>
    <s v="201804"/>
    <s v="Kelly Group"/>
    <s v="公隆化學股份有限公司"/>
    <s v="CP微鑽石"/>
    <x v="118"/>
    <s v="CustomerProject"/>
    <s v="成本累積"/>
    <x v="2"/>
    <s v="Activity"/>
    <x v="3"/>
    <n v="1566.0136363636"/>
    <n v="123.0000000001728"/>
    <m/>
    <m/>
    <x v="5"/>
  </r>
  <r>
    <n v="2018"/>
    <x v="1"/>
    <s v="201804"/>
    <s v="Kelly Group"/>
    <s v="公隆化學股份有限公司"/>
    <s v="CPCRM00783"/>
    <x v="7"/>
    <s v="CustomerProject"/>
    <s v="成本歸屬至產品"/>
    <x v="1"/>
    <m/>
    <x v="15"/>
    <n v="-218.38329446189999"/>
    <m/>
    <s v="72000045"/>
    <n v="19.7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275.10917030569999"/>
    <m/>
    <s v="61000027"/>
    <n v="240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275.10917030569999"/>
    <m/>
    <s v="61000027"/>
    <n v="240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13726.919941775899"/>
    <m/>
    <s v="61000017"/>
    <n v="500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9151.2799611839"/>
    <m/>
    <s v="61000017"/>
    <n v="500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6626.788937409"/>
    <m/>
    <s v="61000027"/>
    <n v="240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6626.788937409"/>
    <m/>
    <s v="61000027"/>
    <n v="240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569.86899563309998"/>
    <m/>
    <s v="61000017"/>
    <n v="500"/>
    <x v="3"/>
  </r>
  <r>
    <n v="2018"/>
    <x v="1"/>
    <s v="201804"/>
    <s v="Kelly Group"/>
    <s v="公隆化學股份有限公司"/>
    <s v="CP華震科技"/>
    <x v="77"/>
    <s v="CustomerProject"/>
    <s v="成本歸屬至產品"/>
    <x v="1"/>
    <m/>
    <x v="15"/>
    <n v="-379.91266375549998"/>
    <m/>
    <s v="61000017"/>
    <n v="500"/>
    <x v="3"/>
  </r>
  <r>
    <n v="2018"/>
    <x v="1"/>
    <s v="201804"/>
    <s v="Kelly Group"/>
    <s v="公隆化學股份有限公司"/>
    <s v="CPCRM00783"/>
    <x v="7"/>
    <s v="CustomerProject"/>
    <s v="成本歸屬至產品"/>
    <x v="1"/>
    <m/>
    <x v="15"/>
    <n v="-2061.0061982917"/>
    <m/>
    <s v="74000246"/>
    <n v="232.4"/>
    <x v="3"/>
  </r>
  <r>
    <n v="2018"/>
    <x v="1"/>
    <s v="201804"/>
    <s v="Kelly Group"/>
    <s v="公隆化學股份有限公司"/>
    <s v="CPCRM01052"/>
    <x v="12"/>
    <s v="CustomerProject"/>
    <s v="成本歸屬至產品"/>
    <x v="1"/>
    <m/>
    <x v="15"/>
    <n v="-5384.0751811596001"/>
    <m/>
    <s v="61000017"/>
    <n v="300"/>
    <x v="3"/>
  </r>
  <r>
    <n v="2018"/>
    <x v="1"/>
    <s v="201804"/>
    <s v="Kelly Group"/>
    <s v="公隆化學股份有限公司"/>
    <s v="CPCRM01053"/>
    <x v="82"/>
    <s v="CustomerProject"/>
    <s v="成本歸屬至產品"/>
    <x v="1"/>
    <m/>
    <x v="15"/>
    <n v="-7602.7282407407001"/>
    <m/>
    <s v="61000027"/>
    <n v="60"/>
    <x v="3"/>
  </r>
  <r>
    <n v="2018"/>
    <x v="1"/>
    <s v="201804"/>
    <s v="Kelly Group"/>
    <s v="公隆化學股份有限公司"/>
    <s v="CPCRM20308"/>
    <x v="97"/>
    <s v="CustomerProject"/>
    <s v="成本歸屬至產品"/>
    <x v="1"/>
    <m/>
    <x v="15"/>
    <n v="-36131.777777777897"/>
    <m/>
    <s v="61000017"/>
    <n v="20"/>
    <x v="5"/>
  </r>
  <r>
    <n v="2018"/>
    <x v="1"/>
    <s v="201804"/>
    <s v="Kelly Group"/>
    <s v="公隆化學股份有限公司"/>
    <s v="CPCRM18081"/>
    <x v="115"/>
    <s v="CustomerProject"/>
    <s v="成本歸屬至產品"/>
    <x v="2"/>
    <m/>
    <x v="15"/>
    <n v="-1044.0090909091"/>
    <m/>
    <s v="87000060"/>
    <n v="1"/>
    <x v="5"/>
  </r>
  <r>
    <n v="2018"/>
    <x v="1"/>
    <s v="201804"/>
    <s v="Kelly Group"/>
    <s v="公隆化學股份有限公司"/>
    <s v="CPCRM10849"/>
    <x v="102"/>
    <s v="CustomerProject"/>
    <s v="成本歸屬至產品"/>
    <x v="2"/>
    <m/>
    <x v="15"/>
    <n v="-3577.6409090909001"/>
    <m/>
    <s v="88000407"/>
    <n v="17"/>
    <x v="2"/>
  </r>
  <r>
    <n v="2018"/>
    <x v="1"/>
    <s v="201804"/>
    <s v="Kelly Group"/>
    <s v="公隆化學股份有限公司"/>
    <s v="CPCRM19822"/>
    <x v="80"/>
    <s v="CustomerProject"/>
    <s v="成本歸屬至產品"/>
    <x v="2"/>
    <m/>
    <x v="15"/>
    <n v="-3348.4681818181998"/>
    <m/>
    <s v="74000251"/>
    <n v="108"/>
    <x v="2"/>
  </r>
  <r>
    <n v="2018"/>
    <x v="1"/>
    <s v="201804"/>
    <s v="Kelly Group"/>
    <s v="公隆化學股份有限公司"/>
    <s v="CPCRM19822"/>
    <x v="80"/>
    <s v="CustomerProject"/>
    <s v="成本歸屬至產品"/>
    <x v="2"/>
    <m/>
    <x v="15"/>
    <n v="-2151.6772727273001"/>
    <m/>
    <s v="74000251"/>
    <n v="108"/>
    <x v="2"/>
  </r>
  <r>
    <n v="2018"/>
    <x v="1"/>
    <s v="201804"/>
    <s v="Kelly Group"/>
    <s v="公隆化學股份有限公司"/>
    <s v="CPCRM19822"/>
    <x v="80"/>
    <s v="CustomerProject"/>
    <s v="成本歸屬至產品"/>
    <x v="2"/>
    <m/>
    <x v="15"/>
    <n v="-3500"/>
    <m/>
    <s v="74000251"/>
    <n v="108"/>
    <x v="2"/>
  </r>
  <r>
    <n v="2018"/>
    <x v="1"/>
    <s v="201804"/>
    <s v="Kelly Group"/>
    <s v="公隆化學股份有限公司"/>
    <s v="CPCRM08406"/>
    <x v="110"/>
    <s v="CustomerProject"/>
    <s v="成本歸屬至產品"/>
    <x v="2"/>
    <m/>
    <x v="15"/>
    <n v="-1871.5772727272999"/>
    <m/>
    <s v="87000189"/>
    <n v="36"/>
    <x v="5"/>
  </r>
  <r>
    <n v="2018"/>
    <x v="1"/>
    <s v="201804"/>
    <s v="Kelly Group"/>
    <s v="公隆化學股份有限公司"/>
    <s v="CPCRM08406"/>
    <x v="110"/>
    <s v="CustomerProject"/>
    <s v="成本歸屬至產品"/>
    <x v="2"/>
    <m/>
    <x v="15"/>
    <n v="-2826.4636363637001"/>
    <m/>
    <s v="87000189"/>
    <n v="36"/>
    <x v="5"/>
  </r>
  <r>
    <n v="2018"/>
    <x v="1"/>
    <s v="201804"/>
    <s v="Kelly Group"/>
    <s v="公隆化學股份有限公司"/>
    <s v="CPCRM05197"/>
    <x v="99"/>
    <s v="CustomerProject"/>
    <s v="成本歸屬至產品"/>
    <x v="2"/>
    <m/>
    <x v="15"/>
    <n v="-1620.6690105475"/>
    <m/>
    <s v="88000535"/>
    <n v="16"/>
    <x v="2"/>
  </r>
  <r>
    <n v="2018"/>
    <x v="1"/>
    <s v="201804"/>
    <s v="Kelly Group"/>
    <s v="公隆化學股份有限公司"/>
    <s v="CPCRM05197"/>
    <x v="99"/>
    <s v="CustomerProject"/>
    <s v="成本歸屬至產品"/>
    <x v="2"/>
    <m/>
    <x v="15"/>
    <n v="-1434.9673530888999"/>
    <m/>
    <s v="88000554"/>
    <n v="15"/>
    <x v="2"/>
  </r>
  <r>
    <n v="2018"/>
    <x v="1"/>
    <s v="201804"/>
    <s v="Kelly Group"/>
    <s v="公隆化學股份有限公司"/>
    <s v="CPCRM10848"/>
    <x v="4"/>
    <s v="CustomerProject"/>
    <s v="成本歸屬至產品"/>
    <x v="2"/>
    <m/>
    <x v="15"/>
    <n v="-1298.5249801744999"/>
    <m/>
    <s v="88000407"/>
    <n v="476"/>
    <x v="2"/>
  </r>
  <r>
    <n v="2018"/>
    <x v="1"/>
    <s v="201804"/>
    <s v="Kelly Group"/>
    <s v="公隆化學股份有限公司"/>
    <s v="CPCRM10848"/>
    <x v="4"/>
    <s v="CustomerProject"/>
    <s v="成本歸屬至產品"/>
    <x v="2"/>
    <m/>
    <x v="15"/>
    <n v="-301.4750198255"/>
    <m/>
    <s v="88000426"/>
    <n v="36"/>
    <x v="2"/>
  </r>
  <r>
    <n v="2018"/>
    <x v="1"/>
    <s v="201804"/>
    <s v="Kelly Group"/>
    <s v="公隆化學股份有限公司"/>
    <s v="CPCRM20308"/>
    <x v="97"/>
    <s v="CustomerProject"/>
    <s v="成本歸屬至產品"/>
    <x v="2"/>
    <m/>
    <x v="15"/>
    <n v="-1222.2545454545"/>
    <m/>
    <s v="61000017"/>
    <n v="20"/>
    <x v="5"/>
  </r>
  <r>
    <n v="2018"/>
    <x v="1"/>
    <s v="201804"/>
    <s v="Kelly Group"/>
    <s v="公隆化學股份有限公司"/>
    <s v="CPCRM20308"/>
    <x v="97"/>
    <s v="CustomerProject"/>
    <s v="成本歸屬至產品"/>
    <x v="2"/>
    <m/>
    <x v="15"/>
    <n v="-802.1045454545"/>
    <m/>
    <s v="61000017"/>
    <n v="20"/>
    <x v="5"/>
  </r>
  <r>
    <n v="2018"/>
    <x v="2"/>
    <s v="201805"/>
    <s v="Kelly Group"/>
    <s v="公隆化學股份有限公司"/>
    <s v="CPunknow"/>
    <x v="0"/>
    <s v="CustomerProject"/>
    <s v="成本累積"/>
    <x v="0"/>
    <s v="Resource"/>
    <x v="0"/>
    <n v="366"/>
    <m/>
    <m/>
    <m/>
    <x v="0"/>
  </r>
  <r>
    <n v="2018"/>
    <x v="2"/>
    <s v="201805"/>
    <s v="Kelly Group"/>
    <s v="公隆化學股份有限公司"/>
    <s v="CP上海安捷"/>
    <x v="119"/>
    <s v="CustomerProject"/>
    <s v="成本累積"/>
    <x v="0"/>
    <s v="Resource"/>
    <x v="0"/>
    <n v="2140"/>
    <m/>
    <m/>
    <m/>
    <x v="4"/>
  </r>
  <r>
    <n v="2018"/>
    <x v="2"/>
    <s v="201805"/>
    <s v="Kelly Group"/>
    <s v="公隆化學股份有限公司"/>
    <s v="CPCRM00400"/>
    <x v="76"/>
    <s v="CustomerProject"/>
    <s v="成本累積"/>
    <x v="1"/>
    <s v="Resource"/>
    <x v="0"/>
    <n v="4000"/>
    <m/>
    <m/>
    <m/>
    <x v="1"/>
  </r>
  <r>
    <n v="2018"/>
    <x v="2"/>
    <s v="201805"/>
    <s v="Kelly Group"/>
    <s v="公隆化學股份有限公司"/>
    <s v="CPCRM00696"/>
    <x v="1"/>
    <s v="CustomerProject"/>
    <s v="成本累積"/>
    <x v="1"/>
    <s v="Resource"/>
    <x v="1"/>
    <n v="0"/>
    <m/>
    <m/>
    <m/>
    <x v="1"/>
  </r>
  <r>
    <n v="2018"/>
    <x v="2"/>
    <s v="201805"/>
    <s v="Kelly Group"/>
    <s v="公隆化學股份有限公司"/>
    <s v="CPCRM00696"/>
    <x v="1"/>
    <s v="CustomerProject"/>
    <s v="成本累積"/>
    <x v="1"/>
    <s v="Resource"/>
    <x v="2"/>
    <n v="4408"/>
    <m/>
    <m/>
    <m/>
    <x v="1"/>
  </r>
  <r>
    <n v="2018"/>
    <x v="2"/>
    <s v="201805"/>
    <s v="Kelly Group"/>
    <s v="公隆化學股份有限公司"/>
    <s v="CPCRM00911"/>
    <x v="2"/>
    <s v="CustomerProject"/>
    <s v="成本累積"/>
    <x v="1"/>
    <s v="Resource"/>
    <x v="2"/>
    <n v="2828"/>
    <m/>
    <m/>
    <m/>
    <x v="1"/>
  </r>
  <r>
    <n v="2018"/>
    <x v="2"/>
    <s v="201805"/>
    <s v="Kelly Group"/>
    <s v="公隆化學股份有限公司"/>
    <s v="CPCRM01025"/>
    <x v="120"/>
    <s v="CustomerProject"/>
    <s v="成本累積"/>
    <x v="1"/>
    <s v="Resource"/>
    <x v="0"/>
    <n v="1500"/>
    <m/>
    <m/>
    <m/>
    <x v="3"/>
  </r>
  <r>
    <n v="2018"/>
    <x v="2"/>
    <s v="201805"/>
    <s v="Kelly Group"/>
    <s v="公隆化學股份有限公司"/>
    <s v="CP華震科技"/>
    <x v="77"/>
    <s v="CustomerProject"/>
    <s v="成本累積"/>
    <x v="1"/>
    <s v="Resource"/>
    <x v="0"/>
    <n v="0"/>
    <m/>
    <m/>
    <m/>
    <x v="3"/>
  </r>
  <r>
    <n v="2018"/>
    <x v="2"/>
    <s v="201805"/>
    <s v="Kelly Group"/>
    <s v="公隆化學股份有限公司"/>
    <s v="CPunknow"/>
    <x v="0"/>
    <s v="CustomerProject"/>
    <s v="成本累積"/>
    <x v="1"/>
    <s v="Resource"/>
    <x v="0"/>
    <n v="7974"/>
    <m/>
    <m/>
    <m/>
    <x v="0"/>
  </r>
  <r>
    <n v="2018"/>
    <x v="2"/>
    <s v="201805"/>
    <s v="Kelly Group"/>
    <s v="公隆化學股份有限公司"/>
    <s v="CPEMERSON"/>
    <x v="78"/>
    <s v="CustomerProject"/>
    <s v="成本累積"/>
    <x v="1"/>
    <s v="Resource"/>
    <x v="0"/>
    <n v="0"/>
    <m/>
    <m/>
    <m/>
    <x v="1"/>
  </r>
  <r>
    <n v="2018"/>
    <x v="2"/>
    <s v="201805"/>
    <s v="Kelly Group"/>
    <s v="公隆化學股份有限公司"/>
    <s v="CPCRM05498"/>
    <x v="3"/>
    <s v="CustomerProject"/>
    <s v="成本累積"/>
    <x v="2"/>
    <s v="Resource"/>
    <x v="1"/>
    <n v="0"/>
    <m/>
    <m/>
    <m/>
    <x v="2"/>
  </r>
  <r>
    <n v="2018"/>
    <x v="2"/>
    <s v="201805"/>
    <s v="Kelly Group"/>
    <s v="公隆化學股份有限公司"/>
    <s v="CPCRM10848"/>
    <x v="4"/>
    <s v="CustomerProject"/>
    <s v="成本累積"/>
    <x v="2"/>
    <s v="Resource"/>
    <x v="1"/>
    <n v="0"/>
    <m/>
    <m/>
    <m/>
    <x v="2"/>
  </r>
  <r>
    <n v="2018"/>
    <x v="2"/>
    <s v="201805"/>
    <s v="Kelly Group"/>
    <s v="公隆化學股份有限公司"/>
    <s v="CPCRM10848"/>
    <x v="4"/>
    <s v="CustomerProject"/>
    <s v="成本累積"/>
    <x v="2"/>
    <s v="Resource"/>
    <x v="0"/>
    <n v="0"/>
    <m/>
    <m/>
    <m/>
    <x v="2"/>
  </r>
  <r>
    <n v="2018"/>
    <x v="2"/>
    <s v="201805"/>
    <s v="Kelly Group"/>
    <s v="公隆化學股份有限公司"/>
    <s v="CPCRM11533"/>
    <x v="5"/>
    <s v="CustomerProject"/>
    <s v="成本累積"/>
    <x v="2"/>
    <s v="Resource"/>
    <x v="1"/>
    <n v="0"/>
    <m/>
    <m/>
    <m/>
    <x v="2"/>
  </r>
  <r>
    <n v="2018"/>
    <x v="2"/>
    <s v="201805"/>
    <s v="Kelly Group"/>
    <s v="公隆化學股份有限公司"/>
    <s v="CPCRM17381"/>
    <x v="79"/>
    <s v="CustomerProject"/>
    <s v="成本累積"/>
    <x v="2"/>
    <s v="Resource"/>
    <x v="1"/>
    <n v="0"/>
    <m/>
    <m/>
    <m/>
    <x v="2"/>
  </r>
  <r>
    <n v="2018"/>
    <x v="2"/>
    <s v="201805"/>
    <s v="Kelly Group"/>
    <s v="公隆化學股份有限公司"/>
    <s v="CPCRM19822"/>
    <x v="80"/>
    <s v="CustomerProject"/>
    <s v="成本累積"/>
    <x v="2"/>
    <s v="Resource"/>
    <x v="0"/>
    <n v="0"/>
    <m/>
    <m/>
    <m/>
    <x v="2"/>
  </r>
  <r>
    <n v="2018"/>
    <x v="2"/>
    <s v="201805"/>
    <s v="Kelly Group"/>
    <s v="公隆化學股份有限公司"/>
    <s v="CPunknow"/>
    <x v="0"/>
    <s v="CustomerProject"/>
    <s v="成本累積"/>
    <x v="2"/>
    <s v="Resource"/>
    <x v="0"/>
    <n v="18177"/>
    <m/>
    <m/>
    <m/>
    <x v="0"/>
  </r>
  <r>
    <n v="2018"/>
    <x v="2"/>
    <s v="201805"/>
    <s v="Kelly Group"/>
    <s v="公隆化學股份有限公司"/>
    <s v="CPCRM00550"/>
    <x v="6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0550"/>
    <x v="6"/>
    <s v="CustomerProject"/>
    <s v="成本累積"/>
    <x v="1"/>
    <s v="Activity"/>
    <x v="14"/>
    <n v="2882.5890151515"/>
    <n v="58.000000000070422"/>
    <m/>
    <m/>
    <x v="3"/>
  </r>
  <r>
    <n v="2018"/>
    <x v="2"/>
    <s v="201805"/>
    <s v="Kelly Group"/>
    <s v="公隆化學股份有限公司"/>
    <s v="CPCRM01109"/>
    <x v="121"/>
    <s v="CustomerProject"/>
    <s v="成本累積"/>
    <x v="1"/>
    <s v="Activity"/>
    <x v="5"/>
    <n v="18239.830492424298"/>
    <n v="367.00000000044867"/>
    <m/>
    <m/>
    <x v="1"/>
  </r>
  <r>
    <n v="2018"/>
    <x v="2"/>
    <s v="201805"/>
    <s v="Kelly Group"/>
    <s v="公隆化學股份有限公司"/>
    <s v="CPCRM00783"/>
    <x v="7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0937"/>
    <x v="8"/>
    <s v="CustomerProject"/>
    <s v="成本累積"/>
    <x v="1"/>
    <s v="Activity"/>
    <x v="4"/>
    <n v="0"/>
    <n v="0"/>
    <m/>
    <m/>
    <x v="3"/>
  </r>
  <r>
    <n v="2018"/>
    <x v="2"/>
    <s v="201805"/>
    <s v="Kelly Group"/>
    <s v="公隆化學股份有限公司"/>
    <s v="CPCRM01037"/>
    <x v="9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37"/>
    <x v="9"/>
    <s v="CustomerProject"/>
    <s v="成本累積"/>
    <x v="1"/>
    <s v="Activity"/>
    <x v="6"/>
    <n v="0"/>
    <n v="0"/>
    <m/>
    <m/>
    <x v="3"/>
  </r>
  <r>
    <n v="2018"/>
    <x v="2"/>
    <s v="201805"/>
    <s v="Kelly Group"/>
    <s v="公隆化學股份有限公司"/>
    <s v="CPCRM01042"/>
    <x v="10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42"/>
    <x v="10"/>
    <s v="CustomerProject"/>
    <s v="成本累積"/>
    <x v="1"/>
    <s v="Activity"/>
    <x v="6"/>
    <n v="8001.6695075757998"/>
    <n v="161.00000000019719"/>
    <m/>
    <m/>
    <x v="3"/>
  </r>
  <r>
    <n v="2018"/>
    <x v="2"/>
    <s v="201805"/>
    <s v="Kelly Group"/>
    <s v="公隆化學股份有限公司"/>
    <s v="CPCRM01046"/>
    <x v="81"/>
    <s v="CustomerProject"/>
    <s v="成本累積"/>
    <x v="1"/>
    <s v="Activity"/>
    <x v="7"/>
    <n v="7256.1723484847998"/>
    <n v="146.00000000017707"/>
    <m/>
    <m/>
    <x v="3"/>
  </r>
  <r>
    <n v="2018"/>
    <x v="2"/>
    <s v="201805"/>
    <s v="Kelly Group"/>
    <s v="公隆化學股份有限公司"/>
    <s v="CPCRM01046"/>
    <x v="81"/>
    <s v="CustomerProject"/>
    <s v="成本累積"/>
    <x v="1"/>
    <s v="Activity"/>
    <x v="16"/>
    <n v="0"/>
    <n v="0"/>
    <m/>
    <m/>
    <x v="3"/>
  </r>
  <r>
    <n v="2018"/>
    <x v="2"/>
    <s v="201805"/>
    <s v="Kelly Group"/>
    <s v="公隆化學股份有限公司"/>
    <s v="CPCRM01049"/>
    <x v="11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52"/>
    <x v="12"/>
    <s v="CustomerProject"/>
    <s v="成本累積"/>
    <x v="1"/>
    <s v="Activity"/>
    <x v="7"/>
    <n v="23855.909090909099"/>
    <n v="480.00000000058549"/>
    <m/>
    <m/>
    <x v="3"/>
  </r>
  <r>
    <n v="2018"/>
    <x v="2"/>
    <s v="201805"/>
    <s v="Kelly Group"/>
    <s v="公隆化學股份有限公司"/>
    <s v="CPCRM01052"/>
    <x v="12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53"/>
    <x v="82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73"/>
    <x v="122"/>
    <s v="CustomerProject"/>
    <s v="成本累積"/>
    <x v="1"/>
    <s v="Activity"/>
    <x v="20"/>
    <n v="2981.9886363635001"/>
    <n v="60.000000000070422"/>
    <m/>
    <m/>
    <x v="3"/>
  </r>
  <r>
    <n v="2018"/>
    <x v="2"/>
    <s v="201805"/>
    <s v="Kelly Group"/>
    <s v="公隆化學股份有限公司"/>
    <s v="CPCRM01090"/>
    <x v="13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91"/>
    <x v="14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91"/>
    <x v="14"/>
    <s v="CustomerProject"/>
    <s v="成本累積"/>
    <x v="1"/>
    <s v="Activity"/>
    <x v="6"/>
    <n v="0"/>
    <n v="0"/>
    <m/>
    <m/>
    <x v="3"/>
  </r>
  <r>
    <n v="2018"/>
    <x v="2"/>
    <s v="201805"/>
    <s v="Kelly Group"/>
    <s v="公隆化學股份有限公司"/>
    <s v="CPCRM01093"/>
    <x v="15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94"/>
    <x v="16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094"/>
    <x v="16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94"/>
    <x v="16"/>
    <s v="CustomerProject"/>
    <s v="成本累積"/>
    <x v="1"/>
    <s v="Activity"/>
    <x v="6"/>
    <n v="0"/>
    <n v="0"/>
    <m/>
    <m/>
    <x v="3"/>
  </r>
  <r>
    <n v="2018"/>
    <x v="2"/>
    <s v="201805"/>
    <s v="Kelly Group"/>
    <s v="公隆化學股份有限公司"/>
    <s v="CPCRM01095"/>
    <x v="17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095"/>
    <x v="17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01095"/>
    <x v="17"/>
    <s v="CustomerProject"/>
    <s v="成本累積"/>
    <x v="1"/>
    <s v="Activity"/>
    <x v="6"/>
    <n v="0"/>
    <n v="0"/>
    <m/>
    <m/>
    <x v="3"/>
  </r>
  <r>
    <n v="2018"/>
    <x v="2"/>
    <s v="201805"/>
    <s v="Kelly Group"/>
    <s v="公隆化學股份有限公司"/>
    <s v="CPCRM01096"/>
    <x v="18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097"/>
    <x v="19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097"/>
    <x v="19"/>
    <s v="CustomerProject"/>
    <s v="成本累積"/>
    <x v="1"/>
    <s v="Activity"/>
    <x v="6"/>
    <n v="0"/>
    <n v="0"/>
    <m/>
    <m/>
    <x v="3"/>
  </r>
  <r>
    <n v="2018"/>
    <x v="2"/>
    <s v="201805"/>
    <s v="Kelly Group"/>
    <s v="公隆化學股份有限公司"/>
    <s v="CPCRM01101"/>
    <x v="20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01"/>
    <x v="20"/>
    <s v="CustomerProject"/>
    <s v="成本累積"/>
    <x v="1"/>
    <s v="Activity"/>
    <x v="21"/>
    <n v="20873.9204545455"/>
    <n v="420.00000000051307"/>
    <m/>
    <m/>
    <x v="3"/>
  </r>
  <r>
    <n v="2018"/>
    <x v="2"/>
    <s v="201805"/>
    <s v="Kelly Group"/>
    <s v="公隆化學股份有限公司"/>
    <s v="CPCRM01101"/>
    <x v="20"/>
    <s v="CustomerProject"/>
    <s v="成本累積"/>
    <x v="1"/>
    <s v="Activity"/>
    <x v="5"/>
    <n v="397.59848484849999"/>
    <n v="8.0000000000100595"/>
    <m/>
    <m/>
    <x v="3"/>
  </r>
  <r>
    <n v="2018"/>
    <x v="2"/>
    <s v="201805"/>
    <s v="Kelly Group"/>
    <s v="公隆化學股份有限公司"/>
    <s v="CPCRM01101"/>
    <x v="20"/>
    <s v="CustomerProject"/>
    <s v="成本累積"/>
    <x v="1"/>
    <s v="Activity"/>
    <x v="22"/>
    <n v="23855.909090909099"/>
    <n v="480.00000000058549"/>
    <m/>
    <m/>
    <x v="3"/>
  </r>
  <r>
    <n v="2018"/>
    <x v="2"/>
    <s v="201805"/>
    <s v="Kelly Group"/>
    <s v="公隆化學股份有限公司"/>
    <s v="CPCRM01102"/>
    <x v="21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03"/>
    <x v="22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05"/>
    <x v="23"/>
    <s v="CustomerProject"/>
    <s v="成本累積"/>
    <x v="1"/>
    <s v="Activity"/>
    <x v="7"/>
    <n v="0"/>
    <n v="0"/>
    <m/>
    <m/>
    <x v="3"/>
  </r>
  <r>
    <n v="2018"/>
    <x v="2"/>
    <s v="201805"/>
    <s v="Kelly Group"/>
    <s v="公隆化學股份有限公司"/>
    <s v="CPCRM01105"/>
    <x v="23"/>
    <s v="CustomerProject"/>
    <s v="成本累積"/>
    <x v="1"/>
    <s v="Activity"/>
    <x v="8"/>
    <n v="0"/>
    <n v="0"/>
    <m/>
    <m/>
    <x v="3"/>
  </r>
  <r>
    <n v="2018"/>
    <x v="2"/>
    <s v="201805"/>
    <s v="Kelly Group"/>
    <s v="公隆化學股份有限公司"/>
    <s v="CPCRM01111"/>
    <x v="24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11"/>
    <x v="24"/>
    <s v="CustomerProject"/>
    <s v="成本累積"/>
    <x v="1"/>
    <s v="Activity"/>
    <x v="5"/>
    <n v="3926.2850378787998"/>
    <n v="79.000000000096577"/>
    <m/>
    <m/>
    <x v="3"/>
  </r>
  <r>
    <n v="2018"/>
    <x v="2"/>
    <s v="201805"/>
    <s v="Kelly Group"/>
    <s v="公隆化學股份有限公司"/>
    <s v="CPCRM01117"/>
    <x v="25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18"/>
    <x v="26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1"/>
    <x v="83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1"/>
    <x v="83"/>
    <s v="CustomerProject"/>
    <s v="成本累積"/>
    <x v="1"/>
    <s v="Activity"/>
    <x v="5"/>
    <n v="3429.2869318182002"/>
    <n v="69.000000000084512"/>
    <m/>
    <m/>
    <x v="3"/>
  </r>
  <r>
    <n v="2018"/>
    <x v="2"/>
    <s v="201805"/>
    <s v="Kelly Group"/>
    <s v="公隆化學股份有限公司"/>
    <s v="CPCRM01122"/>
    <x v="84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3"/>
    <x v="85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4"/>
    <x v="86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5"/>
    <x v="87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5"/>
    <x v="87"/>
    <s v="CustomerProject"/>
    <s v="成本累積"/>
    <x v="1"/>
    <s v="Activity"/>
    <x v="5"/>
    <n v="5665.7784090908999"/>
    <n v="114.00000000013883"/>
    <m/>
    <m/>
    <x v="3"/>
  </r>
  <r>
    <n v="2018"/>
    <x v="2"/>
    <s v="201805"/>
    <s v="Kelly Group"/>
    <s v="公隆化學股份有限公司"/>
    <s v="CPCRM01126"/>
    <x v="88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7"/>
    <x v="89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8"/>
    <x v="90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9"/>
    <x v="91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29"/>
    <x v="91"/>
    <s v="CustomerProject"/>
    <s v="成本累積"/>
    <x v="1"/>
    <s v="Activity"/>
    <x v="5"/>
    <n v="15705.140151515099"/>
    <n v="316.00000000038432"/>
    <m/>
    <m/>
    <x v="3"/>
  </r>
  <r>
    <n v="2018"/>
    <x v="2"/>
    <s v="201805"/>
    <s v="Kelly Group"/>
    <s v="公隆化學股份有限公司"/>
    <s v="CPCRM01130"/>
    <x v="92"/>
    <s v="CustomerProject"/>
    <s v="成本累積"/>
    <x v="1"/>
    <s v="Activity"/>
    <x v="5"/>
    <n v="23458.310606060601"/>
    <n v="472.00000000057548"/>
    <m/>
    <m/>
    <x v="3"/>
  </r>
  <r>
    <n v="2018"/>
    <x v="2"/>
    <s v="201805"/>
    <s v="Kelly Group"/>
    <s v="公隆化學股份有限公司"/>
    <s v="CPCRM01130"/>
    <x v="92"/>
    <s v="CustomerProject"/>
    <s v="成本累積"/>
    <x v="1"/>
    <s v="Activity"/>
    <x v="17"/>
    <n v="0"/>
    <n v="0"/>
    <m/>
    <m/>
    <x v="3"/>
  </r>
  <r>
    <n v="2018"/>
    <x v="2"/>
    <s v="201805"/>
    <s v="Kelly Group"/>
    <s v="公隆化學股份有限公司"/>
    <s v="CPCRM01132"/>
    <x v="93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33"/>
    <x v="94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01140"/>
    <x v="95"/>
    <s v="CustomerProject"/>
    <s v="成本累積"/>
    <x v="1"/>
    <s v="Activity"/>
    <x v="3"/>
    <n v="7703.4706439394004"/>
    <n v="155.00000000018915"/>
    <m/>
    <m/>
    <x v="3"/>
  </r>
  <r>
    <n v="2018"/>
    <x v="2"/>
    <s v="201805"/>
    <s v="Kelly Group"/>
    <s v="公隆化學股份有限公司"/>
    <s v="CPCRM1106"/>
    <x v="27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1106"/>
    <x v="27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CRM1107"/>
    <x v="28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CRM14295"/>
    <x v="29"/>
    <s v="CustomerProject"/>
    <s v="成本累積"/>
    <x v="1"/>
    <s v="Activity"/>
    <x v="6"/>
    <n v="0"/>
    <n v="0"/>
    <m/>
    <m/>
    <x v="3"/>
  </r>
  <r>
    <n v="2018"/>
    <x v="2"/>
    <s v="201805"/>
    <s v="Kelly Group"/>
    <s v="公隆化學股份有限公司"/>
    <s v="CPCRM17319"/>
    <x v="96"/>
    <s v="CustomerProject"/>
    <s v="成本累積"/>
    <x v="1"/>
    <s v="Activity"/>
    <x v="3"/>
    <n v="5168.7803030303003"/>
    <n v="104.00000000012676"/>
    <m/>
    <m/>
    <x v="3"/>
  </r>
  <r>
    <n v="2018"/>
    <x v="2"/>
    <s v="201805"/>
    <s v="Kelly Group"/>
    <s v="公隆化學股份有限公司"/>
    <s v="CPCRM20308"/>
    <x v="97"/>
    <s v="CustomerProject"/>
    <s v="成本累積"/>
    <x v="1"/>
    <s v="Activity"/>
    <x v="3"/>
    <n v="0"/>
    <n v="0"/>
    <m/>
    <m/>
    <x v="5"/>
  </r>
  <r>
    <n v="2018"/>
    <x v="2"/>
    <s v="201805"/>
    <s v="Kelly Group"/>
    <s v="公隆化學股份有限公司"/>
    <s v="CP世豐螺絲"/>
    <x v="98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世豐螺絲"/>
    <x v="98"/>
    <s v="CustomerProject"/>
    <s v="成本累積"/>
    <x v="1"/>
    <s v="Activity"/>
    <x v="6"/>
    <n v="844.89678030300001"/>
    <n v="17.000000000020123"/>
    <m/>
    <m/>
    <x v="3"/>
  </r>
  <r>
    <n v="2018"/>
    <x v="2"/>
    <s v="201805"/>
    <s v="Kelly Group"/>
    <s v="公隆化學股份有限公司"/>
    <s v="CP恆耀工業"/>
    <x v="30"/>
    <s v="CustomerProject"/>
    <s v="成本累積"/>
    <x v="1"/>
    <s v="Activity"/>
    <x v="3"/>
    <n v="0"/>
    <n v="0"/>
    <m/>
    <m/>
    <x v="3"/>
  </r>
  <r>
    <n v="2018"/>
    <x v="2"/>
    <s v="201805"/>
    <s v="Kelly Group"/>
    <s v="公隆化學股份有限公司"/>
    <s v="CP華震科技"/>
    <x v="77"/>
    <s v="CustomerProject"/>
    <s v="成本累積"/>
    <x v="1"/>
    <s v="Activity"/>
    <x v="7"/>
    <n v="7852.5700757575996"/>
    <n v="158.00000000019315"/>
    <m/>
    <m/>
    <x v="3"/>
  </r>
  <r>
    <n v="2018"/>
    <x v="2"/>
    <s v="201805"/>
    <s v="Kelly Group"/>
    <s v="公隆化學股份有限公司"/>
    <s v="CP華震科技"/>
    <x v="77"/>
    <s v="CustomerProject"/>
    <s v="成本累積"/>
    <x v="1"/>
    <s v="Activity"/>
    <x v="5"/>
    <n v="0"/>
    <n v="0"/>
    <m/>
    <m/>
    <x v="3"/>
  </r>
  <r>
    <n v="2018"/>
    <x v="2"/>
    <s v="201805"/>
    <s v="Kelly Group"/>
    <s v="公隆化學股份有限公司"/>
    <s v="CP華震科技"/>
    <x v="77"/>
    <s v="CustomerProject"/>
    <s v="成本累積"/>
    <x v="1"/>
    <s v="Activity"/>
    <x v="6"/>
    <n v="4671.7821969696997"/>
    <n v="94.000000000114682"/>
    <m/>
    <m/>
    <x v="3"/>
  </r>
  <r>
    <n v="2018"/>
    <x v="2"/>
    <s v="201805"/>
    <s v="Kelly Group"/>
    <s v="公隆化學股份有限公司"/>
    <s v="CP other cus"/>
    <x v="31"/>
    <s v="CustomerProject"/>
    <s v="成本累積"/>
    <x v="1"/>
    <s v="Activity"/>
    <x v="9"/>
    <n v="310126.81818181818"/>
    <n v="6240.0000000076088"/>
    <m/>
    <m/>
    <x v="4"/>
  </r>
  <r>
    <n v="2018"/>
    <x v="2"/>
    <s v="201805"/>
    <s v="Kelly Group"/>
    <s v="公隆化學股份有限公司"/>
    <s v="CPCRM01146"/>
    <x v="123"/>
    <s v="CustomerProject"/>
    <s v="成本累積"/>
    <x v="1"/>
    <s v="Activity"/>
    <x v="3"/>
    <n v="23855.909090909099"/>
    <n v="480.00000000058549"/>
    <m/>
    <m/>
    <x v="3"/>
  </r>
  <r>
    <n v="2018"/>
    <x v="2"/>
    <s v="201805"/>
    <s v="Kelly Group"/>
    <s v="公隆化學股份有限公司"/>
    <s v="CPCRM01149"/>
    <x v="124"/>
    <s v="CustomerProject"/>
    <s v="成本累積"/>
    <x v="1"/>
    <s v="Activity"/>
    <x v="3"/>
    <n v="4075.384469697"/>
    <n v="82.000000000100599"/>
    <m/>
    <m/>
    <x v="3"/>
  </r>
  <r>
    <n v="2018"/>
    <x v="2"/>
    <s v="201805"/>
    <s v="Kelly Group"/>
    <s v="公隆化學股份有限公司"/>
    <s v="CPCRM10748"/>
    <x v="32"/>
    <s v="CustomerProject"/>
    <s v="成本累積"/>
    <x v="2"/>
    <s v="Activity"/>
    <x v="8"/>
    <n v="0"/>
    <n v="0"/>
    <m/>
    <m/>
    <x v="5"/>
  </r>
  <r>
    <n v="2018"/>
    <x v="2"/>
    <s v="201805"/>
    <s v="Kelly Group"/>
    <s v="公隆化學股份有限公司"/>
    <s v="CPCRM10748"/>
    <x v="32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20308"/>
    <x v="97"/>
    <s v="CustomerProject"/>
    <s v="成本累積"/>
    <x v="2"/>
    <s v="Activity"/>
    <x v="3"/>
    <n v="0"/>
    <n v="0"/>
    <m/>
    <m/>
    <x v="5"/>
  </r>
  <r>
    <n v="2018"/>
    <x v="2"/>
    <s v="201805"/>
    <s v="Kelly Group"/>
    <s v="公隆化學股份有限公司"/>
    <s v="CPCRM20308"/>
    <x v="97"/>
    <s v="CustomerProject"/>
    <s v="成本累積"/>
    <x v="2"/>
    <s v="Activity"/>
    <x v="18"/>
    <n v="0"/>
    <n v="0"/>
    <m/>
    <m/>
    <x v="5"/>
  </r>
  <r>
    <n v="2018"/>
    <x v="2"/>
    <s v="201805"/>
    <s v="Kelly Group"/>
    <s v="公隆化學股份有限公司"/>
    <s v="CPCRM03863"/>
    <x v="33"/>
    <s v="CustomerProject"/>
    <s v="成本累積"/>
    <x v="2"/>
    <s v="Activity"/>
    <x v="3"/>
    <n v="0"/>
    <n v="0"/>
    <m/>
    <m/>
    <x v="2"/>
  </r>
  <r>
    <n v="2018"/>
    <x v="2"/>
    <s v="201805"/>
    <s v="Kelly Group"/>
    <s v="公隆化學股份有限公司"/>
    <s v="CPCRM05197"/>
    <x v="99"/>
    <s v="CustomerProject"/>
    <s v="成本累積"/>
    <x v="2"/>
    <s v="Activity"/>
    <x v="10"/>
    <n v="1985.4512195121999"/>
    <n v="240.00000000099121"/>
    <m/>
    <m/>
    <x v="2"/>
  </r>
  <r>
    <n v="2018"/>
    <x v="2"/>
    <s v="201805"/>
    <s v="Kelly Group"/>
    <s v="公隆化學股份有限公司"/>
    <s v="CPCRM05498"/>
    <x v="3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05498"/>
    <x v="3"/>
    <s v="CustomerProject"/>
    <s v="成本累積"/>
    <x v="2"/>
    <s v="Activity"/>
    <x v="10"/>
    <n v="1985.4512195121999"/>
    <n v="240.00000000099121"/>
    <m/>
    <m/>
    <x v="2"/>
  </r>
  <r>
    <n v="2018"/>
    <x v="2"/>
    <s v="201805"/>
    <s v="Kelly Group"/>
    <s v="公隆化學股份有限公司"/>
    <s v="CPCRM05498"/>
    <x v="3"/>
    <s v="CustomerProject"/>
    <s v="成本累積"/>
    <x v="2"/>
    <s v="Activity"/>
    <x v="11"/>
    <n v="0"/>
    <n v="0"/>
    <m/>
    <m/>
    <x v="2"/>
  </r>
  <r>
    <n v="2018"/>
    <x v="2"/>
    <s v="201805"/>
    <s v="Kelly Group"/>
    <s v="公隆化學股份有限公司"/>
    <s v="CPCRM08397"/>
    <x v="34"/>
    <s v="CustomerProject"/>
    <s v="成本累積"/>
    <x v="2"/>
    <s v="Activity"/>
    <x v="12"/>
    <n v="2382.5414634143999"/>
    <n v="288.0000000011604"/>
    <m/>
    <m/>
    <x v="2"/>
  </r>
  <r>
    <n v="2018"/>
    <x v="2"/>
    <s v="201805"/>
    <s v="Kelly Group"/>
    <s v="公隆化學股份有限公司"/>
    <s v="CPCRM08411"/>
    <x v="35"/>
    <s v="CustomerProject"/>
    <s v="成本累積"/>
    <x v="2"/>
    <s v="Activity"/>
    <x v="8"/>
    <n v="0"/>
    <n v="0"/>
    <m/>
    <m/>
    <x v="2"/>
  </r>
  <r>
    <n v="2018"/>
    <x v="2"/>
    <s v="201805"/>
    <s v="Kelly Group"/>
    <s v="公隆化學股份有限公司"/>
    <s v="CPCRM08411"/>
    <x v="35"/>
    <s v="CustomerProject"/>
    <s v="成本累積"/>
    <x v="2"/>
    <s v="Activity"/>
    <x v="3"/>
    <n v="0"/>
    <n v="0"/>
    <m/>
    <m/>
    <x v="2"/>
  </r>
  <r>
    <n v="2018"/>
    <x v="2"/>
    <s v="201805"/>
    <s v="Kelly Group"/>
    <s v="公隆化學股份有限公司"/>
    <s v="CPCRM08411"/>
    <x v="35"/>
    <s v="CustomerProject"/>
    <s v="成本累積"/>
    <x v="2"/>
    <s v="Activity"/>
    <x v="16"/>
    <n v="2382.5414634146"/>
    <n v="288.00000000118462"/>
    <m/>
    <m/>
    <x v="2"/>
  </r>
  <r>
    <n v="2018"/>
    <x v="2"/>
    <s v="201805"/>
    <s v="Kelly Group"/>
    <s v="公隆化學股份有限公司"/>
    <s v="CPCRM08704"/>
    <x v="100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08720"/>
    <x v="36"/>
    <s v="CustomerProject"/>
    <s v="成本累積"/>
    <x v="2"/>
    <s v="Activity"/>
    <x v="10"/>
    <n v="0"/>
    <n v="0"/>
    <m/>
    <m/>
    <x v="2"/>
  </r>
  <r>
    <n v="2018"/>
    <x v="2"/>
    <s v="201805"/>
    <s v="Kelly Group"/>
    <s v="公隆化學股份有限公司"/>
    <s v="CPCRM08720"/>
    <x v="36"/>
    <s v="CustomerProject"/>
    <s v="成本累積"/>
    <x v="2"/>
    <s v="Activity"/>
    <x v="4"/>
    <n v="0"/>
    <n v="0"/>
    <m/>
    <m/>
    <x v="2"/>
  </r>
  <r>
    <n v="2018"/>
    <x v="2"/>
    <s v="201805"/>
    <s v="Kelly Group"/>
    <s v="公隆化學股份有限公司"/>
    <s v="CPCRM09007"/>
    <x v="101"/>
    <s v="CustomerProject"/>
    <s v="成本累積"/>
    <x v="2"/>
    <s v="Activity"/>
    <x v="10"/>
    <n v="0"/>
    <n v="0"/>
    <m/>
    <m/>
    <x v="2"/>
  </r>
  <r>
    <n v="2018"/>
    <x v="2"/>
    <s v="201805"/>
    <s v="Kelly Group"/>
    <s v="公隆化學股份有限公司"/>
    <s v="CPCRM10747"/>
    <x v="37"/>
    <s v="CustomerProject"/>
    <s v="成本累積"/>
    <x v="2"/>
    <s v="Activity"/>
    <x v="10"/>
    <n v="0"/>
    <n v="0"/>
    <m/>
    <m/>
    <x v="2"/>
  </r>
  <r>
    <n v="2018"/>
    <x v="2"/>
    <s v="201805"/>
    <s v="Kelly Group"/>
    <s v="公隆化學股份有限公司"/>
    <s v="CPCRM10771"/>
    <x v="38"/>
    <s v="CustomerProject"/>
    <s v="成本累積"/>
    <x v="2"/>
    <s v="Activity"/>
    <x v="7"/>
    <n v="0"/>
    <n v="0"/>
    <m/>
    <m/>
    <x v="2"/>
  </r>
  <r>
    <n v="2018"/>
    <x v="2"/>
    <s v="201805"/>
    <s v="Kelly Group"/>
    <s v="公隆化學股份有限公司"/>
    <s v="CPCRM10771"/>
    <x v="38"/>
    <s v="CustomerProject"/>
    <s v="成本累積"/>
    <x v="2"/>
    <s v="Activity"/>
    <x v="11"/>
    <n v="0"/>
    <n v="0"/>
    <m/>
    <m/>
    <x v="2"/>
  </r>
  <r>
    <n v="2018"/>
    <x v="2"/>
    <s v="201805"/>
    <s v="Kelly Group"/>
    <s v="公隆化學股份有限公司"/>
    <s v="CPCRM10826"/>
    <x v="39"/>
    <s v="CustomerProject"/>
    <s v="成本累積"/>
    <x v="2"/>
    <s v="Activity"/>
    <x v="11"/>
    <n v="0"/>
    <n v="0"/>
    <m/>
    <m/>
    <x v="2"/>
  </r>
  <r>
    <n v="2018"/>
    <x v="2"/>
    <s v="201805"/>
    <s v="Kelly Group"/>
    <s v="公隆化學股份有限公司"/>
    <s v="CPCRM10848"/>
    <x v="4"/>
    <s v="CustomerProject"/>
    <s v="成本累積"/>
    <x v="2"/>
    <s v="Activity"/>
    <x v="12"/>
    <n v="2647.2682926829002"/>
    <n v="320.00000000131763"/>
    <m/>
    <m/>
    <x v="2"/>
  </r>
  <r>
    <n v="2018"/>
    <x v="2"/>
    <s v="201805"/>
    <s v="Kelly Group"/>
    <s v="公隆化學股份有限公司"/>
    <s v="CPCRM10848"/>
    <x v="4"/>
    <s v="CustomerProject"/>
    <s v="成本累積"/>
    <x v="2"/>
    <s v="Activity"/>
    <x v="5"/>
    <n v="0"/>
    <n v="0"/>
    <m/>
    <m/>
    <x v="2"/>
  </r>
  <r>
    <n v="2018"/>
    <x v="2"/>
    <s v="201805"/>
    <s v="Kelly Group"/>
    <s v="公隆化學股份有限公司"/>
    <s v="CPCRM10848"/>
    <x v="4"/>
    <s v="CustomerProject"/>
    <s v="成本累積"/>
    <x v="2"/>
    <s v="Activity"/>
    <x v="11"/>
    <n v="0"/>
    <n v="0"/>
    <m/>
    <m/>
    <x v="2"/>
  </r>
  <r>
    <n v="2018"/>
    <x v="2"/>
    <s v="201805"/>
    <s v="Kelly Group"/>
    <s v="公隆化學股份有限公司"/>
    <s v="CPCRM10848"/>
    <x v="4"/>
    <s v="CustomerProject"/>
    <s v="成本累積"/>
    <x v="2"/>
    <s v="Activity"/>
    <x v="13"/>
    <n v="0"/>
    <n v="0"/>
    <m/>
    <m/>
    <x v="2"/>
  </r>
  <r>
    <n v="2018"/>
    <x v="2"/>
    <s v="201805"/>
    <s v="Kelly Group"/>
    <s v="公隆化學股份有限公司"/>
    <s v="CPCRM10849"/>
    <x v="102"/>
    <s v="CustomerProject"/>
    <s v="成本累積"/>
    <x v="2"/>
    <s v="Activity"/>
    <x v="7"/>
    <n v="0"/>
    <n v="0"/>
    <m/>
    <m/>
    <x v="2"/>
  </r>
  <r>
    <n v="2018"/>
    <x v="2"/>
    <s v="201805"/>
    <s v="Kelly Group"/>
    <s v="公隆化學股份有限公司"/>
    <s v="CPCRM10850"/>
    <x v="40"/>
    <s v="CustomerProject"/>
    <s v="成本累積"/>
    <x v="2"/>
    <s v="Activity"/>
    <x v="12"/>
    <n v="1985.4512195121999"/>
    <n v="240.00000000099121"/>
    <m/>
    <m/>
    <x v="2"/>
  </r>
  <r>
    <n v="2018"/>
    <x v="2"/>
    <s v="201805"/>
    <s v="Kelly Group"/>
    <s v="公隆化學股份有限公司"/>
    <s v="CPCRM10850"/>
    <x v="40"/>
    <s v="CustomerProject"/>
    <s v="成本累積"/>
    <x v="2"/>
    <s v="Activity"/>
    <x v="10"/>
    <n v="3970.9024390243999"/>
    <n v="480.00000000198241"/>
    <m/>
    <m/>
    <x v="2"/>
  </r>
  <r>
    <n v="2018"/>
    <x v="2"/>
    <s v="201805"/>
    <s v="Kelly Group"/>
    <s v="公隆化學股份有限公司"/>
    <s v="CPCRM10850"/>
    <x v="40"/>
    <s v="CustomerProject"/>
    <s v="成本累積"/>
    <x v="2"/>
    <s v="Activity"/>
    <x v="4"/>
    <n v="0"/>
    <n v="0"/>
    <m/>
    <m/>
    <x v="2"/>
  </r>
  <r>
    <n v="2018"/>
    <x v="2"/>
    <s v="201805"/>
    <s v="Kelly Group"/>
    <s v="公隆化學股份有限公司"/>
    <s v="CPCRM11452"/>
    <x v="41"/>
    <s v="CustomerProject"/>
    <s v="成本累積"/>
    <x v="2"/>
    <s v="Activity"/>
    <x v="12"/>
    <n v="1985.4512195121999"/>
    <n v="240.00000000099121"/>
    <m/>
    <m/>
    <x v="2"/>
  </r>
  <r>
    <n v="2018"/>
    <x v="2"/>
    <s v="201805"/>
    <s v="Kelly Group"/>
    <s v="公隆化學股份有限公司"/>
    <s v="CPCRM11533"/>
    <x v="5"/>
    <s v="CustomerProject"/>
    <s v="成本累積"/>
    <x v="2"/>
    <s v="Activity"/>
    <x v="5"/>
    <n v="0"/>
    <n v="0"/>
    <m/>
    <m/>
    <x v="2"/>
  </r>
  <r>
    <n v="2018"/>
    <x v="2"/>
    <s v="201805"/>
    <s v="Kelly Group"/>
    <s v="公隆化學股份有限公司"/>
    <s v="CPCRM11533"/>
    <x v="5"/>
    <s v="CustomerProject"/>
    <s v="成本累積"/>
    <x v="2"/>
    <s v="Activity"/>
    <x v="11"/>
    <n v="0"/>
    <n v="0"/>
    <m/>
    <m/>
    <x v="2"/>
  </r>
  <r>
    <n v="2018"/>
    <x v="2"/>
    <s v="201805"/>
    <s v="Kelly Group"/>
    <s v="公隆化學股份有限公司"/>
    <s v="CPCRM11713"/>
    <x v="103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3503"/>
    <x v="42"/>
    <s v="CustomerProject"/>
    <s v="成本累積"/>
    <x v="2"/>
    <s v="Activity"/>
    <x v="10"/>
    <n v="0"/>
    <n v="0"/>
    <m/>
    <m/>
    <x v="2"/>
  </r>
  <r>
    <n v="2018"/>
    <x v="2"/>
    <s v="201805"/>
    <s v="Kelly Group"/>
    <s v="公隆化學股份有限公司"/>
    <s v="CPCRM13556"/>
    <x v="125"/>
    <s v="CustomerProject"/>
    <s v="成本累積"/>
    <x v="2"/>
    <s v="Activity"/>
    <x v="3"/>
    <n v="3970.9024390243999"/>
    <n v="480.00000000198241"/>
    <m/>
    <m/>
    <x v="2"/>
  </r>
  <r>
    <n v="2018"/>
    <x v="2"/>
    <s v="201805"/>
    <s v="Kelly Group"/>
    <s v="公隆化學股份有限公司"/>
    <s v="CPCRM14290"/>
    <x v="104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4290"/>
    <x v="104"/>
    <s v="CustomerProject"/>
    <s v="成本累積"/>
    <x v="2"/>
    <s v="Activity"/>
    <x v="10"/>
    <n v="5956.3536585366001"/>
    <n v="720.00000000297359"/>
    <m/>
    <m/>
    <x v="2"/>
  </r>
  <r>
    <n v="2018"/>
    <x v="2"/>
    <s v="201805"/>
    <s v="Kelly Group"/>
    <s v="公隆化學股份有限公司"/>
    <s v="CPCRM14329"/>
    <x v="126"/>
    <s v="CustomerProject"/>
    <s v="成本累積"/>
    <x v="2"/>
    <s v="Activity"/>
    <x v="10"/>
    <n v="1323.6341463414999"/>
    <n v="160.00000000066481"/>
    <m/>
    <m/>
    <x v="2"/>
  </r>
  <r>
    <n v="2018"/>
    <x v="2"/>
    <s v="201805"/>
    <s v="Kelly Group"/>
    <s v="公隆化學股份有限公司"/>
    <s v="CPCRM14633"/>
    <x v="105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6083"/>
    <x v="127"/>
    <s v="CustomerProject"/>
    <s v="成本累積"/>
    <x v="2"/>
    <s v="Activity"/>
    <x v="8"/>
    <n v="3970.9024390243999"/>
    <n v="480.00000000198241"/>
    <m/>
    <m/>
    <x v="2"/>
  </r>
  <r>
    <n v="2018"/>
    <x v="2"/>
    <s v="201805"/>
    <s v="Kelly Group"/>
    <s v="公隆化學股份有限公司"/>
    <s v="CPCRM16694"/>
    <x v="43"/>
    <s v="CustomerProject"/>
    <s v="成本累積"/>
    <x v="2"/>
    <s v="Activity"/>
    <x v="8"/>
    <n v="0"/>
    <n v="0"/>
    <m/>
    <m/>
    <x v="2"/>
  </r>
  <r>
    <n v="2018"/>
    <x v="2"/>
    <s v="201805"/>
    <s v="Kelly Group"/>
    <s v="公隆化學股份有限公司"/>
    <s v="CPCRM16719"/>
    <x v="44"/>
    <s v="CustomerProject"/>
    <s v="成本累積"/>
    <x v="2"/>
    <s v="Activity"/>
    <x v="7"/>
    <n v="0"/>
    <n v="0"/>
    <m/>
    <m/>
    <x v="2"/>
  </r>
  <r>
    <n v="2018"/>
    <x v="2"/>
    <s v="201805"/>
    <s v="Kelly Group"/>
    <s v="公隆化學股份有限公司"/>
    <s v="CPCRM16719"/>
    <x v="44"/>
    <s v="CustomerProject"/>
    <s v="成本累積"/>
    <x v="2"/>
    <s v="Activity"/>
    <x v="12"/>
    <n v="1985.4512195121999"/>
    <n v="240.00000000099121"/>
    <m/>
    <m/>
    <x v="2"/>
  </r>
  <r>
    <n v="2018"/>
    <x v="2"/>
    <s v="201805"/>
    <s v="Kelly Group"/>
    <s v="公隆化學股份有限公司"/>
    <s v="CPCRM16719"/>
    <x v="44"/>
    <s v="CustomerProject"/>
    <s v="成本累積"/>
    <x v="2"/>
    <s v="Activity"/>
    <x v="10"/>
    <n v="1323.6341463414999"/>
    <n v="160.00000000066481"/>
    <m/>
    <m/>
    <x v="2"/>
  </r>
  <r>
    <n v="2018"/>
    <x v="2"/>
    <s v="201805"/>
    <s v="Kelly Group"/>
    <s v="公隆化學股份有限公司"/>
    <s v="CPCRM16774"/>
    <x v="106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7041"/>
    <x v="45"/>
    <s v="CustomerProject"/>
    <s v="成本累積"/>
    <x v="2"/>
    <s v="Activity"/>
    <x v="8"/>
    <n v="0"/>
    <n v="0"/>
    <m/>
    <m/>
    <x v="2"/>
  </r>
  <r>
    <n v="2018"/>
    <x v="2"/>
    <s v="201805"/>
    <s v="Kelly Group"/>
    <s v="公隆化學股份有限公司"/>
    <s v="CPCRM17041"/>
    <x v="45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7264"/>
    <x v="46"/>
    <s v="CustomerProject"/>
    <s v="成本累積"/>
    <x v="2"/>
    <s v="Activity"/>
    <x v="7"/>
    <n v="0"/>
    <n v="0"/>
    <m/>
    <m/>
    <x v="2"/>
  </r>
  <r>
    <n v="2018"/>
    <x v="2"/>
    <s v="201805"/>
    <s v="Kelly Group"/>
    <s v="公隆化學股份有限公司"/>
    <s v="CPCRM17264"/>
    <x v="46"/>
    <s v="CustomerProject"/>
    <s v="成本累積"/>
    <x v="2"/>
    <s v="Activity"/>
    <x v="10"/>
    <n v="0"/>
    <n v="0"/>
    <m/>
    <m/>
    <x v="2"/>
  </r>
  <r>
    <n v="2018"/>
    <x v="2"/>
    <s v="201805"/>
    <s v="Kelly Group"/>
    <s v="公隆化學股份有限公司"/>
    <s v="CPCRM17296"/>
    <x v="47"/>
    <s v="CustomerProject"/>
    <s v="成本累積"/>
    <x v="2"/>
    <s v="Activity"/>
    <x v="10"/>
    <n v="1323.6341463414999"/>
    <n v="160.00000000066481"/>
    <m/>
    <m/>
    <x v="2"/>
  </r>
  <r>
    <n v="2018"/>
    <x v="2"/>
    <s v="201805"/>
    <s v="Kelly Group"/>
    <s v="公隆化學股份有限公司"/>
    <s v="CPCRM17381"/>
    <x v="79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7381"/>
    <x v="79"/>
    <s v="CustomerProject"/>
    <s v="成本累積"/>
    <x v="2"/>
    <s v="Activity"/>
    <x v="16"/>
    <n v="0"/>
    <n v="0"/>
    <m/>
    <m/>
    <x v="2"/>
  </r>
  <r>
    <n v="2018"/>
    <x v="2"/>
    <s v="201805"/>
    <s v="Kelly Group"/>
    <s v="公隆化學股份有限公司"/>
    <s v="CPCRM17382"/>
    <x v="48"/>
    <s v="CustomerProject"/>
    <s v="成本累積"/>
    <x v="2"/>
    <s v="Activity"/>
    <x v="7"/>
    <n v="0"/>
    <n v="0"/>
    <m/>
    <m/>
    <x v="2"/>
  </r>
  <r>
    <n v="2018"/>
    <x v="2"/>
    <s v="201805"/>
    <s v="Kelly Group"/>
    <s v="公隆化學股份有限公司"/>
    <s v="CPCRM17382"/>
    <x v="48"/>
    <s v="CustomerProject"/>
    <s v="成本累積"/>
    <x v="2"/>
    <s v="Activity"/>
    <x v="8"/>
    <n v="0"/>
    <n v="0"/>
    <m/>
    <m/>
    <x v="2"/>
  </r>
  <r>
    <n v="2018"/>
    <x v="2"/>
    <s v="201805"/>
    <s v="Kelly Group"/>
    <s v="公隆化學股份有限公司"/>
    <s v="CPCRM17382"/>
    <x v="48"/>
    <s v="CustomerProject"/>
    <s v="成本累積"/>
    <x v="2"/>
    <s v="Activity"/>
    <x v="12"/>
    <n v="1786.906097561"/>
    <n v="216.00000000089452"/>
    <m/>
    <m/>
    <x v="2"/>
  </r>
  <r>
    <n v="2018"/>
    <x v="2"/>
    <s v="201805"/>
    <s v="Kelly Group"/>
    <s v="公隆化學股份有限公司"/>
    <s v="CPCRM17382"/>
    <x v="48"/>
    <s v="CustomerProject"/>
    <s v="成本累積"/>
    <x v="2"/>
    <s v="Activity"/>
    <x v="3"/>
    <n v="0"/>
    <n v="0"/>
    <m/>
    <m/>
    <x v="2"/>
  </r>
  <r>
    <n v="2018"/>
    <x v="2"/>
    <s v="201805"/>
    <s v="Kelly Group"/>
    <s v="公隆化學股份有限公司"/>
    <s v="CPCRM17469"/>
    <x v="107"/>
    <s v="CustomerProject"/>
    <s v="成本累積"/>
    <x v="2"/>
    <s v="Activity"/>
    <x v="10"/>
    <n v="0"/>
    <n v="0"/>
    <m/>
    <m/>
    <x v="2"/>
  </r>
  <r>
    <n v="2018"/>
    <x v="2"/>
    <s v="201805"/>
    <s v="Kelly Group"/>
    <s v="公隆化學股份有限公司"/>
    <s v="CPCRM17661"/>
    <x v="49"/>
    <s v="CustomerProject"/>
    <s v="成本累積"/>
    <x v="2"/>
    <s v="Activity"/>
    <x v="7"/>
    <n v="0"/>
    <n v="0"/>
    <m/>
    <m/>
    <x v="2"/>
  </r>
  <r>
    <n v="2018"/>
    <x v="2"/>
    <s v="201805"/>
    <s v="Kelly Group"/>
    <s v="公隆化學股份有限公司"/>
    <s v="CPCRM17661"/>
    <x v="49"/>
    <s v="CustomerProject"/>
    <s v="成本累積"/>
    <x v="2"/>
    <s v="Activity"/>
    <x v="8"/>
    <n v="0"/>
    <n v="0"/>
    <m/>
    <m/>
    <x v="2"/>
  </r>
  <r>
    <n v="2018"/>
    <x v="2"/>
    <s v="201805"/>
    <s v="Kelly Group"/>
    <s v="公隆化學股份有限公司"/>
    <s v="CPCRM17791"/>
    <x v="128"/>
    <s v="CustomerProject"/>
    <s v="成本累積"/>
    <x v="2"/>
    <s v="Activity"/>
    <x v="12"/>
    <n v="1323.6341463414999"/>
    <n v="160.00000000066481"/>
    <m/>
    <m/>
    <x v="2"/>
  </r>
  <r>
    <n v="2018"/>
    <x v="2"/>
    <s v="201805"/>
    <s v="Kelly Group"/>
    <s v="公隆化學股份有限公司"/>
    <s v="CPCRM17843"/>
    <x v="50"/>
    <s v="CustomerProject"/>
    <s v="成本累積"/>
    <x v="2"/>
    <s v="Activity"/>
    <x v="12"/>
    <n v="3970.9024390243999"/>
    <n v="480.00000000198241"/>
    <m/>
    <m/>
    <x v="2"/>
  </r>
  <r>
    <n v="2018"/>
    <x v="2"/>
    <s v="201805"/>
    <s v="Kelly Group"/>
    <s v="公隆化學股份有限公司"/>
    <s v="CPCRM17843"/>
    <x v="50"/>
    <s v="CustomerProject"/>
    <s v="成本累積"/>
    <x v="2"/>
    <s v="Activity"/>
    <x v="10"/>
    <n v="1323.6341463414999"/>
    <n v="160.00000000066481"/>
    <m/>
    <m/>
    <x v="2"/>
  </r>
  <r>
    <n v="2018"/>
    <x v="2"/>
    <s v="201805"/>
    <s v="Kelly Group"/>
    <s v="公隆化學股份有限公司"/>
    <s v="CPCRM18424"/>
    <x v="108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9638"/>
    <x v="129"/>
    <s v="CustomerProject"/>
    <s v="成本累積"/>
    <x v="2"/>
    <s v="Activity"/>
    <x v="10"/>
    <n v="1985.4512195120001"/>
    <n v="240.00000000096705"/>
    <m/>
    <m/>
    <x v="2"/>
  </r>
  <r>
    <n v="2018"/>
    <x v="2"/>
    <s v="201805"/>
    <s v="Kelly Group"/>
    <s v="公隆化學股份有限公司"/>
    <s v="CPCRM19770"/>
    <x v="109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9822"/>
    <x v="80"/>
    <s v="CustomerProject"/>
    <s v="成本累積"/>
    <x v="2"/>
    <s v="Activity"/>
    <x v="7"/>
    <n v="0"/>
    <n v="0"/>
    <m/>
    <m/>
    <x v="2"/>
  </r>
  <r>
    <n v="2018"/>
    <x v="2"/>
    <s v="201805"/>
    <s v="Kelly Group"/>
    <s v="公隆化學股份有限公司"/>
    <s v="CPCRM19822"/>
    <x v="80"/>
    <s v="CustomerProject"/>
    <s v="成本累積"/>
    <x v="2"/>
    <s v="Activity"/>
    <x v="12"/>
    <n v="0"/>
    <n v="0"/>
    <m/>
    <m/>
    <x v="2"/>
  </r>
  <r>
    <n v="2018"/>
    <x v="2"/>
    <s v="201805"/>
    <s v="Kelly Group"/>
    <s v="公隆化學股份有限公司"/>
    <s v="CPCRM19914"/>
    <x v="51"/>
    <s v="CustomerProject"/>
    <s v="成本累積"/>
    <x v="2"/>
    <s v="Activity"/>
    <x v="4"/>
    <n v="0"/>
    <n v="0"/>
    <m/>
    <m/>
    <x v="2"/>
  </r>
  <r>
    <n v="2018"/>
    <x v="2"/>
    <s v="201805"/>
    <s v="Kelly Group"/>
    <s v="公隆化學股份有限公司"/>
    <s v="CPCRM01110"/>
    <x v="52"/>
    <s v="CustomerProject"/>
    <s v="成本累積"/>
    <x v="2"/>
    <s v="Activity"/>
    <x v="3"/>
    <n v="992.72560975609997"/>
    <n v="120.0000000004956"/>
    <m/>
    <m/>
    <x v="5"/>
  </r>
  <r>
    <n v="2018"/>
    <x v="2"/>
    <s v="201805"/>
    <s v="Kelly Group"/>
    <s v="公隆化學股份有限公司"/>
    <s v="CPCRM05175"/>
    <x v="53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08406"/>
    <x v="110"/>
    <s v="CustomerProject"/>
    <s v="成本累積"/>
    <x v="2"/>
    <s v="Activity"/>
    <x v="12"/>
    <n v="3309.0853658536998"/>
    <n v="400.00000000165602"/>
    <m/>
    <m/>
    <x v="5"/>
  </r>
  <r>
    <n v="2018"/>
    <x v="2"/>
    <s v="201805"/>
    <s v="Kelly Group"/>
    <s v="公隆化學股份有限公司"/>
    <s v="CPCRM08406"/>
    <x v="110"/>
    <s v="CustomerProject"/>
    <s v="成本累積"/>
    <x v="2"/>
    <s v="Activity"/>
    <x v="4"/>
    <n v="0"/>
    <n v="0"/>
    <m/>
    <m/>
    <x v="5"/>
  </r>
  <r>
    <n v="2018"/>
    <x v="2"/>
    <s v="201805"/>
    <s v="Kelly Group"/>
    <s v="公隆化學股份有限公司"/>
    <s v="CPCRM08459"/>
    <x v="54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08460"/>
    <x v="55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08463"/>
    <x v="130"/>
    <s v="CustomerProject"/>
    <s v="成本累積"/>
    <x v="2"/>
    <s v="Activity"/>
    <x v="3"/>
    <n v="1489.0884146341"/>
    <n v="180.00000000073737"/>
    <m/>
    <m/>
    <x v="5"/>
  </r>
  <r>
    <n v="2018"/>
    <x v="2"/>
    <s v="201805"/>
    <s v="Kelly Group"/>
    <s v="公隆化學股份有限公司"/>
    <s v="CPCRM08511"/>
    <x v="56"/>
    <s v="CustomerProject"/>
    <s v="成本累積"/>
    <x v="2"/>
    <s v="Activity"/>
    <x v="8"/>
    <n v="0"/>
    <n v="0"/>
    <m/>
    <m/>
    <x v="5"/>
  </r>
  <r>
    <n v="2018"/>
    <x v="2"/>
    <s v="201805"/>
    <s v="Kelly Group"/>
    <s v="公隆化學股份有限公司"/>
    <s v="CPCRM08511"/>
    <x v="56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08511"/>
    <x v="56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09005"/>
    <x v="111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09005"/>
    <x v="111"/>
    <s v="CustomerProject"/>
    <s v="成本累積"/>
    <x v="2"/>
    <s v="Activity"/>
    <x v="16"/>
    <n v="0"/>
    <n v="0"/>
    <m/>
    <m/>
    <x v="5"/>
  </r>
  <r>
    <n v="2018"/>
    <x v="2"/>
    <s v="201805"/>
    <s v="Kelly Group"/>
    <s v="公隆化學股份有限公司"/>
    <s v="CPCRM09345"/>
    <x v="57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10072"/>
    <x v="112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10801"/>
    <x v="58"/>
    <s v="CustomerProject"/>
    <s v="成本累積"/>
    <x v="2"/>
    <s v="Activity"/>
    <x v="12"/>
    <n v="1323.6341463414999"/>
    <n v="160.00000000066481"/>
    <m/>
    <m/>
    <x v="5"/>
  </r>
  <r>
    <n v="2018"/>
    <x v="2"/>
    <s v="201805"/>
    <s v="Kelly Group"/>
    <s v="公隆化學股份有限公司"/>
    <s v="CPCRM10912"/>
    <x v="59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10912"/>
    <x v="59"/>
    <s v="CustomerProject"/>
    <s v="成本累積"/>
    <x v="2"/>
    <s v="Activity"/>
    <x v="4"/>
    <n v="0"/>
    <n v="0"/>
    <m/>
    <m/>
    <x v="5"/>
  </r>
  <r>
    <n v="2018"/>
    <x v="2"/>
    <s v="201805"/>
    <s v="Kelly Group"/>
    <s v="公隆化學股份有限公司"/>
    <s v="CPCRM12107"/>
    <x v="60"/>
    <s v="CustomerProject"/>
    <s v="成本累積"/>
    <x v="2"/>
    <s v="Activity"/>
    <x v="7"/>
    <n v="0"/>
    <n v="0"/>
    <m/>
    <m/>
    <x v="5"/>
  </r>
  <r>
    <n v="2018"/>
    <x v="2"/>
    <s v="201805"/>
    <s v="Kelly Group"/>
    <s v="公隆化學股份有限公司"/>
    <s v="CPCRM12107"/>
    <x v="60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12175"/>
    <x v="113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12969"/>
    <x v="61"/>
    <s v="CustomerProject"/>
    <s v="成本累積"/>
    <x v="2"/>
    <s v="Activity"/>
    <x v="12"/>
    <n v="1985.4512195121999"/>
    <n v="240.00000000099121"/>
    <m/>
    <m/>
    <x v="5"/>
  </r>
  <r>
    <n v="2018"/>
    <x v="2"/>
    <s v="201805"/>
    <s v="Kelly Group"/>
    <s v="公隆化學股份有限公司"/>
    <s v="CPCRM12969"/>
    <x v="61"/>
    <s v="CustomerProject"/>
    <s v="成本累積"/>
    <x v="2"/>
    <s v="Activity"/>
    <x v="3"/>
    <n v="1654.5426829267999"/>
    <n v="200.00000000082196"/>
    <m/>
    <m/>
    <x v="5"/>
  </r>
  <r>
    <n v="2018"/>
    <x v="2"/>
    <s v="201805"/>
    <s v="Kelly Group"/>
    <s v="公隆化學股份有限公司"/>
    <s v="CPCRM12969"/>
    <x v="61"/>
    <s v="CustomerProject"/>
    <s v="成本累積"/>
    <x v="2"/>
    <s v="Activity"/>
    <x v="4"/>
    <n v="0"/>
    <n v="0"/>
    <m/>
    <m/>
    <x v="5"/>
  </r>
  <r>
    <n v="2018"/>
    <x v="2"/>
    <s v="201805"/>
    <s v="Kelly Group"/>
    <s v="公隆化學股份有限公司"/>
    <s v="CPCRM13504"/>
    <x v="62"/>
    <s v="CustomerProject"/>
    <s v="成本累積"/>
    <x v="2"/>
    <s v="Activity"/>
    <x v="12"/>
    <n v="1489.0884146341"/>
    <n v="180.00000000073737"/>
    <m/>
    <m/>
    <x v="5"/>
  </r>
  <r>
    <n v="2018"/>
    <x v="2"/>
    <s v="201805"/>
    <s v="Kelly Group"/>
    <s v="公隆化學股份有限公司"/>
    <s v="CPCRM13504"/>
    <x v="62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14218"/>
    <x v="63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16157"/>
    <x v="64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16157"/>
    <x v="64"/>
    <s v="CustomerProject"/>
    <s v="成本累積"/>
    <x v="2"/>
    <s v="Activity"/>
    <x v="3"/>
    <n v="0"/>
    <n v="0"/>
    <m/>
    <m/>
    <x v="5"/>
  </r>
  <r>
    <n v="2018"/>
    <x v="2"/>
    <s v="201805"/>
    <s v="Kelly Group"/>
    <s v="公隆化學股份有限公司"/>
    <s v="CPCRM16269"/>
    <x v="131"/>
    <s v="CustomerProject"/>
    <s v="成本累積"/>
    <x v="2"/>
    <s v="Activity"/>
    <x v="12"/>
    <n v="41.363567073200002"/>
    <n v="5.0000000000241762"/>
    <m/>
    <m/>
    <x v="5"/>
  </r>
  <r>
    <n v="2018"/>
    <x v="2"/>
    <s v="201805"/>
    <s v="Kelly Group"/>
    <s v="公隆化學股份有限公司"/>
    <s v="CPCRM16897"/>
    <x v="65"/>
    <s v="CustomerProject"/>
    <s v="成本累積"/>
    <x v="2"/>
    <s v="Activity"/>
    <x v="8"/>
    <n v="0"/>
    <n v="0"/>
    <m/>
    <m/>
    <x v="5"/>
  </r>
  <r>
    <n v="2018"/>
    <x v="2"/>
    <s v="201805"/>
    <s v="Kelly Group"/>
    <s v="公隆化學股份有限公司"/>
    <s v="CPCRM16897"/>
    <x v="65"/>
    <s v="CustomerProject"/>
    <s v="成本累積"/>
    <x v="2"/>
    <s v="Activity"/>
    <x v="3"/>
    <n v="2142.6327743902002"/>
    <n v="259.00000000106377"/>
    <m/>
    <m/>
    <x v="5"/>
  </r>
  <r>
    <n v="2018"/>
    <x v="2"/>
    <s v="201805"/>
    <s v="Kelly Group"/>
    <s v="公隆化學股份有限公司"/>
    <s v="CPCRM16919"/>
    <x v="114"/>
    <s v="CustomerProject"/>
    <s v="成本累積"/>
    <x v="2"/>
    <s v="Activity"/>
    <x v="12"/>
    <n v="1588.3609756098001"/>
    <n v="192.00000000079783"/>
    <m/>
    <m/>
    <x v="5"/>
  </r>
  <r>
    <n v="2018"/>
    <x v="2"/>
    <s v="201805"/>
    <s v="Kelly Group"/>
    <s v="公隆化學股份有限公司"/>
    <s v="CPCRM17040"/>
    <x v="66"/>
    <s v="CustomerProject"/>
    <s v="成本累積"/>
    <x v="2"/>
    <s v="Activity"/>
    <x v="8"/>
    <n v="0"/>
    <n v="0"/>
    <m/>
    <m/>
    <x v="5"/>
  </r>
  <r>
    <n v="2018"/>
    <x v="2"/>
    <s v="201805"/>
    <s v="Kelly Group"/>
    <s v="公隆化學股份有限公司"/>
    <s v="CPCRM17040"/>
    <x v="66"/>
    <s v="CustomerProject"/>
    <s v="成本累積"/>
    <x v="2"/>
    <s v="Activity"/>
    <x v="12"/>
    <n v="1323.6341463414999"/>
    <n v="160.00000000066481"/>
    <m/>
    <m/>
    <x v="5"/>
  </r>
  <r>
    <n v="2018"/>
    <x v="2"/>
    <s v="201805"/>
    <s v="Kelly Group"/>
    <s v="公隆化學股份有限公司"/>
    <s v="CPCRM18081"/>
    <x v="115"/>
    <s v="CustomerProject"/>
    <s v="成本累積"/>
    <x v="2"/>
    <s v="Activity"/>
    <x v="7"/>
    <n v="0"/>
    <n v="0"/>
    <m/>
    <m/>
    <x v="5"/>
  </r>
  <r>
    <n v="2018"/>
    <x v="2"/>
    <s v="201805"/>
    <s v="Kelly Group"/>
    <s v="公隆化學股份有限公司"/>
    <s v="CPCRM19559"/>
    <x v="67"/>
    <s v="CustomerProject"/>
    <s v="成本累積"/>
    <x v="2"/>
    <s v="Activity"/>
    <x v="10"/>
    <n v="0"/>
    <n v="0"/>
    <m/>
    <m/>
    <x v="5"/>
  </r>
  <r>
    <n v="2018"/>
    <x v="2"/>
    <s v="201805"/>
    <s v="Kelly Group"/>
    <s v="公隆化學股份有限公司"/>
    <s v="CPCRM19559"/>
    <x v="67"/>
    <s v="CustomerProject"/>
    <s v="成本累積"/>
    <x v="2"/>
    <s v="Activity"/>
    <x v="19"/>
    <n v="0"/>
    <n v="0"/>
    <m/>
    <m/>
    <x v="5"/>
  </r>
  <r>
    <n v="2018"/>
    <x v="2"/>
    <s v="201805"/>
    <s v="Kelly Group"/>
    <s v="公隆化學股份有限公司"/>
    <s v="CPCRM19560"/>
    <x v="68"/>
    <s v="CustomerProject"/>
    <s v="成本累積"/>
    <x v="2"/>
    <s v="Activity"/>
    <x v="7"/>
    <n v="0"/>
    <n v="0"/>
    <m/>
    <m/>
    <x v="5"/>
  </r>
  <r>
    <n v="2018"/>
    <x v="2"/>
    <s v="201805"/>
    <s v="Kelly Group"/>
    <s v="公隆化學股份有限公司"/>
    <s v="CPCRM19560"/>
    <x v="68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19561"/>
    <x v="116"/>
    <s v="CustomerProject"/>
    <s v="成本累積"/>
    <x v="2"/>
    <s v="Activity"/>
    <x v="7"/>
    <n v="0"/>
    <n v="0"/>
    <m/>
    <m/>
    <x v="5"/>
  </r>
  <r>
    <n v="2018"/>
    <x v="2"/>
    <s v="201805"/>
    <s v="Kelly Group"/>
    <s v="公隆化學股份有限公司"/>
    <s v="CPCRM19947"/>
    <x v="69"/>
    <s v="CustomerProject"/>
    <s v="成本累積"/>
    <x v="2"/>
    <s v="Activity"/>
    <x v="12"/>
    <n v="1985.4512195121999"/>
    <n v="240.00000000099121"/>
    <m/>
    <m/>
    <x v="5"/>
  </r>
  <r>
    <n v="2018"/>
    <x v="2"/>
    <s v="201805"/>
    <s v="Kelly Group"/>
    <s v="公隆化學股份有限公司"/>
    <s v="CPCRM19947"/>
    <x v="69"/>
    <s v="CustomerProject"/>
    <s v="成本累積"/>
    <x v="2"/>
    <s v="Activity"/>
    <x v="4"/>
    <n v="0"/>
    <n v="0"/>
    <m/>
    <m/>
    <x v="5"/>
  </r>
  <r>
    <n v="2018"/>
    <x v="2"/>
    <s v="201805"/>
    <s v="Kelly Group"/>
    <s v="公隆化學股份有限公司"/>
    <s v="CPCRM19947"/>
    <x v="69"/>
    <s v="CustomerProject"/>
    <s v="成本累積"/>
    <x v="2"/>
    <s v="Activity"/>
    <x v="14"/>
    <n v="0"/>
    <n v="0"/>
    <m/>
    <m/>
    <x v="5"/>
  </r>
  <r>
    <n v="2018"/>
    <x v="2"/>
    <s v="201805"/>
    <s v="Kelly Group"/>
    <s v="公隆化學股份有限公司"/>
    <s v="CPCRM20039"/>
    <x v="70"/>
    <s v="CustomerProject"/>
    <s v="成本累積"/>
    <x v="2"/>
    <s v="Activity"/>
    <x v="8"/>
    <n v="0"/>
    <n v="0"/>
    <m/>
    <m/>
    <x v="5"/>
  </r>
  <r>
    <n v="2018"/>
    <x v="2"/>
    <s v="201805"/>
    <s v="Kelly Group"/>
    <s v="公隆化學股份有限公司"/>
    <s v="CPCRM20039"/>
    <x v="70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CRM20061"/>
    <x v="132"/>
    <s v="CustomerProject"/>
    <s v="成本累積"/>
    <x v="2"/>
    <s v="Activity"/>
    <x v="10"/>
    <n v="5294.5365853658996"/>
    <n v="640.0000000026472"/>
    <m/>
    <m/>
    <x v="5"/>
  </r>
  <r>
    <n v="2018"/>
    <x v="2"/>
    <s v="201805"/>
    <s v="Kelly Group"/>
    <s v="公隆化學股份有限公司"/>
    <s v="CPCRM20153"/>
    <x v="71"/>
    <s v="CustomerProject"/>
    <s v="成本累積"/>
    <x v="2"/>
    <s v="Activity"/>
    <x v="3"/>
    <n v="0"/>
    <n v="0"/>
    <m/>
    <m/>
    <x v="5"/>
  </r>
  <r>
    <n v="2018"/>
    <x v="2"/>
    <s v="201805"/>
    <s v="Kelly Group"/>
    <s v="公隆化學股份有限公司"/>
    <s v="CPCRM20154"/>
    <x v="72"/>
    <s v="CustomerProject"/>
    <s v="成本累積"/>
    <x v="2"/>
    <s v="Activity"/>
    <x v="6"/>
    <n v="0"/>
    <n v="0"/>
    <m/>
    <m/>
    <x v="5"/>
  </r>
  <r>
    <n v="2018"/>
    <x v="2"/>
    <s v="201805"/>
    <s v="Kelly Group"/>
    <s v="公隆化學股份有限公司"/>
    <s v="CPCRM20154"/>
    <x v="72"/>
    <s v="CustomerProject"/>
    <s v="成本累積"/>
    <x v="2"/>
    <s v="Activity"/>
    <x v="16"/>
    <n v="1323.6341463414999"/>
    <n v="160.00000000066481"/>
    <m/>
    <m/>
    <x v="5"/>
  </r>
  <r>
    <n v="2018"/>
    <x v="2"/>
    <s v="201805"/>
    <s v="Kelly Group"/>
    <s v="公隆化學股份有限公司"/>
    <s v="CPCRM20195"/>
    <x v="73"/>
    <s v="CustomerProject"/>
    <s v="成本累積"/>
    <x v="2"/>
    <s v="Activity"/>
    <x v="3"/>
    <n v="0"/>
    <n v="0"/>
    <m/>
    <m/>
    <x v="5"/>
  </r>
  <r>
    <n v="2018"/>
    <x v="2"/>
    <s v="201805"/>
    <s v="Kelly Group"/>
    <s v="公隆化學股份有限公司"/>
    <s v="CPCRM20254"/>
    <x v="74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 other cus"/>
    <x v="31"/>
    <s v="CustomerProject"/>
    <s v="成本累積"/>
    <x v="2"/>
    <s v="Activity"/>
    <x v="9"/>
    <n v="79418.048780487807"/>
    <n v="9600.0000000396249"/>
    <m/>
    <m/>
    <x v="4"/>
  </r>
  <r>
    <n v="2018"/>
    <x v="2"/>
    <s v="201805"/>
    <s v="Kelly Group"/>
    <s v="公隆化學股份有限公司"/>
    <s v="CP永光二廠"/>
    <x v="75"/>
    <s v="CustomerProject"/>
    <s v="成本累積"/>
    <x v="2"/>
    <s v="Activity"/>
    <x v="12"/>
    <n v="0"/>
    <n v="0"/>
    <m/>
    <m/>
    <x v="5"/>
  </r>
  <r>
    <n v="2018"/>
    <x v="2"/>
    <s v="201805"/>
    <s v="Kelly Group"/>
    <s v="公隆化學股份有限公司"/>
    <s v="CP三德"/>
    <x v="117"/>
    <s v="CustomerProject"/>
    <s v="成本累積"/>
    <x v="2"/>
    <s v="Activity"/>
    <x v="3"/>
    <n v="0"/>
    <n v="0"/>
    <m/>
    <m/>
    <x v="5"/>
  </r>
  <r>
    <n v="2018"/>
    <x v="2"/>
    <s v="201805"/>
    <s v="Kelly Group"/>
    <s v="公隆化學股份有限公司"/>
    <s v="CP微鑽石"/>
    <x v="118"/>
    <s v="CustomerProject"/>
    <s v="成本累積"/>
    <x v="2"/>
    <s v="Activity"/>
    <x v="3"/>
    <n v="0"/>
    <n v="0"/>
    <m/>
    <m/>
    <x v="5"/>
  </r>
  <r>
    <n v="2018"/>
    <x v="2"/>
    <s v="201805"/>
    <s v="Kelly Group"/>
    <s v="公隆化學股份有限公司"/>
    <s v="CP金順億"/>
    <x v="133"/>
    <s v="CustomerProject"/>
    <s v="成本累積"/>
    <x v="2"/>
    <s v="Activity"/>
    <x v="12"/>
    <n v="992.72560975609997"/>
    <n v="120.0000000004956"/>
    <m/>
    <m/>
    <x v="5"/>
  </r>
  <r>
    <n v="2018"/>
    <x v="2"/>
    <s v="201805"/>
    <s v="Kelly Group"/>
    <s v="公隆化學股份有限公司"/>
    <s v="CP天成"/>
    <x v="134"/>
    <s v="CustomerProject"/>
    <s v="成本累積"/>
    <x v="2"/>
    <s v="Activity"/>
    <x v="3"/>
    <n v="1323.6341463414999"/>
    <n v="160.00000000066481"/>
    <m/>
    <m/>
    <x v="2"/>
  </r>
  <r>
    <n v="2018"/>
    <x v="2"/>
    <s v="201805"/>
    <s v="Kelly Group"/>
    <s v="公隆化學股份有限公司"/>
    <s v="CP忠信汽車"/>
    <x v="135"/>
    <s v="CustomerProject"/>
    <s v="成本累積"/>
    <x v="2"/>
    <s v="Activity"/>
    <x v="3"/>
    <n v="794.18048780490005"/>
    <n v="96.000000000398913"/>
    <m/>
    <m/>
    <x v="5"/>
  </r>
  <r>
    <n v="2018"/>
    <x v="2"/>
    <s v="201805"/>
    <s v="Kelly Group"/>
    <s v="公隆化學股份有限公司"/>
    <s v="CP和蓮光電"/>
    <x v="136"/>
    <s v="CustomerProject"/>
    <s v="成本累積"/>
    <x v="2"/>
    <s v="Activity"/>
    <x v="3"/>
    <n v="1588.3609756098001"/>
    <n v="192.00000000079783"/>
    <m/>
    <m/>
    <x v="5"/>
  </r>
  <r>
    <n v="2018"/>
    <x v="2"/>
    <s v="201805"/>
    <s v="Kelly Group"/>
    <s v="公隆化學股份有限公司"/>
    <s v="CP晶呈科技"/>
    <x v="137"/>
    <s v="CustomerProject"/>
    <s v="成本累積"/>
    <x v="2"/>
    <s v="Activity"/>
    <x v="3"/>
    <n v="1588.3609756098001"/>
    <n v="192.00000000079783"/>
    <m/>
    <m/>
    <x v="5"/>
  </r>
  <r>
    <n v="2018"/>
    <x v="2"/>
    <s v="201805"/>
    <s v="Kelly Group"/>
    <s v="公隆化學股份有限公司"/>
    <s v="CP台灣優瑪"/>
    <x v="138"/>
    <s v="CustomerProject"/>
    <s v="成本累積"/>
    <x v="2"/>
    <s v="Activity"/>
    <x v="3"/>
    <n v="1588.3609756097001"/>
    <n v="192.00000000078572"/>
    <m/>
    <m/>
    <x v="5"/>
  </r>
  <r>
    <n v="2018"/>
    <x v="2"/>
    <s v="201805"/>
    <s v="Kelly Group"/>
    <s v="公隆化學股份有限公司"/>
    <s v="CP華震科技"/>
    <x v="77"/>
    <s v="CustomerProject"/>
    <s v="成本歸屬至產品"/>
    <x v="1"/>
    <m/>
    <x v="15"/>
    <n v="-3372.2693576872998"/>
    <m/>
    <s v="61000027"/>
    <n v="450"/>
    <x v="3"/>
  </r>
  <r>
    <n v="2018"/>
    <x v="2"/>
    <s v="201805"/>
    <s v="Kelly Group"/>
    <s v="公隆化學股份有限公司"/>
    <s v="CP華震科技"/>
    <x v="77"/>
    <s v="CustomerProject"/>
    <s v="成本歸屬至產品"/>
    <x v="1"/>
    <m/>
    <x v="15"/>
    <n v="-1686.1346788436999"/>
    <m/>
    <s v="61000027"/>
    <n v="450"/>
    <x v="3"/>
  </r>
  <r>
    <n v="2018"/>
    <x v="2"/>
    <s v="201805"/>
    <s v="Kelly Group"/>
    <s v="公隆化學股份有限公司"/>
    <s v="CP華震科技"/>
    <x v="77"/>
    <s v="CustomerProject"/>
    <s v="成本歸屬至產品"/>
    <x v="1"/>
    <m/>
    <x v="15"/>
    <n v="-1662.3519473880001"/>
    <m/>
    <s v="61000017"/>
    <n v="300"/>
    <x v="3"/>
  </r>
  <r>
    <n v="2018"/>
    <x v="2"/>
    <s v="201805"/>
    <s v="Kelly Group"/>
    <s v="公隆化學股份有限公司"/>
    <s v="CP華震科技"/>
    <x v="77"/>
    <s v="CustomerProject"/>
    <s v="成本歸屬至產品"/>
    <x v="1"/>
    <m/>
    <x v="15"/>
    <n v="-2006.2868330545"/>
    <m/>
    <s v="61000027"/>
    <n v="450"/>
    <x v="3"/>
  </r>
  <r>
    <n v="2018"/>
    <x v="2"/>
    <s v="201805"/>
    <s v="Kelly Group"/>
    <s v="公隆化學股份有限公司"/>
    <s v="CP華震科技"/>
    <x v="77"/>
    <s v="CustomerProject"/>
    <s v="成本歸屬至產品"/>
    <x v="1"/>
    <m/>
    <x v="15"/>
    <n v="-1003.1434165272"/>
    <m/>
    <s v="61000027"/>
    <n v="450"/>
    <x v="3"/>
  </r>
  <r>
    <n v="2018"/>
    <x v="2"/>
    <s v="201805"/>
    <s v="Kelly Group"/>
    <s v="公隆化學股份有限公司"/>
    <s v="CPCRM00550"/>
    <x v="6"/>
    <s v="CustomerProject"/>
    <s v="成本歸屬至產品"/>
    <x v="1"/>
    <m/>
    <x v="15"/>
    <n v="-785.99637681160004"/>
    <m/>
    <s v="72000019"/>
    <n v="20"/>
    <x v="3"/>
  </r>
  <r>
    <n v="2018"/>
    <x v="2"/>
    <s v="201805"/>
    <s v="Kelly Group"/>
    <s v="公隆化學股份有限公司"/>
    <s v="CPCRM00550"/>
    <x v="6"/>
    <s v="CustomerProject"/>
    <s v="成本歸屬至產品"/>
    <x v="1"/>
    <m/>
    <x v="15"/>
    <n v="-1100.3949275361999"/>
    <m/>
    <s v="72100014"/>
    <n v="20"/>
    <x v="3"/>
  </r>
  <r>
    <n v="2018"/>
    <x v="2"/>
    <s v="201805"/>
    <s v="Kelly Group"/>
    <s v="公隆化學股份有限公司"/>
    <s v="CPCRM00550"/>
    <x v="6"/>
    <s v="CustomerProject"/>
    <s v="成本歸屬至產品"/>
    <x v="1"/>
    <m/>
    <x v="15"/>
    <n v="-1201.0787563131"/>
    <m/>
    <s v="72000019"/>
    <n v="20"/>
    <x v="3"/>
  </r>
  <r>
    <n v="2018"/>
    <x v="2"/>
    <s v="201805"/>
    <s v="Kelly Group"/>
    <s v="公隆化學股份有限公司"/>
    <s v="CPCRM00550"/>
    <x v="6"/>
    <s v="CustomerProject"/>
    <s v="成本歸屬至產品"/>
    <x v="1"/>
    <m/>
    <x v="15"/>
    <n v="-1681.5102588384"/>
    <m/>
    <s v="72100014"/>
    <n v="20"/>
    <x v="3"/>
  </r>
  <r>
    <n v="2018"/>
    <x v="2"/>
    <s v="201805"/>
    <s v="Kelly Group"/>
    <s v="公隆化學股份有限公司"/>
    <s v="CP華震科技"/>
    <x v="77"/>
    <s v="CustomerProject"/>
    <s v="成本歸屬至產品"/>
    <x v="1"/>
    <m/>
    <x v="15"/>
    <n v="-2794.1660392265999"/>
    <m/>
    <s v="61000017"/>
    <n v="300"/>
    <x v="3"/>
  </r>
  <r>
    <n v="2018"/>
    <x v="2"/>
    <s v="201805"/>
    <s v="Kelly Group"/>
    <s v="公隆化學股份有限公司"/>
    <s v="CPCRM08411"/>
    <x v="35"/>
    <s v="CustomerProject"/>
    <s v="成本歸屬至產品"/>
    <x v="2"/>
    <m/>
    <x v="15"/>
    <n v="-416.1859091947"/>
    <m/>
    <s v="87000181"/>
    <n v="18"/>
    <x v="2"/>
  </r>
  <r>
    <n v="2018"/>
    <x v="2"/>
    <s v="201805"/>
    <s v="Kelly Group"/>
    <s v="公隆化學股份有限公司"/>
    <s v="CPCRM08411"/>
    <x v="35"/>
    <s v="CustomerProject"/>
    <s v="成本歸屬至產品"/>
    <x v="2"/>
    <m/>
    <x v="15"/>
    <n v="-1608.1731817144"/>
    <m/>
    <s v="88100060"/>
    <n v="5"/>
    <x v="2"/>
  </r>
  <r>
    <n v="2018"/>
    <x v="2"/>
    <s v="201805"/>
    <s v="Kelly Group"/>
    <s v="公隆化學股份有限公司"/>
    <s v="CPCRM08411"/>
    <x v="35"/>
    <s v="CustomerProject"/>
    <s v="成本歸屬至產品"/>
    <x v="2"/>
    <m/>
    <x v="15"/>
    <n v="-276.3524279884"/>
    <m/>
    <s v="87000181"/>
    <n v="18"/>
    <x v="2"/>
  </r>
  <r>
    <n v="2018"/>
    <x v="2"/>
    <s v="201805"/>
    <s v="Kelly Group"/>
    <s v="公隆化學股份有限公司"/>
    <s v="CPCRM08411"/>
    <x v="35"/>
    <s v="CustomerProject"/>
    <s v="成本歸屬至產品"/>
    <x v="2"/>
    <m/>
    <x v="15"/>
    <n v="-1067.8462522972"/>
    <m/>
    <s v="88100060"/>
    <n v="5"/>
    <x v="2"/>
  </r>
  <r>
    <n v="2018"/>
    <x v="2"/>
    <s v="201805"/>
    <s v="Kelly Group"/>
    <s v="公隆化學股份有限公司"/>
    <s v="CPCRM08411"/>
    <x v="35"/>
    <s v="CustomerProject"/>
    <s v="成本歸屬至產品"/>
    <x v="2"/>
    <m/>
    <x v="15"/>
    <n v="-489.82425578459998"/>
    <m/>
    <s v="87000181"/>
    <n v="18"/>
    <x v="2"/>
  </r>
  <r>
    <n v="2018"/>
    <x v="2"/>
    <s v="201805"/>
    <s v="Kelly Group"/>
    <s v="公隆化學股份有限公司"/>
    <s v="CPCRM08411"/>
    <x v="35"/>
    <s v="CustomerProject"/>
    <s v="成本歸屬至產品"/>
    <x v="2"/>
    <m/>
    <x v="15"/>
    <n v="-1892.7172076300001"/>
    <m/>
    <s v="88100060"/>
    <n v="5"/>
    <x v="2"/>
  </r>
  <r>
    <n v="2018"/>
    <x v="2"/>
    <s v="201805"/>
    <s v="Kelly Group"/>
    <s v="公隆化學股份有限公司"/>
    <s v="CPCRM08397"/>
    <x v="34"/>
    <s v="CustomerProject"/>
    <s v="成本歸屬至產品"/>
    <x v="2"/>
    <m/>
    <x v="15"/>
    <n v="-5454.9955897815998"/>
    <m/>
    <s v="87000167"/>
    <n v="18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18"/>
    <x v="0"/>
    <s v="201803"/>
    <s v="Kelly Group"/>
    <s v="公隆化學股份有限公司"/>
    <x v="0"/>
    <s v="NASL10:新事業開發部"/>
    <m/>
    <x v="0"/>
    <x v="0"/>
    <x v="0"/>
    <s v="R02"/>
    <x v="0"/>
    <n v="130000"/>
    <s v="(DirectAssigned)"/>
    <s v="(直接歸屬)"/>
    <m/>
    <m/>
    <m/>
    <m/>
    <m/>
  </r>
  <r>
    <n v="2018"/>
    <x v="0"/>
    <s v="201803"/>
    <s v="Kelly Group"/>
    <s v="公隆化學股份有限公司"/>
    <x v="1"/>
    <s v="NASL10:新事業開發部"/>
    <s v="NASL11:製程化學課"/>
    <x v="0"/>
    <x v="0"/>
    <x v="1"/>
    <s v="R02"/>
    <x v="0"/>
    <n v="40342"/>
    <s v="(DirectAssigned)"/>
    <s v="(直接歸屬)"/>
    <m/>
    <m/>
    <m/>
    <m/>
    <m/>
  </r>
  <r>
    <n v="2018"/>
    <x v="0"/>
    <s v="201803"/>
    <s v="Kelly Group"/>
    <s v="公隆化學股份有限公司"/>
    <x v="2"/>
    <s v="NASL10:新事業開發部"/>
    <s v="NASL12:電子化學課"/>
    <x v="0"/>
    <x v="0"/>
    <x v="1"/>
    <s v="R02"/>
    <x v="0"/>
    <n v="61118"/>
    <s v="(DirectAssigned)"/>
    <s v="(直接歸屬)"/>
    <m/>
    <m/>
    <m/>
    <m/>
    <m/>
  </r>
  <r>
    <n v="2018"/>
    <x v="0"/>
    <s v="201803"/>
    <s v="Kelly Group"/>
    <s v="公隆化學股份有限公司"/>
    <x v="1"/>
    <s v="NASL10:新事業開發部"/>
    <s v="NASL11:製程化學課"/>
    <x v="1"/>
    <x v="1"/>
    <x v="1"/>
    <s v="R01"/>
    <x v="1"/>
    <n v="218161"/>
    <s v="(ByDriverValue)"/>
    <s v="(設定比率)"/>
    <n v="1"/>
    <s v="NATC11:應用技術課"/>
    <m/>
    <m/>
    <n v="218161"/>
  </r>
  <r>
    <n v="2018"/>
    <x v="0"/>
    <s v="201803"/>
    <s v="Kelly Group"/>
    <s v="公隆化學股份有限公司"/>
    <x v="1"/>
    <s v="NASL10:新事業開發部"/>
    <s v="NASL11:製程化學課"/>
    <x v="1"/>
    <x v="2"/>
    <x v="1"/>
    <s v="R02"/>
    <x v="0"/>
    <n v="104000"/>
    <s v="(ByDriverValue)"/>
    <s v="(設定比率)"/>
    <n v="0.8"/>
    <s v="NASL10:新事業開發部"/>
    <m/>
    <m/>
    <n v="130000"/>
  </r>
  <r>
    <n v="2018"/>
    <x v="0"/>
    <s v="201803"/>
    <s v="Kelly Group"/>
    <s v="公隆化學股份有限公司"/>
    <x v="2"/>
    <s v="NASL10:新事業開發部"/>
    <s v="NASL12:電子化學課"/>
    <x v="1"/>
    <x v="2"/>
    <x v="1"/>
    <s v="R02"/>
    <x v="0"/>
    <n v="26000"/>
    <s v="(ByDriverValue)"/>
    <s v="(設定比率)"/>
    <n v="0.2"/>
    <s v="NASL10:新事業開發部"/>
    <m/>
    <m/>
    <n v="130000"/>
  </r>
  <r>
    <n v="2018"/>
    <x v="0"/>
    <s v="201803"/>
    <s v="Kelly Group"/>
    <s v="公隆化學股份有限公司"/>
    <x v="1"/>
    <s v="NASL10:新事業開發部"/>
    <s v="NASL11:製程化學課"/>
    <x v="0"/>
    <x v="0"/>
    <x v="1"/>
    <s v="R01"/>
    <x v="1"/>
    <n v="71367"/>
    <s v="(DirectAssigned)"/>
    <s v="(直接歸屬)"/>
    <m/>
    <m/>
    <m/>
    <m/>
    <m/>
  </r>
  <r>
    <n v="2018"/>
    <x v="0"/>
    <s v="201803"/>
    <s v="Kelly Group"/>
    <s v="公隆化學股份有限公司"/>
    <x v="3"/>
    <s v="NASL10:新事業開發部"/>
    <s v="NATC11:應用技術課"/>
    <x v="0"/>
    <x v="0"/>
    <x v="0"/>
    <s v="R01"/>
    <x v="1"/>
    <n v="218161"/>
    <s v="(DirectAssigned)"/>
    <s v="(直接歸屬)"/>
    <m/>
    <m/>
    <m/>
    <m/>
    <m/>
  </r>
  <r>
    <n v="2018"/>
    <x v="0"/>
    <s v="201803"/>
    <s v="Kelly Group"/>
    <s v="公隆化學股份有限公司"/>
    <x v="2"/>
    <s v="NASL10:新事業開發部"/>
    <s v="NASL12:電子化學課"/>
    <x v="0"/>
    <x v="0"/>
    <x v="1"/>
    <s v="R01"/>
    <x v="1"/>
    <n v="125323"/>
    <s v="(DirectAssigned)"/>
    <s v="(直接歸屬)"/>
    <m/>
    <m/>
    <m/>
    <m/>
    <m/>
  </r>
  <r>
    <n v="2018"/>
    <x v="0"/>
    <s v="201803"/>
    <s v="Kelly Group"/>
    <s v="公隆化學股份有限公司"/>
    <x v="1"/>
    <s v="NASL10:新事業開發部"/>
    <s v="NASL11:製程化學課"/>
    <x v="0"/>
    <x v="3"/>
    <x v="1"/>
    <s v="R03"/>
    <x v="2"/>
    <n v="300"/>
    <s v="(DirectAssigned)"/>
    <s v="(直接歸屬)"/>
    <m/>
    <m/>
    <s v="CustomerProject"/>
    <s v="CPCRM00696:專案-健達生物"/>
    <m/>
  </r>
  <r>
    <n v="2018"/>
    <x v="0"/>
    <s v="201803"/>
    <s v="Kelly Group"/>
    <s v="公隆化學股份有限公司"/>
    <x v="1"/>
    <s v="NASL10:新事業開發部"/>
    <s v="NASL11:製程化學課"/>
    <x v="0"/>
    <x v="3"/>
    <x v="1"/>
    <s v="R04"/>
    <x v="3"/>
    <n v="6350"/>
    <s v="(DirectAssigned)"/>
    <s v="(直接歸屬)"/>
    <m/>
    <m/>
    <s v="CustomerProject"/>
    <s v="CPCRM00696:專案-健達生物"/>
    <m/>
  </r>
  <r>
    <n v="2018"/>
    <x v="0"/>
    <s v="201803"/>
    <s v="Kelly Group"/>
    <s v="公隆化學股份有限公司"/>
    <x v="1"/>
    <s v="NASL10:新事業開發部"/>
    <s v="NASL11:製程化學課"/>
    <x v="0"/>
    <x v="3"/>
    <x v="1"/>
    <s v="R04"/>
    <x v="3"/>
    <n v="3372"/>
    <s v="(DirectAssigned)"/>
    <s v="(直接歸屬)"/>
    <m/>
    <m/>
    <s v="CustomerProject"/>
    <s v="CPCRM00911:專案-台灣鉅邁"/>
    <m/>
  </r>
  <r>
    <n v="2018"/>
    <x v="0"/>
    <s v="201803"/>
    <s v="Kelly Group"/>
    <s v="公隆化學股份有限公司"/>
    <x v="2"/>
    <s v="NASL10:新事業開發部"/>
    <s v="NASL12:電子化學課"/>
    <x v="0"/>
    <x v="3"/>
    <x v="1"/>
    <s v="R03"/>
    <x v="2"/>
    <n v="1035"/>
    <s v="(DirectAssigned)"/>
    <s v="(直接歸屬)"/>
    <m/>
    <m/>
    <s v="CustomerProject"/>
    <s v="CPCRM05498:專案-興勤電子"/>
    <m/>
  </r>
  <r>
    <n v="2018"/>
    <x v="0"/>
    <s v="201803"/>
    <s v="Kelly Group"/>
    <s v="公隆化學股份有限公司"/>
    <x v="2"/>
    <s v="NASL10:新事業開發部"/>
    <s v="NASL12:電子化學課"/>
    <x v="0"/>
    <x v="3"/>
    <x v="1"/>
    <s v="R03"/>
    <x v="2"/>
    <n v="3526"/>
    <s v="(DirectAssigned)"/>
    <s v="(直接歸屬)"/>
    <m/>
    <m/>
    <s v="CustomerProject"/>
    <s v="CPCRM10848:專案-華新科技"/>
    <m/>
  </r>
  <r>
    <n v="2018"/>
    <x v="0"/>
    <s v="201803"/>
    <s v="Kelly Group"/>
    <s v="公隆化學股份有限公司"/>
    <x v="2"/>
    <s v="NASL10:新事業開發部"/>
    <s v="NASL12:電子化學課"/>
    <x v="0"/>
    <x v="3"/>
    <x v="1"/>
    <s v="R03"/>
    <x v="2"/>
    <n v="8493"/>
    <s v="(DirectAssigned)"/>
    <s v="(直接歸屬)"/>
    <m/>
    <m/>
    <s v="CustomerProject"/>
    <s v="CPCRM11533:專案-國巨楠梓"/>
    <m/>
  </r>
  <r>
    <n v="2018"/>
    <x v="0"/>
    <s v="201803"/>
    <s v="Kelly Group"/>
    <s v="公隆化學股份有限公司"/>
    <x v="1"/>
    <s v="NASL10:新事業開發部"/>
    <s v="NASL11:製程化學課"/>
    <x v="0"/>
    <x v="3"/>
    <x v="1"/>
    <s v="R05"/>
    <x v="4"/>
    <n v="24210"/>
    <s v="(DirectAssigned)"/>
    <s v="(直接歸屬)"/>
    <m/>
    <m/>
    <s v="CustomerProject"/>
    <s v="CPunknow:專案-未分析顧客"/>
    <m/>
  </r>
  <r>
    <n v="2018"/>
    <x v="0"/>
    <s v="201803"/>
    <s v="Kelly Group"/>
    <s v="公隆化學股份有限公司"/>
    <x v="0"/>
    <s v="NASL10:新事業開發部"/>
    <m/>
    <x v="0"/>
    <x v="3"/>
    <x v="1"/>
    <s v="R05"/>
    <x v="4"/>
    <n v="3092"/>
    <s v="(DirectAssigned)"/>
    <s v="(直接歸屬)"/>
    <m/>
    <m/>
    <s v="CustomerProject"/>
    <s v="CPunknow:專案-未分析顧客"/>
    <m/>
  </r>
  <r>
    <n v="2018"/>
    <x v="0"/>
    <s v="201803"/>
    <s v="Kelly Group"/>
    <s v="公隆化學股份有限公司"/>
    <x v="2"/>
    <s v="NASL10:新事業開發部"/>
    <s v="NASL12:電子化學課"/>
    <x v="0"/>
    <x v="3"/>
    <x v="1"/>
    <s v="R05"/>
    <x v="4"/>
    <n v="16648"/>
    <s v="(DirectAssigned)"/>
    <s v="(直接歸屬)"/>
    <m/>
    <m/>
    <s v="CustomerProject"/>
    <s v="CPunknow:專案-未分析顧客"/>
    <m/>
  </r>
  <r>
    <n v="2018"/>
    <x v="1"/>
    <s v="201804"/>
    <s v="Kelly Group"/>
    <s v="公隆化學股份有限公司"/>
    <x v="1"/>
    <s v="NASL10:新事業開發部"/>
    <s v="NASL11:製程化學課"/>
    <x v="0"/>
    <x v="3"/>
    <x v="1"/>
    <s v="R05"/>
    <x v="4"/>
    <n v="3500"/>
    <s v="(DirectAssigned)"/>
    <s v="(直接歸屬)"/>
    <m/>
    <m/>
    <s v="CustomerProject"/>
    <s v="CPCRM00400:專案-東隆五金"/>
    <m/>
  </r>
  <r>
    <n v="2018"/>
    <x v="1"/>
    <s v="201804"/>
    <s v="Kelly Group"/>
    <s v="公隆化學股份有限公司"/>
    <x v="1"/>
    <s v="NASL10:新事業開發部"/>
    <s v="NASL11:製程化學課"/>
    <x v="0"/>
    <x v="3"/>
    <x v="1"/>
    <s v="R05"/>
    <x v="4"/>
    <n v="1500"/>
    <s v="(DirectAssigned)"/>
    <s v="(直接歸屬)"/>
    <m/>
    <m/>
    <s v="CustomerProject"/>
    <s v="CP華震科技:專案-華震科技"/>
    <m/>
  </r>
  <r>
    <n v="2018"/>
    <x v="1"/>
    <s v="201804"/>
    <s v="Kelly Group"/>
    <s v="公隆化學股份有限公司"/>
    <x v="2"/>
    <s v="NASL10:新事業開發部"/>
    <s v="NASL12:電子化學課"/>
    <x v="0"/>
    <x v="3"/>
    <x v="1"/>
    <s v="R05"/>
    <x v="4"/>
    <n v="1600"/>
    <s v="(DirectAssigned)"/>
    <s v="(直接歸屬)"/>
    <m/>
    <m/>
    <s v="CustomerProject"/>
    <s v="CPCRM10848:專案-華新科技"/>
    <m/>
  </r>
  <r>
    <n v="2018"/>
    <x v="1"/>
    <s v="201804"/>
    <s v="Kelly Group"/>
    <s v="公隆化學股份有限公司"/>
    <x v="2"/>
    <s v="NASL10:新事業開發部"/>
    <s v="NASL12:電子化學課"/>
    <x v="0"/>
    <x v="3"/>
    <x v="1"/>
    <s v="R03"/>
    <x v="2"/>
    <n v="535"/>
    <s v="(DirectAssigned)"/>
    <s v="(直接歸屬)"/>
    <m/>
    <m/>
    <s v="CustomerProject"/>
    <s v="CPCRM17381:專案-桃園-愛賽克"/>
    <m/>
  </r>
  <r>
    <n v="2018"/>
    <x v="1"/>
    <s v="201804"/>
    <s v="Kelly Group"/>
    <s v="公隆化學股份有限公司"/>
    <x v="2"/>
    <s v="NASL10:新事業開發部"/>
    <s v="NASL12:電子化學課"/>
    <x v="0"/>
    <x v="3"/>
    <x v="1"/>
    <s v="R05"/>
    <x v="4"/>
    <n v="3500"/>
    <s v="(DirectAssigned)"/>
    <s v="(直接歸屬)"/>
    <m/>
    <m/>
    <s v="CustomerProject"/>
    <s v="CPCRM19822:專案-友達"/>
    <m/>
  </r>
  <r>
    <n v="2018"/>
    <x v="1"/>
    <s v="201804"/>
    <s v="Kelly Group"/>
    <s v="公隆化學股份有限公司"/>
    <x v="2"/>
    <s v="NASL10:新事業開發部"/>
    <s v="NASL12:電子化學課"/>
    <x v="0"/>
    <x v="3"/>
    <x v="1"/>
    <s v="R05"/>
    <x v="4"/>
    <n v="5409"/>
    <s v="(DirectAssigned)"/>
    <s v="(直接歸屬)"/>
    <m/>
    <m/>
    <s v="CustomerProject"/>
    <s v="CPunknow:專案-未分析顧客"/>
    <m/>
  </r>
  <r>
    <n v="2018"/>
    <x v="1"/>
    <s v="201804"/>
    <s v="Kelly Group"/>
    <s v="公隆化學股份有限公司"/>
    <x v="0"/>
    <s v="NASL10:新事業開發部"/>
    <m/>
    <x v="0"/>
    <x v="3"/>
    <x v="1"/>
    <s v="R05"/>
    <x v="4"/>
    <n v="3991"/>
    <s v="(DirectAssigned)"/>
    <s v="(直接歸屬)"/>
    <m/>
    <m/>
    <s v="CustomerProject"/>
    <s v="CPunknow:專案-未分析顧客"/>
    <m/>
  </r>
  <r>
    <n v="2018"/>
    <x v="1"/>
    <s v="201804"/>
    <s v="Kelly Group"/>
    <s v="公隆化學股份有限公司"/>
    <x v="1"/>
    <s v="NASL10:新事業開發部"/>
    <s v="NASL11:製程化學課"/>
    <x v="0"/>
    <x v="3"/>
    <x v="1"/>
    <s v="R05"/>
    <x v="4"/>
    <n v="11664"/>
    <s v="(DirectAssigned)"/>
    <s v="(直接歸屬)"/>
    <m/>
    <m/>
    <s v="CustomerProject"/>
    <s v="CPunknow:專案-未分析顧客"/>
    <m/>
  </r>
  <r>
    <n v="2018"/>
    <x v="1"/>
    <s v="201804"/>
    <s v="Kelly Group"/>
    <s v="公隆化學股份有限公司"/>
    <x v="1"/>
    <s v="NASL10:新事業開發部"/>
    <s v="NASL11:製程化學課"/>
    <x v="0"/>
    <x v="3"/>
    <x v="1"/>
    <s v="R05"/>
    <x v="4"/>
    <n v="1467"/>
    <s v="(DirectAssigned)"/>
    <s v="(直接歸屬)"/>
    <m/>
    <m/>
    <s v="CustomerProject"/>
    <s v="CPEMERSON:專案-EMERSON"/>
    <m/>
  </r>
  <r>
    <n v="2018"/>
    <x v="1"/>
    <s v="201804"/>
    <s v="Kelly Group"/>
    <s v="公隆化學股份有限公司"/>
    <x v="1"/>
    <s v="NASL10:新事業開發部"/>
    <s v="NASL11:製程化學課"/>
    <x v="0"/>
    <x v="0"/>
    <x v="1"/>
    <s v="R01"/>
    <x v="1"/>
    <n v="106463"/>
    <s v="(DirectAssigned)"/>
    <s v="(直接歸屬)"/>
    <m/>
    <m/>
    <m/>
    <m/>
    <m/>
  </r>
  <r>
    <n v="2018"/>
    <x v="1"/>
    <s v="201804"/>
    <s v="Kelly Group"/>
    <s v="公隆化學股份有限公司"/>
    <x v="3"/>
    <s v="NASL10:新事業開發部"/>
    <s v="NATC11:應用技術課"/>
    <x v="0"/>
    <x v="0"/>
    <x v="0"/>
    <s v="R01"/>
    <x v="1"/>
    <n v="268081"/>
    <s v="(DirectAssigned)"/>
    <s v="(直接歸屬)"/>
    <m/>
    <m/>
    <m/>
    <m/>
    <m/>
  </r>
  <r>
    <n v="2018"/>
    <x v="1"/>
    <s v="201804"/>
    <s v="Kelly Group"/>
    <s v="公隆化學股份有限公司"/>
    <x v="2"/>
    <s v="NASL10:新事業開發部"/>
    <s v="NASL12:電子化學課"/>
    <x v="0"/>
    <x v="0"/>
    <x v="1"/>
    <s v="R01"/>
    <x v="1"/>
    <n v="135850"/>
    <s v="(DirectAssigned)"/>
    <s v="(直接歸屬)"/>
    <m/>
    <m/>
    <m/>
    <m/>
    <m/>
  </r>
  <r>
    <n v="2018"/>
    <x v="1"/>
    <s v="201804"/>
    <s v="Kelly Group"/>
    <s v="公隆化學股份有限公司"/>
    <x v="1"/>
    <s v="NASL10:新事業開發部"/>
    <s v="NASL11:製程化學課"/>
    <x v="1"/>
    <x v="1"/>
    <x v="1"/>
    <s v="R01"/>
    <x v="1"/>
    <n v="268081"/>
    <s v="(ByDriverValue)"/>
    <s v="(設定比率)"/>
    <n v="1"/>
    <s v="NATC11:應用技術課"/>
    <m/>
    <m/>
    <n v="268081"/>
  </r>
  <r>
    <n v="2018"/>
    <x v="1"/>
    <s v="201804"/>
    <s v="Kelly Group"/>
    <s v="公隆化學股份有限公司"/>
    <x v="1"/>
    <s v="NASL10:新事業開發部"/>
    <s v="NASL11:製程化學課"/>
    <x v="1"/>
    <x v="2"/>
    <x v="1"/>
    <s v="R02"/>
    <x v="0"/>
    <n v="104000"/>
    <s v="(ByDriverValue)"/>
    <s v="(設定比率)"/>
    <n v="0.8"/>
    <s v="NASL10:新事業開發部"/>
    <m/>
    <m/>
    <n v="130000"/>
  </r>
  <r>
    <n v="2018"/>
    <x v="1"/>
    <s v="201804"/>
    <s v="Kelly Group"/>
    <s v="公隆化學股份有限公司"/>
    <x v="2"/>
    <s v="NASL10:新事業開發部"/>
    <s v="NASL12:電子化學課"/>
    <x v="1"/>
    <x v="2"/>
    <x v="1"/>
    <s v="R02"/>
    <x v="0"/>
    <n v="26000"/>
    <s v="(ByDriverValue)"/>
    <s v="(設定比率)"/>
    <n v="0.2"/>
    <s v="NASL10:新事業開發部"/>
    <m/>
    <m/>
    <n v="130000"/>
  </r>
  <r>
    <n v="2018"/>
    <x v="1"/>
    <s v="201804"/>
    <s v="Kelly Group"/>
    <s v="公隆化學股份有限公司"/>
    <x v="0"/>
    <s v="NASL10:新事業開發部"/>
    <m/>
    <x v="0"/>
    <x v="0"/>
    <x v="0"/>
    <s v="R02"/>
    <x v="0"/>
    <n v="130000"/>
    <s v="(DirectAssigned)"/>
    <s v="(直接歸屬)"/>
    <m/>
    <m/>
    <m/>
    <m/>
    <m/>
  </r>
  <r>
    <n v="2018"/>
    <x v="1"/>
    <s v="201804"/>
    <s v="Kelly Group"/>
    <s v="公隆化學股份有限公司"/>
    <x v="1"/>
    <s v="NASL10:新事業開發部"/>
    <s v="NASL11:製程化學課"/>
    <x v="0"/>
    <x v="0"/>
    <x v="1"/>
    <s v="R02"/>
    <x v="0"/>
    <n v="171828"/>
    <s v="(DirectAssigned)"/>
    <s v="(直接歸屬)"/>
    <m/>
    <m/>
    <m/>
    <m/>
    <m/>
  </r>
  <r>
    <n v="2018"/>
    <x v="1"/>
    <s v="201804"/>
    <s v="Kelly Group"/>
    <s v="公隆化學股份有限公司"/>
    <x v="2"/>
    <s v="NASL10:新事業開發部"/>
    <s v="NASL12:電子化學課"/>
    <x v="0"/>
    <x v="0"/>
    <x v="1"/>
    <s v="R02"/>
    <x v="0"/>
    <n v="39822"/>
    <s v="(DirectAssigned)"/>
    <s v="(直接歸屬)"/>
    <m/>
    <m/>
    <m/>
    <m/>
    <m/>
  </r>
  <r>
    <n v="2018"/>
    <x v="2"/>
    <s v="201805"/>
    <s v="Kelly Group"/>
    <s v="公隆化學股份有限公司"/>
    <x v="0"/>
    <s v="NASL10:新事業開發部"/>
    <m/>
    <x v="0"/>
    <x v="0"/>
    <x v="0"/>
    <s v="R02"/>
    <x v="0"/>
    <n v="130000"/>
    <s v="(DirectAssigned)"/>
    <s v="(直接歸屬)"/>
    <m/>
    <m/>
    <m/>
    <m/>
    <m/>
  </r>
  <r>
    <n v="2018"/>
    <x v="2"/>
    <s v="201805"/>
    <s v="Kelly Group"/>
    <s v="公隆化學股份有限公司"/>
    <x v="1"/>
    <s v="NASL10:新事業開發部"/>
    <s v="NASL11:製程化學課"/>
    <x v="0"/>
    <x v="0"/>
    <x v="1"/>
    <s v="R02"/>
    <x v="0"/>
    <n v="86278"/>
    <s v="(DirectAssigned)"/>
    <s v="(直接歸屬)"/>
    <m/>
    <m/>
    <m/>
    <m/>
    <m/>
  </r>
  <r>
    <n v="2018"/>
    <x v="2"/>
    <s v="201805"/>
    <s v="Kelly Group"/>
    <s v="公隆化學股份有限公司"/>
    <x v="2"/>
    <s v="NASL10:新事業開發部"/>
    <s v="NASL12:電子化學課"/>
    <x v="1"/>
    <x v="2"/>
    <x v="1"/>
    <s v="R02"/>
    <x v="0"/>
    <n v="26000"/>
    <s v="(ByDriverValue)"/>
    <s v="(設定比率)"/>
    <n v="0.2"/>
    <s v="NASL10:新事業開發部"/>
    <m/>
    <m/>
    <n v="130000"/>
  </r>
  <r>
    <n v="2018"/>
    <x v="2"/>
    <s v="201805"/>
    <s v="Kelly Group"/>
    <s v="公隆化學股份有限公司"/>
    <x v="1"/>
    <s v="NASL10:新事業開發部"/>
    <s v="NASL11:製程化學課"/>
    <x v="1"/>
    <x v="2"/>
    <x v="1"/>
    <s v="R02"/>
    <x v="0"/>
    <n v="104000"/>
    <s v="(ByDriverValue)"/>
    <s v="(設定比率)"/>
    <n v="0.8"/>
    <s v="NASL10:新事業開發部"/>
    <m/>
    <m/>
    <n v="130000"/>
  </r>
  <r>
    <n v="2018"/>
    <x v="2"/>
    <s v="201805"/>
    <s v="Kelly Group"/>
    <s v="公隆化學股份有限公司"/>
    <x v="1"/>
    <s v="NASL10:新事業開發部"/>
    <s v="NASL11:製程化學課"/>
    <x v="1"/>
    <x v="1"/>
    <x v="1"/>
    <s v="R01"/>
    <x v="1"/>
    <n v="239124"/>
    <s v="(ByDriverValue)"/>
    <s v="(設定比率)"/>
    <n v="1"/>
    <s v="NATC11:應用技術課"/>
    <m/>
    <m/>
    <n v="239124"/>
  </r>
  <r>
    <n v="2018"/>
    <x v="2"/>
    <s v="201805"/>
    <s v="Kelly Group"/>
    <s v="公隆化學股份有限公司"/>
    <x v="1"/>
    <s v="NASL10:新事業開發部"/>
    <s v="NASL11:製程化學課"/>
    <x v="0"/>
    <x v="0"/>
    <x v="1"/>
    <s v="R01"/>
    <x v="1"/>
    <n v="95428"/>
    <s v="(DirectAssigned)"/>
    <s v="(直接歸屬)"/>
    <m/>
    <m/>
    <m/>
    <m/>
    <m/>
  </r>
  <r>
    <n v="2018"/>
    <x v="2"/>
    <s v="201805"/>
    <s v="Kelly Group"/>
    <s v="公隆化學股份有限公司"/>
    <x v="3"/>
    <s v="NASL10:新事業開發部"/>
    <s v="NATC11:應用技術課"/>
    <x v="0"/>
    <x v="0"/>
    <x v="0"/>
    <s v="R01"/>
    <x v="1"/>
    <n v="239124"/>
    <s v="(DirectAssigned)"/>
    <s v="(直接歸屬)"/>
    <m/>
    <m/>
    <m/>
    <m/>
    <m/>
  </r>
  <r>
    <n v="2018"/>
    <x v="2"/>
    <s v="201805"/>
    <s v="Kelly Group"/>
    <s v="公隆化學股份有限公司"/>
    <x v="2"/>
    <s v="NASL10:新事業開發部"/>
    <s v="NASL12:電子化學課"/>
    <x v="0"/>
    <x v="0"/>
    <x v="1"/>
    <s v="R01"/>
    <x v="1"/>
    <n v="136807"/>
    <s v="(DirectAssigned)"/>
    <s v="(直接歸屬)"/>
    <m/>
    <m/>
    <m/>
    <m/>
    <m/>
  </r>
  <r>
    <n v="2018"/>
    <x v="2"/>
    <s v="201805"/>
    <s v="Kelly Group"/>
    <s v="公隆化學股份有限公司"/>
    <x v="1"/>
    <s v="NASL10:新事業開發部"/>
    <s v="NASL11:製程化學課"/>
    <x v="0"/>
    <x v="3"/>
    <x v="1"/>
    <s v="R05"/>
    <x v="4"/>
    <n v="4000"/>
    <s v="(DirectAssigned)"/>
    <s v="(直接歸屬)"/>
    <m/>
    <m/>
    <s v="CustomerProject"/>
    <s v="CPCRM00400:專案-東隆五金"/>
    <m/>
  </r>
  <r>
    <n v="2018"/>
    <x v="2"/>
    <s v="201805"/>
    <s v="Kelly Group"/>
    <s v="公隆化學股份有限公司"/>
    <x v="1"/>
    <s v="NASL10:新事業開發部"/>
    <s v="NASL11:製程化學課"/>
    <x v="0"/>
    <x v="3"/>
    <x v="1"/>
    <s v="R04"/>
    <x v="3"/>
    <n v="4408"/>
    <s v="(DirectAssigned)"/>
    <s v="(直接歸屬)"/>
    <m/>
    <m/>
    <s v="CustomerProject"/>
    <s v="CPCRM00696:專案-健達生物"/>
    <m/>
  </r>
  <r>
    <n v="2018"/>
    <x v="2"/>
    <s v="201805"/>
    <s v="Kelly Group"/>
    <s v="公隆化學股份有限公司"/>
    <x v="1"/>
    <s v="NASL10:新事業開發部"/>
    <s v="NASL11:製程化學課"/>
    <x v="0"/>
    <x v="3"/>
    <x v="1"/>
    <s v="R04"/>
    <x v="3"/>
    <n v="2828"/>
    <s v="(DirectAssigned)"/>
    <s v="(直接歸屬)"/>
    <m/>
    <m/>
    <s v="CustomerProject"/>
    <s v="CPCRM00911:專案-台灣鉅邁"/>
    <m/>
  </r>
  <r>
    <n v="2018"/>
    <x v="2"/>
    <s v="201805"/>
    <s v="Kelly Group"/>
    <s v="公隆化學股份有限公司"/>
    <x v="1"/>
    <s v="NASL10:新事業開發部"/>
    <s v="NASL11:製程化學課"/>
    <x v="0"/>
    <x v="3"/>
    <x v="1"/>
    <s v="R05"/>
    <x v="4"/>
    <n v="1500"/>
    <s v="(DirectAssigned)"/>
    <s v="(直接歸屬)"/>
    <m/>
    <m/>
    <s v="CustomerProject"/>
    <s v="CPCRM01025:專案-典雅實業"/>
    <m/>
  </r>
  <r>
    <n v="2018"/>
    <x v="2"/>
    <s v="201805"/>
    <s v="Kelly Group"/>
    <s v="公隆化學股份有限公司"/>
    <x v="1"/>
    <s v="NASL10:新事業開發部"/>
    <s v="NASL11:製程化學課"/>
    <x v="0"/>
    <x v="3"/>
    <x v="1"/>
    <s v="R05"/>
    <x v="4"/>
    <n v="7974"/>
    <s v="(DirectAssigned)"/>
    <s v="(直接歸屬)"/>
    <m/>
    <m/>
    <s v="CustomerProject"/>
    <s v="CPunknow:專案-未分析顧客"/>
    <m/>
  </r>
  <r>
    <n v="2018"/>
    <x v="2"/>
    <s v="201805"/>
    <s v="Kelly Group"/>
    <s v="公隆化學股份有限公司"/>
    <x v="0"/>
    <s v="NASL10:新事業開發部"/>
    <m/>
    <x v="0"/>
    <x v="3"/>
    <x v="1"/>
    <s v="R05"/>
    <x v="4"/>
    <n v="366"/>
    <s v="(DirectAssigned)"/>
    <s v="(直接歸屬)"/>
    <m/>
    <m/>
    <s v="CustomerProject"/>
    <s v="CPunknow:專案-未分析顧客"/>
    <m/>
  </r>
  <r>
    <n v="2018"/>
    <x v="2"/>
    <s v="201805"/>
    <s v="Kelly Group"/>
    <s v="公隆化學股份有限公司"/>
    <x v="2"/>
    <s v="NASL10:新事業開發部"/>
    <s v="NASL12:電子化學課"/>
    <x v="0"/>
    <x v="3"/>
    <x v="1"/>
    <s v="R05"/>
    <x v="4"/>
    <n v="18177"/>
    <s v="(DirectAssigned)"/>
    <s v="(直接歸屬)"/>
    <m/>
    <m/>
    <s v="CustomerProject"/>
    <s v="CPunknow:專案-未分析顧客"/>
    <m/>
  </r>
  <r>
    <n v="2018"/>
    <x v="2"/>
    <s v="201805"/>
    <s v="Kelly Group"/>
    <s v="公隆化學股份有限公司"/>
    <x v="0"/>
    <s v="NASL10:新事業開發部"/>
    <m/>
    <x v="0"/>
    <x v="3"/>
    <x v="1"/>
    <s v="R05"/>
    <x v="4"/>
    <n v="1541"/>
    <s v="(DirectAssigned)"/>
    <s v="(直接歸屬)"/>
    <m/>
    <m/>
    <s v="CustomerProject"/>
    <s v="CP上海安捷:專案-上海安捷"/>
    <m/>
  </r>
  <r>
    <n v="2018"/>
    <x v="2"/>
    <s v="201805"/>
    <s v="Kelly Group"/>
    <s v="公隆化學股份有限公司"/>
    <x v="0"/>
    <s v="NASL10:新事業開發部"/>
    <m/>
    <x v="0"/>
    <x v="3"/>
    <x v="1"/>
    <s v="R05"/>
    <x v="4"/>
    <n v="599"/>
    <s v="(DirectAssigned)"/>
    <s v="(直接歸屬)"/>
    <m/>
    <m/>
    <s v="CustomerProject"/>
    <s v="CP上海安捷:專案-上海安捷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8">
  <r>
    <n v="2018"/>
    <x v="0"/>
    <s v="201803"/>
    <s v="Kelly Group"/>
    <s v="公隆化學股份有限公司"/>
    <s v="NASL10:新事業開發部"/>
    <x v="0"/>
    <x v="0"/>
    <n v="173548"/>
    <n v="39.299818840599997"/>
    <n v="4416"/>
    <s v="N01:取得顧客作業"/>
    <x v="0"/>
    <x v="0"/>
    <x v="0"/>
  </r>
  <r>
    <n v="2018"/>
    <x v="0"/>
    <s v="201803"/>
    <s v="Kelly Group"/>
    <s v="公隆化學股份有限公司"/>
    <s v="NASL10:新事業開發部"/>
    <x v="1"/>
    <x v="0"/>
    <n v="106220.49999900001"/>
    <n v="9.6214221014000003"/>
    <n v="11040"/>
    <s v="N01:取得顧客作業"/>
    <x v="0"/>
    <x v="0"/>
    <x v="0"/>
  </r>
  <r>
    <n v="2018"/>
    <x v="0"/>
    <s v="201803"/>
    <s v="Kelly Group"/>
    <s v="公隆化學股份有限公司"/>
    <s v="NASL10:新事業開發部"/>
    <x v="0"/>
    <x v="0"/>
    <n v="86773.999999000007"/>
    <n v="39.299818840599997"/>
    <n v="2208"/>
    <s v="N02:維持顧客作業"/>
    <x v="0"/>
    <x v="0"/>
    <x v="0"/>
  </r>
  <r>
    <n v="2018"/>
    <x v="0"/>
    <s v="201803"/>
    <s v="Kelly Group"/>
    <s v="公隆化學股份有限公司"/>
    <s v="NASL10:新事業開發部"/>
    <x v="1"/>
    <x v="0"/>
    <n v="33990.559998999997"/>
    <n v="9.6214221014000003"/>
    <n v="3532.8"/>
    <s v="N02:維持顧客作業"/>
    <x v="0"/>
    <x v="0"/>
    <x v="0"/>
  </r>
  <r>
    <n v="2018"/>
    <x v="0"/>
    <s v="201803"/>
    <s v="Kelly Group"/>
    <s v="公隆化學股份有限公司"/>
    <s v="NASL10:新事業開發部"/>
    <x v="0"/>
    <x v="0"/>
    <n v="130161"/>
    <n v="39.299818840599997"/>
    <n v="3312"/>
    <s v="N03:售後服務作業"/>
    <x v="0"/>
    <x v="0"/>
    <x v="0"/>
  </r>
  <r>
    <n v="2018"/>
    <x v="0"/>
    <s v="201803"/>
    <s v="Kelly Group"/>
    <s v="公隆化學股份有限公司"/>
    <s v="NASL10:新事業開發部"/>
    <x v="1"/>
    <x v="0"/>
    <n v="33990.559999999998"/>
    <n v="9.6214221014000003"/>
    <n v="3532.8"/>
    <s v="N03:售後服務作業"/>
    <x v="0"/>
    <x v="0"/>
    <x v="0"/>
  </r>
  <r>
    <n v="2018"/>
    <x v="0"/>
    <s v="201803"/>
    <s v="Kelly Group"/>
    <s v="公隆化學股份有限公司"/>
    <s v="NASL10:新事業開發部"/>
    <x v="0"/>
    <x v="0"/>
    <n v="43387"/>
    <n v="39.299818840599997"/>
    <n v="1104"/>
    <s v="N04:其他"/>
    <x v="0"/>
    <x v="0"/>
    <x v="0"/>
  </r>
  <r>
    <n v="2018"/>
    <x v="0"/>
    <s v="201803"/>
    <s v="Kelly Group"/>
    <s v="公隆化學股份有限公司"/>
    <s v="NASL10:新事業開發部"/>
    <x v="1"/>
    <x v="0"/>
    <n v="38239.379998999997"/>
    <n v="9.6214221014000003"/>
    <n v="3974.4"/>
    <s v="N04:其他"/>
    <x v="0"/>
    <x v="0"/>
    <x v="0"/>
  </r>
  <r>
    <n v="2018"/>
    <x v="0"/>
    <s v="201803"/>
    <s v="Kelly Group"/>
    <s v="公隆化學股份有限公司"/>
    <s v="NASL10:新事業開發部"/>
    <x v="0"/>
    <x v="1"/>
    <n v="8174.3623180000004"/>
    <n v="39.299818840500002"/>
    <n v="208"/>
    <s v="N02:維持顧客作業"/>
    <x v="1"/>
    <x v="1"/>
    <x v="1"/>
  </r>
  <r>
    <n v="2018"/>
    <x v="0"/>
    <s v="201803"/>
    <s v="Kelly Group"/>
    <s v="公隆化學股份有限公司"/>
    <s v="NASL10:新事業開發部"/>
    <x v="0"/>
    <x v="2"/>
    <n v="8174.3623180000004"/>
    <n v="39.299818840599997"/>
    <n v="208"/>
    <s v="N02:維持顧客作業"/>
    <x v="1"/>
    <x v="1"/>
    <x v="1"/>
  </r>
  <r>
    <n v="2018"/>
    <x v="0"/>
    <s v="201803"/>
    <s v="Kelly Group"/>
    <s v="公隆化學股份有限公司"/>
    <s v="NASL10:新事業開發部"/>
    <x v="1"/>
    <x v="1"/>
    <n v="5328.7876249999999"/>
    <n v="9.6014191447999995"/>
    <n v="555"/>
    <s v="N02:維持顧客作業"/>
    <x v="1"/>
    <x v="1"/>
    <x v="1"/>
  </r>
  <r>
    <n v="2018"/>
    <x v="0"/>
    <s v="201803"/>
    <s v="Kelly Group"/>
    <s v="公隆化學股份有限公司"/>
    <s v="NASL10:新事業開發部"/>
    <x v="1"/>
    <x v="2"/>
    <n v="5339.8892660000001"/>
    <n v="9.6214221014000003"/>
    <n v="555"/>
    <s v="N02:維持顧客作業"/>
    <x v="1"/>
    <x v="1"/>
    <x v="1"/>
  </r>
  <r>
    <n v="2018"/>
    <x v="0"/>
    <s v="201803"/>
    <s v="Kelly Group"/>
    <s v="公隆化學股份有限公司"/>
    <s v="NASL10:新事業開發部"/>
    <x v="0"/>
    <x v="1"/>
    <n v="8174.3623180000004"/>
    <n v="39.299818840500002"/>
    <n v="208"/>
    <s v="N01:取得顧客作業"/>
    <x v="2"/>
    <x v="1"/>
    <x v="2"/>
  </r>
  <r>
    <n v="2018"/>
    <x v="0"/>
    <s v="201803"/>
    <s v="Kelly Group"/>
    <s v="公隆化學股份有限公司"/>
    <s v="NASL10:新事業開發部"/>
    <x v="0"/>
    <x v="2"/>
    <n v="8174.3623180000004"/>
    <n v="39.299818840599997"/>
    <n v="208"/>
    <s v="N01:取得顧客作業"/>
    <x v="2"/>
    <x v="1"/>
    <x v="2"/>
  </r>
  <r>
    <n v="2018"/>
    <x v="0"/>
    <s v="201803"/>
    <s v="Kelly Group"/>
    <s v="公隆化學股份有限公司"/>
    <s v="NASL10:新事業開發部"/>
    <x v="1"/>
    <x v="1"/>
    <n v="8425.2452990000002"/>
    <n v="9.6014191447999995"/>
    <n v="877.5"/>
    <s v="N01:取得顧客作業"/>
    <x v="2"/>
    <x v="1"/>
    <x v="2"/>
  </r>
  <r>
    <n v="2018"/>
    <x v="0"/>
    <s v="201803"/>
    <s v="Kelly Group"/>
    <s v="公隆化學股份有限公司"/>
    <s v="NASL10:新事業開發部"/>
    <x v="1"/>
    <x v="2"/>
    <n v="8442.7978930000008"/>
    <n v="9.6214221014000003"/>
    <n v="877.5"/>
    <s v="N01:取得顧客作業"/>
    <x v="2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1:取得顧客作業"/>
    <x v="3"/>
    <x v="1"/>
    <x v="2"/>
  </r>
  <r>
    <n v="2018"/>
    <x v="0"/>
    <s v="201803"/>
    <s v="Kelly Group"/>
    <s v="公隆化學股份有限公司"/>
    <s v="NASL10:新事業開發部"/>
    <x v="1"/>
    <x v="1"/>
    <n v="39101.779467"/>
    <n v="9.6014191447999995"/>
    <n v="4072.5"/>
    <s v="N01:取得顧客作業"/>
    <x v="3"/>
    <x v="1"/>
    <x v="2"/>
  </r>
  <r>
    <n v="2018"/>
    <x v="0"/>
    <s v="201803"/>
    <s v="Kelly Group"/>
    <s v="公隆化學股份有限公司"/>
    <s v="NASL10:新事業開發部"/>
    <x v="1"/>
    <x v="2"/>
    <n v="39183.241506999999"/>
    <n v="9.6214221014000003"/>
    <n v="4072.5"/>
    <s v="N01:取得顧客作業"/>
    <x v="3"/>
    <x v="1"/>
    <x v="2"/>
  </r>
  <r>
    <n v="2018"/>
    <x v="0"/>
    <s v="201803"/>
    <s v="Kelly Group"/>
    <s v="公隆化學股份有限公司"/>
    <s v="NASL10:新事業開發部"/>
    <x v="0"/>
    <x v="1"/>
    <n v="0"/>
    <n v="39.299818840500002"/>
    <n v="0"/>
    <s v="N01:取得顧客作業"/>
    <x v="4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1:取得顧客作業"/>
    <x v="4"/>
    <x v="1"/>
    <x v="2"/>
  </r>
  <r>
    <n v="2018"/>
    <x v="0"/>
    <s v="201803"/>
    <s v="Kelly Group"/>
    <s v="公隆化學股份有限公司"/>
    <s v="NASL10:新事業開發部"/>
    <x v="1"/>
    <x v="1"/>
    <n v="31185.409382000002"/>
    <n v="9.6014191447999995"/>
    <n v="3248"/>
    <s v="N01:取得顧客作業"/>
    <x v="4"/>
    <x v="1"/>
    <x v="2"/>
  </r>
  <r>
    <n v="2018"/>
    <x v="0"/>
    <s v="201803"/>
    <s v="Kelly Group"/>
    <s v="公隆化學股份有限公司"/>
    <s v="NASL10:新事業開發部"/>
    <x v="1"/>
    <x v="2"/>
    <n v="31250.378984999999"/>
    <n v="9.6214221014000003"/>
    <n v="3248"/>
    <s v="N01:取得顧客作業"/>
    <x v="4"/>
    <x v="1"/>
    <x v="2"/>
  </r>
  <r>
    <n v="2018"/>
    <x v="0"/>
    <s v="201803"/>
    <s v="Kelly Group"/>
    <s v="公隆化學股份有限公司"/>
    <s v="NASL10:新事業開發部"/>
    <x v="0"/>
    <x v="1"/>
    <n v="94791.163042999993"/>
    <n v="39.299818840500002"/>
    <n v="2412"/>
    <s v="N01:取得顧客作業"/>
    <x v="5"/>
    <x v="1"/>
    <x v="2"/>
  </r>
  <r>
    <n v="2018"/>
    <x v="0"/>
    <s v="201803"/>
    <s v="Kelly Group"/>
    <s v="公隆化學股份有限公司"/>
    <s v="NASL10:新事業開發部"/>
    <x v="0"/>
    <x v="2"/>
    <n v="94791.163042999993"/>
    <n v="39.299818840599997"/>
    <n v="2412"/>
    <s v="N01:取得顧客作業"/>
    <x v="5"/>
    <x v="1"/>
    <x v="2"/>
  </r>
  <r>
    <n v="2018"/>
    <x v="0"/>
    <s v="201803"/>
    <s v="Kelly Group"/>
    <s v="公隆化學股份有限公司"/>
    <s v="NASL10:新事業開發部"/>
    <x v="1"/>
    <x v="1"/>
    <n v="15698.320301"/>
    <n v="9.6014191447999995"/>
    <n v="1635"/>
    <s v="N01:取得顧客作業"/>
    <x v="5"/>
    <x v="1"/>
    <x v="2"/>
  </r>
  <r>
    <n v="2018"/>
    <x v="0"/>
    <s v="201803"/>
    <s v="Kelly Group"/>
    <s v="公隆化學股份有限公司"/>
    <s v="NASL10:新事業開發部"/>
    <x v="1"/>
    <x v="2"/>
    <n v="15731.025135"/>
    <n v="9.6214221014000003"/>
    <n v="1635"/>
    <s v="N01:取得顧客作業"/>
    <x v="5"/>
    <x v="1"/>
    <x v="2"/>
  </r>
  <r>
    <n v="2018"/>
    <x v="0"/>
    <s v="201803"/>
    <s v="Kelly Group"/>
    <s v="公隆化學股份有限公司"/>
    <s v="NASL10:新事業開發部"/>
    <x v="0"/>
    <x v="1"/>
    <n v="18863.913043"/>
    <n v="39.299818840500002"/>
    <n v="480"/>
    <s v="N01:取得顧客作業"/>
    <x v="6"/>
    <x v="1"/>
    <x v="2"/>
  </r>
  <r>
    <n v="2018"/>
    <x v="0"/>
    <s v="201803"/>
    <s v="Kelly Group"/>
    <s v="公隆化學股份有限公司"/>
    <s v="NASL10:新事業開發部"/>
    <x v="0"/>
    <x v="2"/>
    <n v="18863.913043"/>
    <n v="39.299818840599997"/>
    <n v="480"/>
    <s v="N01:取得顧客作業"/>
    <x v="6"/>
    <x v="1"/>
    <x v="2"/>
  </r>
  <r>
    <n v="2018"/>
    <x v="0"/>
    <s v="201803"/>
    <s v="Kelly Group"/>
    <s v="公隆化學股份有限公司"/>
    <s v="NASL10:新事業開發部"/>
    <x v="1"/>
    <x v="1"/>
    <n v="4992.7379549999996"/>
    <n v="9.6014191447999995"/>
    <n v="520"/>
    <s v="N01:取得顧客作業"/>
    <x v="6"/>
    <x v="1"/>
    <x v="2"/>
  </r>
  <r>
    <n v="2018"/>
    <x v="0"/>
    <s v="201803"/>
    <s v="Kelly Group"/>
    <s v="公隆化學股份有限公司"/>
    <s v="NASL10:新事業開發部"/>
    <x v="1"/>
    <x v="2"/>
    <n v="5003.1394920000002"/>
    <n v="9.6214221014000003"/>
    <n v="520"/>
    <s v="N01:取得顧客作業"/>
    <x v="6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3:售後服務作業"/>
    <x v="7"/>
    <x v="1"/>
    <x v="3"/>
  </r>
  <r>
    <n v="2018"/>
    <x v="0"/>
    <s v="201803"/>
    <s v="Kelly Group"/>
    <s v="公隆化學股份有限公司"/>
    <s v="NASL10:新事業開發部"/>
    <x v="1"/>
    <x v="1"/>
    <n v="1276.988746"/>
    <n v="9.6014191447999995"/>
    <n v="133"/>
    <s v="N03:售後服務作業"/>
    <x v="7"/>
    <x v="1"/>
    <x v="3"/>
  </r>
  <r>
    <n v="2018"/>
    <x v="0"/>
    <s v="201803"/>
    <s v="Kelly Group"/>
    <s v="公隆化學股份有限公司"/>
    <s v="NASL10:新事業開發部"/>
    <x v="1"/>
    <x v="2"/>
    <n v="1279.6491390000001"/>
    <n v="9.6214221014000003"/>
    <n v="133"/>
    <s v="N03:售後服務作業"/>
    <x v="7"/>
    <x v="1"/>
    <x v="3"/>
  </r>
  <r>
    <n v="2018"/>
    <x v="0"/>
    <s v="201803"/>
    <s v="Kelly Group"/>
    <s v="公隆化學股份有限公司"/>
    <s v="NASL10:新事業開發部"/>
    <x v="0"/>
    <x v="1"/>
    <n v="36823.930252999999"/>
    <n v="39.299818840500002"/>
    <n v="937"/>
    <s v="N01:取得顧客作業"/>
    <x v="8"/>
    <x v="1"/>
    <x v="2"/>
  </r>
  <r>
    <n v="2018"/>
    <x v="0"/>
    <s v="201803"/>
    <s v="Kelly Group"/>
    <s v="公隆化學股份有限公司"/>
    <s v="NASL10:新事業開發部"/>
    <x v="0"/>
    <x v="2"/>
    <n v="36823.930252999999"/>
    <n v="39.299818840599997"/>
    <n v="937"/>
    <s v="N01:取得顧客作業"/>
    <x v="8"/>
    <x v="1"/>
    <x v="2"/>
  </r>
  <r>
    <n v="2018"/>
    <x v="0"/>
    <s v="201803"/>
    <s v="Kelly Group"/>
    <s v="公隆化學股份有限公司"/>
    <s v="NASL10:新事業開發部"/>
    <x v="1"/>
    <x v="1"/>
    <n v="2304.3405939999998"/>
    <n v="9.6014191447999995"/>
    <n v="240"/>
    <s v="N01:取得顧客作業"/>
    <x v="8"/>
    <x v="1"/>
    <x v="2"/>
  </r>
  <r>
    <n v="2018"/>
    <x v="0"/>
    <s v="201803"/>
    <s v="Kelly Group"/>
    <s v="公隆化學股份有限公司"/>
    <s v="NASL10:新事業開發部"/>
    <x v="1"/>
    <x v="2"/>
    <n v="2309.1413040000002"/>
    <n v="9.6214221014000003"/>
    <n v="240"/>
    <s v="N01:取得顧客作業"/>
    <x v="8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1:取得顧客作業"/>
    <x v="9"/>
    <x v="1"/>
    <x v="2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1:取得顧客作業"/>
    <x v="9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2:維持顧客作業"/>
    <x v="10"/>
    <x v="1"/>
    <x v="1"/>
  </r>
  <r>
    <n v="2018"/>
    <x v="0"/>
    <s v="201803"/>
    <s v="Kelly Group"/>
    <s v="公隆化學股份有限公司"/>
    <s v="NASL10:新事業開發部"/>
    <x v="1"/>
    <x v="1"/>
    <n v="16130.384163000001"/>
    <n v="9.6014191447999995"/>
    <n v="1680"/>
    <s v="N02:維持顧客作業"/>
    <x v="10"/>
    <x v="1"/>
    <x v="1"/>
  </r>
  <r>
    <n v="2018"/>
    <x v="0"/>
    <s v="201803"/>
    <s v="Kelly Group"/>
    <s v="公隆化學股份有限公司"/>
    <s v="NASL10:新事業開發部"/>
    <x v="1"/>
    <x v="2"/>
    <n v="16163.98913"/>
    <n v="9.6214221014000003"/>
    <n v="1680"/>
    <s v="N02:維持顧客作業"/>
    <x v="10"/>
    <x v="1"/>
    <x v="1"/>
  </r>
  <r>
    <n v="2018"/>
    <x v="0"/>
    <s v="201803"/>
    <s v="Kelly Group"/>
    <s v="公隆化學股份有限公司"/>
    <s v="NASL10:新事業開發部"/>
    <x v="0"/>
    <x v="1"/>
    <n v="40675.3125"/>
    <n v="39.299818840500002"/>
    <n v="1035"/>
    <s v="N01:取得顧客作業"/>
    <x v="11"/>
    <x v="1"/>
    <x v="2"/>
  </r>
  <r>
    <n v="2018"/>
    <x v="0"/>
    <s v="201803"/>
    <s v="Kelly Group"/>
    <s v="公隆化學股份有限公司"/>
    <s v="NASL10:新事業開發部"/>
    <x v="0"/>
    <x v="2"/>
    <n v="40675.3125"/>
    <n v="39.299818840599997"/>
    <n v="1035"/>
    <s v="N01:取得顧客作業"/>
    <x v="11"/>
    <x v="1"/>
    <x v="2"/>
  </r>
  <r>
    <n v="2018"/>
    <x v="0"/>
    <s v="201803"/>
    <s v="Kelly Group"/>
    <s v="公隆化學股份有限公司"/>
    <s v="NASL10:新事業開發部"/>
    <x v="1"/>
    <x v="1"/>
    <n v="432.06386099999997"/>
    <n v="9.6014191447999995"/>
    <n v="45"/>
    <s v="N01:取得顧客作業"/>
    <x v="11"/>
    <x v="1"/>
    <x v="2"/>
  </r>
  <r>
    <n v="2018"/>
    <x v="0"/>
    <s v="201803"/>
    <s v="Kelly Group"/>
    <s v="公隆化學股份有限公司"/>
    <s v="NASL10:新事業開發部"/>
    <x v="1"/>
    <x v="2"/>
    <n v="432.96399400000001"/>
    <n v="9.6214221014000003"/>
    <n v="45"/>
    <s v="N01:取得顧客作業"/>
    <x v="11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3:售後服務作業"/>
    <x v="12"/>
    <x v="1"/>
    <x v="3"/>
  </r>
  <r>
    <n v="2018"/>
    <x v="0"/>
    <s v="201803"/>
    <s v="Kelly Group"/>
    <s v="公隆化學股份有限公司"/>
    <s v="NASL10:新事業開發部"/>
    <x v="1"/>
    <x v="1"/>
    <n v="4608.6811889999999"/>
    <n v="9.6014191447999995"/>
    <n v="480"/>
    <s v="N03:售後服務作業"/>
    <x v="12"/>
    <x v="1"/>
    <x v="3"/>
  </r>
  <r>
    <n v="2018"/>
    <x v="0"/>
    <s v="201803"/>
    <s v="Kelly Group"/>
    <s v="公隆化學股份有限公司"/>
    <s v="NASL10:新事業開發部"/>
    <x v="1"/>
    <x v="2"/>
    <n v="4618.2826080000004"/>
    <n v="9.6214221014000003"/>
    <n v="480"/>
    <s v="N03:售後服務作業"/>
    <x v="12"/>
    <x v="1"/>
    <x v="3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3:售後服務作業"/>
    <x v="13"/>
    <x v="2"/>
    <x v="3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3:售後服務作業"/>
    <x v="13"/>
    <x v="2"/>
    <x v="3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3:售後服務作業"/>
    <x v="14"/>
    <x v="2"/>
    <x v="3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3:售後服務作業"/>
    <x v="14"/>
    <x v="2"/>
    <x v="3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1:取得顧客作業"/>
    <x v="15"/>
    <x v="1"/>
    <x v="2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1:取得顧客作業"/>
    <x v="15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1:取得顧客作業"/>
    <x v="16"/>
    <x v="1"/>
    <x v="2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1:取得顧客作業"/>
    <x v="16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3:售後服務作業"/>
    <x v="17"/>
    <x v="1"/>
    <x v="3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3:售後服務作業"/>
    <x v="17"/>
    <x v="1"/>
    <x v="3"/>
  </r>
  <r>
    <n v="2018"/>
    <x v="0"/>
    <s v="201803"/>
    <s v="Kelly Group"/>
    <s v="公隆化學股份有限公司"/>
    <s v="NASL10:新事業開發部"/>
    <x v="0"/>
    <x v="1"/>
    <n v="226366.95652099999"/>
    <n v="39.299818840500002"/>
    <n v="5760"/>
    <s v="N04:其他"/>
    <x v="18"/>
    <x v="1"/>
    <x v="4"/>
  </r>
  <r>
    <n v="2018"/>
    <x v="0"/>
    <s v="201803"/>
    <s v="Kelly Group"/>
    <s v="公隆化學股份有限公司"/>
    <s v="NASL10:新事業開發部"/>
    <x v="0"/>
    <x v="2"/>
    <n v="226366.95652099999"/>
    <n v="39.299818840599997"/>
    <n v="5760"/>
    <s v="N04:其他"/>
    <x v="18"/>
    <x v="1"/>
    <x v="4"/>
  </r>
  <r>
    <n v="2018"/>
    <x v="0"/>
    <s v="201803"/>
    <s v="Kelly Group"/>
    <s v="公隆化學股份有限公司"/>
    <s v="NASL10:新事業開發部"/>
    <x v="1"/>
    <x v="1"/>
    <n v="82956.261410999999"/>
    <n v="9.6014191447999995"/>
    <n v="8640"/>
    <s v="N04:其他"/>
    <x v="18"/>
    <x v="1"/>
    <x v="4"/>
  </r>
  <r>
    <n v="2018"/>
    <x v="0"/>
    <s v="201803"/>
    <s v="Kelly Group"/>
    <s v="公隆化學股份有限公司"/>
    <s v="NASL10:新事業開發部"/>
    <x v="1"/>
    <x v="2"/>
    <n v="83129.086955999999"/>
    <n v="9.6214221014000003"/>
    <n v="8640"/>
    <s v="N04:其他"/>
    <x v="18"/>
    <x v="1"/>
    <x v="4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1:取得顧客作業"/>
    <x v="19"/>
    <x v="1"/>
    <x v="2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1:取得顧客作業"/>
    <x v="19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4:其他"/>
    <x v="20"/>
    <x v="1"/>
    <x v="4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4:其他"/>
    <x v="20"/>
    <x v="1"/>
    <x v="4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1:取得顧客作業"/>
    <x v="21"/>
    <x v="1"/>
    <x v="2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1:取得顧客作業"/>
    <x v="21"/>
    <x v="1"/>
    <x v="2"/>
  </r>
  <r>
    <n v="2018"/>
    <x v="0"/>
    <s v="201803"/>
    <s v="Kelly Group"/>
    <s v="公隆化學股份有限公司"/>
    <s v="NASL10:新事業開發部"/>
    <x v="0"/>
    <x v="2"/>
    <n v="0"/>
    <n v="39.299818840599997"/>
    <n v="0"/>
    <s v="N03:售後服務作業"/>
    <x v="22"/>
    <x v="1"/>
    <x v="3"/>
  </r>
  <r>
    <n v="2018"/>
    <x v="0"/>
    <s v="201803"/>
    <s v="Kelly Group"/>
    <s v="公隆化學股份有限公司"/>
    <s v="NASL10:新事業開發部"/>
    <x v="1"/>
    <x v="2"/>
    <n v="0"/>
    <n v="9.6214221014000003"/>
    <n v="0"/>
    <s v="N03:售後服務作業"/>
    <x v="22"/>
    <x v="1"/>
    <x v="3"/>
  </r>
  <r>
    <n v="2018"/>
    <x v="1"/>
    <s v="201804"/>
    <s v="Kelly Group"/>
    <s v="公隆化學股份有限公司"/>
    <s v="NASL10:新事業開發部"/>
    <x v="0"/>
    <x v="1"/>
    <n v="0"/>
    <n v="75.274537037000002"/>
    <n v="0"/>
    <s v="N03:售後服務作業"/>
    <x v="22"/>
    <x v="1"/>
    <x v="3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3:售後服務作業"/>
    <x v="22"/>
    <x v="1"/>
    <x v="3"/>
  </r>
  <r>
    <n v="2018"/>
    <x v="1"/>
    <s v="201804"/>
    <s v="Kelly Group"/>
    <s v="公隆化學股份有限公司"/>
    <s v="NASL10:新事業開發部"/>
    <x v="1"/>
    <x v="1"/>
    <n v="802.10454500000003"/>
    <n v="12.7318181818"/>
    <n v="63"/>
    <s v="N03:售後服務作業"/>
    <x v="22"/>
    <x v="1"/>
    <x v="3"/>
  </r>
  <r>
    <n v="2018"/>
    <x v="1"/>
    <s v="201804"/>
    <s v="Kelly Group"/>
    <s v="公隆化學股份有限公司"/>
    <s v="NASL10:新事業開發部"/>
    <x v="1"/>
    <x v="2"/>
    <n v="802.10454500000003"/>
    <n v="12.7318181818"/>
    <n v="63"/>
    <s v="N03:售後服務作業"/>
    <x v="22"/>
    <x v="1"/>
    <x v="3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21"/>
    <x v="1"/>
    <x v="2"/>
  </r>
  <r>
    <n v="2018"/>
    <x v="1"/>
    <s v="201804"/>
    <s v="Kelly Group"/>
    <s v="公隆化學股份有限公司"/>
    <s v="NASL10:新事業開發部"/>
    <x v="1"/>
    <x v="2"/>
    <n v="0"/>
    <n v="12.7318181818"/>
    <n v="0"/>
    <s v="N01:取得顧客作業"/>
    <x v="21"/>
    <x v="1"/>
    <x v="2"/>
  </r>
  <r>
    <n v="2018"/>
    <x v="1"/>
    <s v="201804"/>
    <s v="Kelly Group"/>
    <s v="公隆化學股份有限公司"/>
    <s v="NASL10:新事業開發部"/>
    <x v="0"/>
    <x v="1"/>
    <n v="10312.611574"/>
    <n v="75.274537037000002"/>
    <n v="137"/>
    <s v="N04:其他"/>
    <x v="20"/>
    <x v="1"/>
    <x v="4"/>
  </r>
  <r>
    <n v="2018"/>
    <x v="1"/>
    <s v="201804"/>
    <s v="Kelly Group"/>
    <s v="公隆化學股份有限公司"/>
    <s v="NASL10:新事業開發部"/>
    <x v="0"/>
    <x v="2"/>
    <n v="10312.611574"/>
    <n v="75.274537037000002"/>
    <n v="137"/>
    <s v="N04:其他"/>
    <x v="20"/>
    <x v="1"/>
    <x v="4"/>
  </r>
  <r>
    <n v="2018"/>
    <x v="1"/>
    <s v="201804"/>
    <s v="Kelly Group"/>
    <s v="公隆化學股份有限公司"/>
    <s v="NASL10:新事業開發部"/>
    <x v="1"/>
    <x v="2"/>
    <n v="0"/>
    <n v="12.7318181818"/>
    <n v="0"/>
    <s v="N04:其他"/>
    <x v="20"/>
    <x v="1"/>
    <x v="4"/>
  </r>
  <r>
    <n v="2018"/>
    <x v="1"/>
    <s v="201804"/>
    <s v="Kelly Group"/>
    <s v="公隆化學股份有限公司"/>
    <s v="NASL10:新事業開發部"/>
    <x v="0"/>
    <x v="1"/>
    <n v="4140.0995370000001"/>
    <n v="75.274537037000002"/>
    <n v="55"/>
    <s v="N01:取得顧客作業"/>
    <x v="19"/>
    <x v="1"/>
    <x v="2"/>
  </r>
  <r>
    <n v="2018"/>
    <x v="1"/>
    <s v="201804"/>
    <s v="Kelly Group"/>
    <s v="公隆化學股份有限公司"/>
    <s v="NASL10:新事業開發部"/>
    <x v="0"/>
    <x v="2"/>
    <n v="4140.0995370000001"/>
    <n v="75.274537037000002"/>
    <n v="55"/>
    <s v="N01:取得顧客作業"/>
    <x v="19"/>
    <x v="1"/>
    <x v="2"/>
  </r>
  <r>
    <n v="2018"/>
    <x v="1"/>
    <s v="201804"/>
    <s v="Kelly Group"/>
    <s v="公隆化學股份有限公司"/>
    <s v="NASL10:新事業開發部"/>
    <x v="1"/>
    <x v="1"/>
    <n v="4456.1363629999996"/>
    <n v="12.7318181818"/>
    <n v="350"/>
    <s v="N01:取得顧客作業"/>
    <x v="19"/>
    <x v="1"/>
    <x v="2"/>
  </r>
  <r>
    <n v="2018"/>
    <x v="1"/>
    <s v="201804"/>
    <s v="Kelly Group"/>
    <s v="公隆化學股份有限公司"/>
    <s v="NASL10:新事業開發部"/>
    <x v="1"/>
    <x v="2"/>
    <n v="4456.1363629999996"/>
    <n v="12.7318181818"/>
    <n v="350"/>
    <s v="N01:取得顧客作業"/>
    <x v="19"/>
    <x v="1"/>
    <x v="2"/>
  </r>
  <r>
    <n v="2018"/>
    <x v="1"/>
    <s v="201804"/>
    <s v="Kelly Group"/>
    <s v="公隆化學股份有限公司"/>
    <s v="NASL10:新事業開發部"/>
    <x v="0"/>
    <x v="1"/>
    <n v="361317.77777699998"/>
    <n v="75.274537037000002"/>
    <n v="4800"/>
    <s v="N04:其他"/>
    <x v="18"/>
    <x v="1"/>
    <x v="4"/>
  </r>
  <r>
    <n v="2018"/>
    <x v="1"/>
    <s v="201804"/>
    <s v="Kelly Group"/>
    <s v="公隆化學股份有限公司"/>
    <s v="NASL10:新事業開發部"/>
    <x v="0"/>
    <x v="2"/>
    <n v="361317.77777699998"/>
    <n v="75.274537037000002"/>
    <n v="4800"/>
    <s v="N04:其他"/>
    <x v="18"/>
    <x v="1"/>
    <x v="4"/>
  </r>
  <r>
    <n v="2018"/>
    <x v="1"/>
    <s v="201804"/>
    <s v="Kelly Group"/>
    <s v="公隆化學股份有限公司"/>
    <s v="NASL10:新事業開發部"/>
    <x v="1"/>
    <x v="1"/>
    <n v="97780.363635999995"/>
    <n v="12.7318181818"/>
    <n v="7680"/>
    <s v="N04:其他"/>
    <x v="18"/>
    <x v="1"/>
    <x v="4"/>
  </r>
  <r>
    <n v="2018"/>
    <x v="1"/>
    <s v="201804"/>
    <s v="Kelly Group"/>
    <s v="公隆化學股份有限公司"/>
    <s v="NASL10:新事業開發部"/>
    <x v="1"/>
    <x v="2"/>
    <n v="97780.363635999995"/>
    <n v="12.7318181818"/>
    <n v="7680"/>
    <s v="N04:其他"/>
    <x v="18"/>
    <x v="1"/>
    <x v="4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3:售後服務作業"/>
    <x v="17"/>
    <x v="1"/>
    <x v="3"/>
  </r>
  <r>
    <n v="2018"/>
    <x v="1"/>
    <s v="201804"/>
    <s v="Kelly Group"/>
    <s v="公隆化學股份有限公司"/>
    <s v="NASL10:新事業開發部"/>
    <x v="1"/>
    <x v="2"/>
    <n v="0"/>
    <n v="12.7318181818"/>
    <n v="0"/>
    <s v="N03:售後服務作業"/>
    <x v="17"/>
    <x v="1"/>
    <x v="3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16"/>
    <x v="1"/>
    <x v="2"/>
  </r>
  <r>
    <n v="2018"/>
    <x v="1"/>
    <s v="201804"/>
    <s v="Kelly Group"/>
    <s v="公隆化學股份有限公司"/>
    <s v="NASL10:新事業開發部"/>
    <x v="1"/>
    <x v="2"/>
    <n v="0"/>
    <n v="12.7318181818"/>
    <n v="0"/>
    <s v="N01:取得顧客作業"/>
    <x v="16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15"/>
    <x v="1"/>
    <x v="2"/>
  </r>
  <r>
    <n v="2018"/>
    <x v="1"/>
    <s v="201804"/>
    <s v="Kelly Group"/>
    <s v="公隆化學股份有限公司"/>
    <s v="NASL10:新事業開發部"/>
    <x v="1"/>
    <x v="2"/>
    <n v="0"/>
    <n v="12.7318181818"/>
    <n v="0"/>
    <s v="N01:取得顧客作業"/>
    <x v="15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3:售後服務作業"/>
    <x v="14"/>
    <x v="2"/>
    <x v="3"/>
  </r>
  <r>
    <n v="2018"/>
    <x v="1"/>
    <s v="201804"/>
    <s v="Kelly Group"/>
    <s v="公隆化學股份有限公司"/>
    <s v="NASL10:新事業開發部"/>
    <x v="1"/>
    <x v="2"/>
    <n v="0"/>
    <n v="12.7318181818"/>
    <n v="0"/>
    <s v="N03:售後服務作業"/>
    <x v="14"/>
    <x v="2"/>
    <x v="3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3:售後服務作業"/>
    <x v="13"/>
    <x v="2"/>
    <x v="3"/>
  </r>
  <r>
    <n v="2018"/>
    <x v="1"/>
    <s v="201804"/>
    <s v="Kelly Group"/>
    <s v="公隆化學股份有限公司"/>
    <s v="NASL10:新事業開發部"/>
    <x v="1"/>
    <x v="1"/>
    <n v="3666.7636360000001"/>
    <n v="12.7318181818"/>
    <n v="288"/>
    <s v="N03:售後服務作業"/>
    <x v="13"/>
    <x v="2"/>
    <x v="3"/>
  </r>
  <r>
    <n v="2018"/>
    <x v="1"/>
    <s v="201804"/>
    <s v="Kelly Group"/>
    <s v="公隆化學股份有限公司"/>
    <s v="NASL10:新事業開發部"/>
    <x v="1"/>
    <x v="2"/>
    <n v="3666.7636360000001"/>
    <n v="12.7318181818"/>
    <n v="288"/>
    <s v="N03:售後服務作業"/>
    <x v="13"/>
    <x v="2"/>
    <x v="3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3:售後服務作業"/>
    <x v="12"/>
    <x v="1"/>
    <x v="3"/>
  </r>
  <r>
    <n v="2018"/>
    <x v="1"/>
    <s v="201804"/>
    <s v="Kelly Group"/>
    <s v="公隆化學股份有限公司"/>
    <s v="NASL10:新事業開發部"/>
    <x v="1"/>
    <x v="2"/>
    <n v="0"/>
    <n v="12.7318181818"/>
    <n v="0"/>
    <s v="N03:售後服務作業"/>
    <x v="12"/>
    <x v="1"/>
    <x v="3"/>
  </r>
  <r>
    <n v="2018"/>
    <x v="1"/>
    <s v="201804"/>
    <s v="Kelly Group"/>
    <s v="公隆化學股份有限公司"/>
    <s v="NASL10:新事業開發部"/>
    <x v="0"/>
    <x v="1"/>
    <n v="21076.870370000001"/>
    <n v="75.274537037000002"/>
    <n v="280"/>
    <s v="N01:取得顧客作業"/>
    <x v="11"/>
    <x v="1"/>
    <x v="2"/>
  </r>
  <r>
    <n v="2018"/>
    <x v="1"/>
    <s v="201804"/>
    <s v="Kelly Group"/>
    <s v="公隆化學股份有限公司"/>
    <s v="NASL10:新事業開發部"/>
    <x v="0"/>
    <x v="2"/>
    <n v="21076.870370000001"/>
    <n v="75.274537037000002"/>
    <n v="280"/>
    <s v="N01:取得顧客作業"/>
    <x v="11"/>
    <x v="1"/>
    <x v="2"/>
  </r>
  <r>
    <n v="2018"/>
    <x v="1"/>
    <s v="201804"/>
    <s v="Kelly Group"/>
    <s v="公隆化學股份有限公司"/>
    <s v="NASL10:新事業開發部"/>
    <x v="1"/>
    <x v="2"/>
    <n v="0"/>
    <n v="12.7318181818"/>
    <n v="0"/>
    <s v="N01:取得顧客作業"/>
    <x v="11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2:維持顧客作業"/>
    <x v="10"/>
    <x v="1"/>
    <x v="1"/>
  </r>
  <r>
    <n v="2018"/>
    <x v="1"/>
    <s v="201804"/>
    <s v="Kelly Group"/>
    <s v="公隆化學股份有限公司"/>
    <s v="NASL10:新事業開發部"/>
    <x v="1"/>
    <x v="2"/>
    <n v="0"/>
    <n v="12.7318181818"/>
    <n v="0"/>
    <s v="N02:維持顧客作業"/>
    <x v="10"/>
    <x v="1"/>
    <x v="1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9"/>
    <x v="1"/>
    <x v="2"/>
  </r>
  <r>
    <n v="2018"/>
    <x v="1"/>
    <s v="201804"/>
    <s v="Kelly Group"/>
    <s v="公隆化學股份有限公司"/>
    <s v="NASL10:新事業開發部"/>
    <x v="1"/>
    <x v="2"/>
    <n v="0"/>
    <n v="12.7318181818"/>
    <n v="0"/>
    <s v="N01:取得顧客作業"/>
    <x v="9"/>
    <x v="1"/>
    <x v="2"/>
  </r>
  <r>
    <n v="2018"/>
    <x v="1"/>
    <s v="201804"/>
    <s v="Kelly Group"/>
    <s v="公隆化學股份有限公司"/>
    <s v="NASL10:新事業開發部"/>
    <x v="0"/>
    <x v="1"/>
    <n v="87318.462962000005"/>
    <n v="75.274537037000002"/>
    <n v="1160"/>
    <s v="N01:取得顧客作業"/>
    <x v="8"/>
    <x v="1"/>
    <x v="2"/>
  </r>
  <r>
    <n v="2018"/>
    <x v="1"/>
    <s v="201804"/>
    <s v="Kelly Group"/>
    <s v="公隆化學股份有限公司"/>
    <s v="NASL10:新事業開發部"/>
    <x v="0"/>
    <x v="2"/>
    <n v="87318.462962000005"/>
    <n v="75.274537037000002"/>
    <n v="1160"/>
    <s v="N01:取得顧客作業"/>
    <x v="8"/>
    <x v="1"/>
    <x v="2"/>
  </r>
  <r>
    <n v="2018"/>
    <x v="1"/>
    <s v="201804"/>
    <s v="Kelly Group"/>
    <s v="公隆化學股份有限公司"/>
    <s v="NASL10:新事業開發部"/>
    <x v="1"/>
    <x v="2"/>
    <n v="0"/>
    <n v="12.7318181818"/>
    <n v="0"/>
    <s v="N01:取得顧客作業"/>
    <x v="8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3:售後服務作業"/>
    <x v="7"/>
    <x v="1"/>
    <x v="3"/>
  </r>
  <r>
    <n v="2018"/>
    <x v="1"/>
    <s v="201804"/>
    <s v="Kelly Group"/>
    <s v="公隆化學股份有限公司"/>
    <s v="NASL10:新事業開發部"/>
    <x v="1"/>
    <x v="2"/>
    <n v="0"/>
    <n v="12.7318181818"/>
    <n v="0"/>
    <s v="N03:售後服務作業"/>
    <x v="7"/>
    <x v="1"/>
    <x v="3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6"/>
    <x v="1"/>
    <x v="2"/>
  </r>
  <r>
    <n v="2018"/>
    <x v="1"/>
    <s v="201804"/>
    <s v="Kelly Group"/>
    <s v="公隆化學股份有限公司"/>
    <s v="NASL10:新事業開發部"/>
    <x v="1"/>
    <x v="1"/>
    <n v="5652.9272719999999"/>
    <n v="12.7318181818"/>
    <n v="444"/>
    <s v="N01:取得顧客作業"/>
    <x v="6"/>
    <x v="1"/>
    <x v="2"/>
  </r>
  <r>
    <n v="2018"/>
    <x v="1"/>
    <s v="201804"/>
    <s v="Kelly Group"/>
    <s v="公隆化學股份有限公司"/>
    <s v="NASL10:新事業開發部"/>
    <x v="1"/>
    <x v="2"/>
    <n v="5652.9272719999999"/>
    <n v="12.7318181818"/>
    <n v="444"/>
    <s v="N01:取得顧客作業"/>
    <x v="6"/>
    <x v="1"/>
    <x v="2"/>
  </r>
  <r>
    <n v="2018"/>
    <x v="1"/>
    <s v="201804"/>
    <s v="Kelly Group"/>
    <s v="公隆化學股份有限公司"/>
    <s v="NASL10:新事業開發部"/>
    <x v="0"/>
    <x v="1"/>
    <n v="166206.177777"/>
    <n v="75.274537037000002"/>
    <n v="2208"/>
    <s v="N01:取得顧客作業"/>
    <x v="5"/>
    <x v="1"/>
    <x v="2"/>
  </r>
  <r>
    <n v="2018"/>
    <x v="1"/>
    <s v="201804"/>
    <s v="Kelly Group"/>
    <s v="公隆化學股份有限公司"/>
    <s v="NASL10:新事業開發部"/>
    <x v="0"/>
    <x v="2"/>
    <n v="166206.177777"/>
    <n v="75.274537037000002"/>
    <n v="2208"/>
    <s v="N01:取得顧客作業"/>
    <x v="5"/>
    <x v="1"/>
    <x v="2"/>
  </r>
  <r>
    <n v="2018"/>
    <x v="1"/>
    <s v="201804"/>
    <s v="Kelly Group"/>
    <s v="公隆化學股份有限公司"/>
    <s v="NASL10:新事業開發部"/>
    <x v="1"/>
    <x v="1"/>
    <n v="6365.9090900000001"/>
    <n v="12.7318181818"/>
    <n v="500"/>
    <s v="N01:取得顧客作業"/>
    <x v="5"/>
    <x v="1"/>
    <x v="2"/>
  </r>
  <r>
    <n v="2018"/>
    <x v="1"/>
    <s v="201804"/>
    <s v="Kelly Group"/>
    <s v="公隆化學股份有限公司"/>
    <s v="NASL10:新事業開發部"/>
    <x v="1"/>
    <x v="2"/>
    <n v="6365.9090900000001"/>
    <n v="12.7318181818"/>
    <n v="500"/>
    <s v="N01:取得顧客作業"/>
    <x v="5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4"/>
    <x v="1"/>
    <x v="2"/>
  </r>
  <r>
    <n v="2018"/>
    <x v="1"/>
    <s v="201804"/>
    <s v="Kelly Group"/>
    <s v="公隆化學股份有限公司"/>
    <s v="NASL10:新事業開發部"/>
    <x v="1"/>
    <x v="1"/>
    <n v="20294.518180999999"/>
    <n v="12.7318181818"/>
    <n v="1594"/>
    <s v="N01:取得顧客作業"/>
    <x v="4"/>
    <x v="1"/>
    <x v="2"/>
  </r>
  <r>
    <n v="2018"/>
    <x v="1"/>
    <s v="201804"/>
    <s v="Kelly Group"/>
    <s v="公隆化學股份有限公司"/>
    <s v="NASL10:新事業開發部"/>
    <x v="1"/>
    <x v="2"/>
    <n v="20294.518180999999"/>
    <n v="12.7318181818"/>
    <n v="1594"/>
    <s v="N01:取得顧客作業"/>
    <x v="4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3"/>
    <x v="1"/>
    <x v="2"/>
  </r>
  <r>
    <n v="2018"/>
    <x v="1"/>
    <s v="201804"/>
    <s v="Kelly Group"/>
    <s v="公隆化學股份有限公司"/>
    <s v="NASL10:新事業開發部"/>
    <x v="1"/>
    <x v="1"/>
    <n v="35865.531818000003"/>
    <n v="12.7318181818"/>
    <n v="2817"/>
    <s v="N01:取得顧客作業"/>
    <x v="3"/>
    <x v="1"/>
    <x v="2"/>
  </r>
  <r>
    <n v="2018"/>
    <x v="1"/>
    <s v="201804"/>
    <s v="Kelly Group"/>
    <s v="公隆化學股份有限公司"/>
    <s v="NASL10:新事業開發部"/>
    <x v="1"/>
    <x v="2"/>
    <n v="35865.531818000003"/>
    <n v="12.7318181818"/>
    <n v="2817"/>
    <s v="N01:取得顧客作業"/>
    <x v="3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1:取得顧客作業"/>
    <x v="2"/>
    <x v="1"/>
    <x v="2"/>
  </r>
  <r>
    <n v="2018"/>
    <x v="1"/>
    <s v="201804"/>
    <s v="Kelly Group"/>
    <s v="公隆化學股份有限公司"/>
    <s v="NASL10:新事業開發部"/>
    <x v="1"/>
    <x v="1"/>
    <n v="9637.986363"/>
    <n v="12.7318181818"/>
    <n v="757"/>
    <s v="N01:取得顧客作業"/>
    <x v="2"/>
    <x v="1"/>
    <x v="2"/>
  </r>
  <r>
    <n v="2018"/>
    <x v="1"/>
    <s v="201804"/>
    <s v="Kelly Group"/>
    <s v="公隆化學股份有限公司"/>
    <s v="NASL10:新事業開發部"/>
    <x v="1"/>
    <x v="2"/>
    <n v="9637.986363"/>
    <n v="12.7318181818"/>
    <n v="757"/>
    <s v="N01:取得顧客作業"/>
    <x v="2"/>
    <x v="1"/>
    <x v="2"/>
  </r>
  <r>
    <n v="2018"/>
    <x v="1"/>
    <s v="201804"/>
    <s v="Kelly Group"/>
    <s v="公隆化學股份有限公司"/>
    <s v="NASL10:新事業開發部"/>
    <x v="0"/>
    <x v="2"/>
    <n v="0"/>
    <n v="75.274537037000002"/>
    <n v="0"/>
    <s v="N02:維持顧客作業"/>
    <x v="1"/>
    <x v="1"/>
    <x v="1"/>
  </r>
  <r>
    <n v="2018"/>
    <x v="1"/>
    <s v="201804"/>
    <s v="Kelly Group"/>
    <s v="公隆化學股份有限公司"/>
    <s v="NASL10:新事業開發部"/>
    <x v="1"/>
    <x v="1"/>
    <n v="17149.75909"/>
    <n v="12.7318181818"/>
    <n v="1347"/>
    <s v="N02:維持顧客作業"/>
    <x v="1"/>
    <x v="1"/>
    <x v="1"/>
  </r>
  <r>
    <n v="2018"/>
    <x v="1"/>
    <s v="201804"/>
    <s v="Kelly Group"/>
    <s v="公隆化學股份有限公司"/>
    <s v="NASL10:新事業開發部"/>
    <x v="1"/>
    <x v="2"/>
    <n v="17149.75909"/>
    <n v="12.7318181818"/>
    <n v="1347"/>
    <s v="N02:維持顧客作業"/>
    <x v="1"/>
    <x v="1"/>
    <x v="1"/>
  </r>
  <r>
    <n v="2018"/>
    <x v="1"/>
    <s v="201804"/>
    <s v="Kelly Group"/>
    <s v="公隆化學股份有限公司"/>
    <s v="NASL10:新事業開發部"/>
    <x v="0"/>
    <x v="0"/>
    <n v="65037.199998999997"/>
    <n v="75.274537037000002"/>
    <n v="864"/>
    <s v="N04:其他"/>
    <x v="0"/>
    <x v="0"/>
    <x v="0"/>
  </r>
  <r>
    <n v="2018"/>
    <x v="1"/>
    <s v="201804"/>
    <s v="Kelly Group"/>
    <s v="公隆化學股份有限公司"/>
    <s v="NASL10:新事業開發部"/>
    <x v="1"/>
    <x v="0"/>
    <n v="36300.959998999999"/>
    <n v="12.7318181818"/>
    <n v="2851.2"/>
    <s v="N04:其他"/>
    <x v="0"/>
    <x v="0"/>
    <x v="0"/>
  </r>
  <r>
    <n v="2018"/>
    <x v="1"/>
    <s v="201804"/>
    <s v="Kelly Group"/>
    <s v="公隆化學股份有限公司"/>
    <s v="NASL10:新事業開發部"/>
    <x v="0"/>
    <x v="0"/>
    <n v="195111.599999"/>
    <n v="75.274537037000002"/>
    <n v="2592"/>
    <s v="N03:售後服務作業"/>
    <x v="0"/>
    <x v="0"/>
    <x v="0"/>
  </r>
  <r>
    <n v="2018"/>
    <x v="1"/>
    <s v="201804"/>
    <s v="Kelly Group"/>
    <s v="公隆化學股份有限公司"/>
    <s v="NASL10:新事業開發部"/>
    <x v="1"/>
    <x v="0"/>
    <n v="32267.519999"/>
    <n v="12.7318181818"/>
    <n v="2534.4"/>
    <s v="N03:售後服務作業"/>
    <x v="0"/>
    <x v="0"/>
    <x v="0"/>
  </r>
  <r>
    <n v="2018"/>
    <x v="1"/>
    <s v="201804"/>
    <s v="Kelly Group"/>
    <s v="公隆化學股份有限公司"/>
    <s v="NASL10:新事業開發部"/>
    <x v="0"/>
    <x v="0"/>
    <n v="130074.399999"/>
    <n v="75.274537037000002"/>
    <n v="1728"/>
    <s v="N02:維持顧客作業"/>
    <x v="0"/>
    <x v="0"/>
    <x v="0"/>
  </r>
  <r>
    <n v="2018"/>
    <x v="1"/>
    <s v="201804"/>
    <s v="Kelly Group"/>
    <s v="公隆化學股份有限公司"/>
    <s v="NASL10:新事業開發部"/>
    <x v="1"/>
    <x v="0"/>
    <n v="32267.52"/>
    <n v="12.7318181818"/>
    <n v="2534.4"/>
    <s v="N02:維持顧客作業"/>
    <x v="0"/>
    <x v="0"/>
    <x v="0"/>
  </r>
  <r>
    <n v="2018"/>
    <x v="1"/>
    <s v="201804"/>
    <s v="Kelly Group"/>
    <s v="公隆化學股份有限公司"/>
    <s v="NASL10:新事業開發部"/>
    <x v="0"/>
    <x v="0"/>
    <n v="260148.8"/>
    <n v="75.274537037000002"/>
    <n v="3456"/>
    <s v="N01:取得顧客作業"/>
    <x v="0"/>
    <x v="0"/>
    <x v="0"/>
  </r>
  <r>
    <n v="2018"/>
    <x v="1"/>
    <s v="201804"/>
    <s v="Kelly Group"/>
    <s v="公隆化學股份有限公司"/>
    <s v="NASL10:新事業開發部"/>
    <x v="1"/>
    <x v="0"/>
    <n v="100835.99999900001"/>
    <n v="12.7318181818"/>
    <n v="7920"/>
    <s v="N01:取得顧客作業"/>
    <x v="0"/>
    <x v="0"/>
    <x v="0"/>
  </r>
  <r>
    <n v="2018"/>
    <x v="2"/>
    <s v="201805"/>
    <s v="Kelly Group"/>
    <s v="公隆化學股份有限公司"/>
    <s v="NASL10:新事業開發部"/>
    <x v="0"/>
    <x v="0"/>
    <n v="209931.99999899999"/>
    <n v="49.699810606100002"/>
    <n v="4224"/>
    <s v="N01:取得顧客作業"/>
    <x v="0"/>
    <x v="0"/>
    <x v="0"/>
  </r>
  <r>
    <n v="2018"/>
    <x v="2"/>
    <s v="201805"/>
    <s v="Kelly Group"/>
    <s v="公隆化學股份有限公司"/>
    <s v="NASL10:新事業開發部"/>
    <x v="1"/>
    <x v="0"/>
    <n v="81403.499999000007"/>
    <n v="8.2727134146000001"/>
    <n v="9840"/>
    <s v="N01:取得顧客作業"/>
    <x v="0"/>
    <x v="0"/>
    <x v="0"/>
  </r>
  <r>
    <n v="2018"/>
    <x v="2"/>
    <s v="201805"/>
    <s v="Kelly Group"/>
    <s v="公隆化學股份有限公司"/>
    <s v="NASL10:新事業開發部"/>
    <x v="0"/>
    <x v="0"/>
    <n v="104966"/>
    <n v="49.699810606100002"/>
    <n v="2112"/>
    <s v="N02:維持顧客作業"/>
    <x v="0"/>
    <x v="0"/>
    <x v="0"/>
  </r>
  <r>
    <n v="2018"/>
    <x v="2"/>
    <s v="201805"/>
    <s v="Kelly Group"/>
    <s v="公隆化學股份有限公司"/>
    <s v="NASL10:新事業開發部"/>
    <x v="1"/>
    <x v="0"/>
    <n v="26049.119998999999"/>
    <n v="8.2727134146000001"/>
    <n v="3148.8"/>
    <s v="N02:維持顧客作業"/>
    <x v="0"/>
    <x v="0"/>
    <x v="0"/>
  </r>
  <r>
    <n v="2018"/>
    <x v="2"/>
    <s v="201805"/>
    <s v="Kelly Group"/>
    <s v="公隆化學股份有限公司"/>
    <s v="NASL10:新事業開發部"/>
    <x v="0"/>
    <x v="0"/>
    <n v="157449"/>
    <n v="49.699810606100002"/>
    <n v="3168"/>
    <s v="N03:售後服務作業"/>
    <x v="0"/>
    <x v="0"/>
    <x v="0"/>
  </r>
  <r>
    <n v="2018"/>
    <x v="2"/>
    <s v="201805"/>
    <s v="Kelly Group"/>
    <s v="公隆化學股份有限公司"/>
    <s v="NASL10:新事業開發部"/>
    <x v="1"/>
    <x v="0"/>
    <n v="26049.119998999999"/>
    <n v="8.2727134146000001"/>
    <n v="3148.8"/>
    <s v="N03:售後服務作業"/>
    <x v="0"/>
    <x v="0"/>
    <x v="0"/>
  </r>
  <r>
    <n v="2018"/>
    <x v="2"/>
    <s v="201805"/>
    <s v="Kelly Group"/>
    <s v="公隆化學股份有限公司"/>
    <s v="NASL10:新事業開發部"/>
    <x v="0"/>
    <x v="0"/>
    <n v="52483"/>
    <n v="49.699810606100002"/>
    <n v="1056"/>
    <s v="N04:其他"/>
    <x v="0"/>
    <x v="0"/>
    <x v="0"/>
  </r>
  <r>
    <n v="2018"/>
    <x v="2"/>
    <s v="201805"/>
    <s v="Kelly Group"/>
    <s v="公隆化學股份有限公司"/>
    <s v="NASL10:新事業開發部"/>
    <x v="1"/>
    <x v="0"/>
    <n v="29305.26"/>
    <n v="8.2727134146000001"/>
    <n v="3542.4"/>
    <s v="N04:其他"/>
    <x v="0"/>
    <x v="0"/>
    <x v="0"/>
  </r>
  <r>
    <n v="2018"/>
    <x v="2"/>
    <s v="201805"/>
    <s v="Kelly Group"/>
    <s v="公隆化學股份有限公司"/>
    <s v="NASL10:新事業開發部"/>
    <x v="0"/>
    <x v="1"/>
    <n v="38964.651514999998"/>
    <n v="49.699810606"/>
    <n v="784"/>
    <s v="N02:維持顧客作業"/>
    <x v="1"/>
    <x v="1"/>
    <x v="1"/>
  </r>
  <r>
    <n v="2018"/>
    <x v="2"/>
    <s v="201805"/>
    <s v="Kelly Group"/>
    <s v="公隆化學股份有限公司"/>
    <s v="NASL10:新事業開發部"/>
    <x v="0"/>
    <x v="2"/>
    <n v="38964.651514999998"/>
    <n v="49.699810606100002"/>
    <n v="784"/>
    <s v="N02:維持顧客作業"/>
    <x v="1"/>
    <x v="1"/>
    <x v="1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2:維持顧客作業"/>
    <x v="1"/>
    <x v="1"/>
    <x v="1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1:取得顧客作業"/>
    <x v="2"/>
    <x v="1"/>
    <x v="2"/>
  </r>
  <r>
    <n v="2018"/>
    <x v="2"/>
    <s v="201805"/>
    <s v="Kelly Group"/>
    <s v="公隆化學股份有限公司"/>
    <s v="NASL10:新事業開發部"/>
    <x v="1"/>
    <x v="1"/>
    <n v="3970.902439"/>
    <n v="8.2727134146000001"/>
    <n v="480"/>
    <s v="N01:取得顧客作業"/>
    <x v="2"/>
    <x v="1"/>
    <x v="2"/>
  </r>
  <r>
    <n v="2018"/>
    <x v="2"/>
    <s v="201805"/>
    <s v="Kelly Group"/>
    <s v="公隆化學股份有限公司"/>
    <s v="NASL10:新事業開發部"/>
    <x v="1"/>
    <x v="2"/>
    <n v="3970.902439"/>
    <n v="8.2727134146000001"/>
    <n v="480"/>
    <s v="N01:取得顧客作業"/>
    <x v="2"/>
    <x v="1"/>
    <x v="2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1:取得顧客作業"/>
    <x v="3"/>
    <x v="1"/>
    <x v="2"/>
  </r>
  <r>
    <n v="2018"/>
    <x v="2"/>
    <s v="201805"/>
    <s v="Kelly Group"/>
    <s v="公隆化學股份有限公司"/>
    <s v="NASL10:新事業開發部"/>
    <x v="1"/>
    <x v="1"/>
    <n v="32106.400762000001"/>
    <n v="8.2727134146000001"/>
    <n v="3881"/>
    <s v="N01:取得顧客作業"/>
    <x v="3"/>
    <x v="1"/>
    <x v="2"/>
  </r>
  <r>
    <n v="2018"/>
    <x v="2"/>
    <s v="201805"/>
    <s v="Kelly Group"/>
    <s v="公隆化學股份有限公司"/>
    <s v="NASL10:新事業開發部"/>
    <x v="1"/>
    <x v="2"/>
    <n v="32106.400762000001"/>
    <n v="8.2727134146000001"/>
    <n v="3881"/>
    <s v="N01:取得顧客作業"/>
    <x v="3"/>
    <x v="1"/>
    <x v="2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1:取得顧客作業"/>
    <x v="4"/>
    <x v="1"/>
    <x v="2"/>
  </r>
  <r>
    <n v="2018"/>
    <x v="2"/>
    <s v="201805"/>
    <s v="Kelly Group"/>
    <s v="公隆化學股份有限公司"/>
    <s v="NASL10:新事業開發部"/>
    <x v="1"/>
    <x v="1"/>
    <n v="26472.682926000001"/>
    <n v="8.2727134146000001"/>
    <n v="3200"/>
    <s v="N01:取得顧客作業"/>
    <x v="4"/>
    <x v="1"/>
    <x v="2"/>
  </r>
  <r>
    <n v="2018"/>
    <x v="2"/>
    <s v="201805"/>
    <s v="Kelly Group"/>
    <s v="公隆化學股份有限公司"/>
    <s v="NASL10:新事業開發部"/>
    <x v="1"/>
    <x v="2"/>
    <n v="26472.682926000001"/>
    <n v="8.2727134146000001"/>
    <n v="3200"/>
    <s v="N01:取得顧客作業"/>
    <x v="4"/>
    <x v="1"/>
    <x v="2"/>
  </r>
  <r>
    <n v="2018"/>
    <x v="2"/>
    <s v="201805"/>
    <s v="Kelly Group"/>
    <s v="公隆化學股份有限公司"/>
    <s v="NASL10:新事業開發部"/>
    <x v="0"/>
    <x v="1"/>
    <n v="40803.544506999999"/>
    <n v="49.699810606"/>
    <n v="821"/>
    <s v="N01:取得顧客作業"/>
    <x v="5"/>
    <x v="1"/>
    <x v="2"/>
  </r>
  <r>
    <n v="2018"/>
    <x v="2"/>
    <s v="201805"/>
    <s v="Kelly Group"/>
    <s v="公隆化學股份有限公司"/>
    <s v="NASL10:新事業開發部"/>
    <x v="0"/>
    <x v="2"/>
    <n v="40803.544506999999"/>
    <n v="49.699810606100002"/>
    <n v="821"/>
    <s v="N01:取得顧客作業"/>
    <x v="5"/>
    <x v="1"/>
    <x v="2"/>
  </r>
  <r>
    <n v="2018"/>
    <x v="2"/>
    <s v="201805"/>
    <s v="Kelly Group"/>
    <s v="公隆化學股份有限公司"/>
    <s v="NASL10:新事業開發部"/>
    <x v="1"/>
    <x v="1"/>
    <n v="17132.789481"/>
    <n v="8.2727134146000001"/>
    <n v="2071"/>
    <s v="N01:取得顧客作業"/>
    <x v="5"/>
    <x v="1"/>
    <x v="2"/>
  </r>
  <r>
    <n v="2018"/>
    <x v="2"/>
    <s v="201805"/>
    <s v="Kelly Group"/>
    <s v="公隆化學股份有限公司"/>
    <s v="NASL10:新事業開發部"/>
    <x v="1"/>
    <x v="2"/>
    <n v="17132.789481"/>
    <n v="8.2727134146000001"/>
    <n v="2071"/>
    <s v="N01:取得顧客作業"/>
    <x v="5"/>
    <x v="1"/>
    <x v="2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1:取得顧客作業"/>
    <x v="6"/>
    <x v="1"/>
    <x v="2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1:取得顧客作業"/>
    <x v="6"/>
    <x v="1"/>
    <x v="2"/>
  </r>
  <r>
    <n v="2018"/>
    <x v="2"/>
    <s v="201805"/>
    <s v="Kelly Group"/>
    <s v="公隆化學股份有限公司"/>
    <s v="NASL10:新事業開發部"/>
    <x v="0"/>
    <x v="1"/>
    <n v="2882.589015"/>
    <n v="49.699810606"/>
    <n v="58"/>
    <s v="N03:售後服務作業"/>
    <x v="7"/>
    <x v="1"/>
    <x v="3"/>
  </r>
  <r>
    <n v="2018"/>
    <x v="2"/>
    <s v="201805"/>
    <s v="Kelly Group"/>
    <s v="公隆化學股份有限公司"/>
    <s v="NASL10:新事業開發部"/>
    <x v="0"/>
    <x v="2"/>
    <n v="2882.589015"/>
    <n v="49.699810606100002"/>
    <n v="58"/>
    <s v="N03:售後服務作業"/>
    <x v="7"/>
    <x v="1"/>
    <x v="3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3:售後服務作業"/>
    <x v="7"/>
    <x v="1"/>
    <x v="3"/>
  </r>
  <r>
    <n v="2018"/>
    <x v="2"/>
    <s v="201805"/>
    <s v="Kelly Group"/>
    <s v="公隆化學股份有限公司"/>
    <s v="NASL10:新事業開發部"/>
    <x v="0"/>
    <x v="1"/>
    <n v="70822.230112999998"/>
    <n v="49.699810606"/>
    <n v="1425"/>
    <s v="N01:取得顧客作業"/>
    <x v="8"/>
    <x v="1"/>
    <x v="2"/>
  </r>
  <r>
    <n v="2018"/>
    <x v="2"/>
    <s v="201805"/>
    <s v="Kelly Group"/>
    <s v="公隆化學股份有限公司"/>
    <s v="NASL10:新事業開發部"/>
    <x v="0"/>
    <x v="2"/>
    <n v="70822.230112999998"/>
    <n v="49.699810606100002"/>
    <n v="1425"/>
    <s v="N01:取得顧客作業"/>
    <x v="8"/>
    <x v="1"/>
    <x v="2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1:取得顧客作業"/>
    <x v="8"/>
    <x v="1"/>
    <x v="2"/>
  </r>
  <r>
    <n v="2018"/>
    <x v="2"/>
    <s v="201805"/>
    <s v="Kelly Group"/>
    <s v="公隆化學股份有限公司"/>
    <s v="NASL10:新事業開發部"/>
    <x v="0"/>
    <x v="1"/>
    <n v="20873.920453999999"/>
    <n v="49.699810606"/>
    <n v="420"/>
    <s v="N01:取得顧客作業"/>
    <x v="9"/>
    <x v="1"/>
    <x v="2"/>
  </r>
  <r>
    <n v="2018"/>
    <x v="2"/>
    <s v="201805"/>
    <s v="Kelly Group"/>
    <s v="公隆化學股份有限公司"/>
    <s v="NASL10:新事業開發部"/>
    <x v="0"/>
    <x v="2"/>
    <n v="20873.920453999999"/>
    <n v="49.699810606100002"/>
    <n v="420"/>
    <s v="N01:取得顧客作業"/>
    <x v="9"/>
    <x v="1"/>
    <x v="2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1:取得顧客作業"/>
    <x v="9"/>
    <x v="1"/>
    <x v="2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2:維持顧客作業"/>
    <x v="10"/>
    <x v="1"/>
    <x v="1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2:維持顧客作業"/>
    <x v="10"/>
    <x v="1"/>
    <x v="1"/>
  </r>
  <r>
    <n v="2018"/>
    <x v="2"/>
    <s v="201805"/>
    <s v="Kelly Group"/>
    <s v="公隆化學股份有限公司"/>
    <s v="NASL10:新事業開發部"/>
    <x v="0"/>
    <x v="1"/>
    <n v="13518.348484"/>
    <n v="49.699810606"/>
    <n v="272"/>
    <s v="N01:取得顧客作業"/>
    <x v="11"/>
    <x v="1"/>
    <x v="2"/>
  </r>
  <r>
    <n v="2018"/>
    <x v="2"/>
    <s v="201805"/>
    <s v="Kelly Group"/>
    <s v="公隆化學股份有限公司"/>
    <s v="NASL10:新事業開發部"/>
    <x v="0"/>
    <x v="2"/>
    <n v="13518.348484"/>
    <n v="49.699810606100002"/>
    <n v="272"/>
    <s v="N01:取得顧客作業"/>
    <x v="11"/>
    <x v="1"/>
    <x v="2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1:取得顧客作業"/>
    <x v="11"/>
    <x v="1"/>
    <x v="2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3:售後服務作業"/>
    <x v="12"/>
    <x v="1"/>
    <x v="3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3:售後服務作業"/>
    <x v="12"/>
    <x v="1"/>
    <x v="3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3:售後服務作業"/>
    <x v="13"/>
    <x v="2"/>
    <x v="3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3:售後服務作業"/>
    <x v="13"/>
    <x v="2"/>
    <x v="3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3:售後服務作業"/>
    <x v="14"/>
    <x v="2"/>
    <x v="3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3:售後服務作業"/>
    <x v="14"/>
    <x v="2"/>
    <x v="3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1:取得顧客作業"/>
    <x v="15"/>
    <x v="1"/>
    <x v="2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1:取得顧客作業"/>
    <x v="15"/>
    <x v="1"/>
    <x v="2"/>
  </r>
  <r>
    <n v="2018"/>
    <x v="2"/>
    <s v="201805"/>
    <s v="Kelly Group"/>
    <s v="公隆化學股份有限公司"/>
    <s v="NASL10:新事業開發部"/>
    <x v="0"/>
    <x v="1"/>
    <n v="23855.909090000001"/>
    <n v="49.699810606"/>
    <n v="480"/>
    <s v="N01:取得顧客作業"/>
    <x v="16"/>
    <x v="1"/>
    <x v="2"/>
  </r>
  <r>
    <n v="2018"/>
    <x v="2"/>
    <s v="201805"/>
    <s v="Kelly Group"/>
    <s v="公隆化學股份有限公司"/>
    <s v="NASL10:新事業開發部"/>
    <x v="0"/>
    <x v="2"/>
    <n v="23855.909090000001"/>
    <n v="49.699810606100002"/>
    <n v="480"/>
    <s v="N01:取得顧客作業"/>
    <x v="16"/>
    <x v="1"/>
    <x v="2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1:取得顧客作業"/>
    <x v="16"/>
    <x v="1"/>
    <x v="2"/>
  </r>
  <r>
    <n v="2018"/>
    <x v="2"/>
    <s v="201805"/>
    <s v="Kelly Group"/>
    <s v="公隆化學股份有限公司"/>
    <s v="NASL10:新事業開發部"/>
    <x v="0"/>
    <x v="1"/>
    <n v="2981.988636"/>
    <n v="49.699810606"/>
    <n v="60"/>
    <s v="N03:售後服務作業"/>
    <x v="17"/>
    <x v="1"/>
    <x v="3"/>
  </r>
  <r>
    <n v="2018"/>
    <x v="2"/>
    <s v="201805"/>
    <s v="Kelly Group"/>
    <s v="公隆化學股份有限公司"/>
    <s v="NASL10:新事業開發部"/>
    <x v="0"/>
    <x v="2"/>
    <n v="2981.988636"/>
    <n v="49.699810606100002"/>
    <n v="60"/>
    <s v="N03:售後服務作業"/>
    <x v="17"/>
    <x v="1"/>
    <x v="3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3:售後服務作業"/>
    <x v="17"/>
    <x v="1"/>
    <x v="3"/>
  </r>
  <r>
    <n v="2018"/>
    <x v="2"/>
    <s v="201805"/>
    <s v="Kelly Group"/>
    <s v="公隆化學股份有限公司"/>
    <s v="NASL10:新事業開發部"/>
    <x v="0"/>
    <x v="1"/>
    <n v="310126.81818100001"/>
    <n v="49.699810606"/>
    <n v="6240"/>
    <s v="N04:其他"/>
    <x v="18"/>
    <x v="1"/>
    <x v="4"/>
  </r>
  <r>
    <n v="2018"/>
    <x v="2"/>
    <s v="201805"/>
    <s v="Kelly Group"/>
    <s v="公隆化學股份有限公司"/>
    <s v="NASL10:新事業開發部"/>
    <x v="0"/>
    <x v="2"/>
    <n v="310126.81818200002"/>
    <n v="49.699810606100002"/>
    <n v="6240"/>
    <s v="N04:其他"/>
    <x v="18"/>
    <x v="1"/>
    <x v="4"/>
  </r>
  <r>
    <n v="2018"/>
    <x v="2"/>
    <s v="201805"/>
    <s v="Kelly Group"/>
    <s v="公隆化學股份有限公司"/>
    <s v="NASL10:新事業開發部"/>
    <x v="1"/>
    <x v="1"/>
    <n v="79418.048779999997"/>
    <n v="8.2727134146000001"/>
    <n v="9600"/>
    <s v="N04:其他"/>
    <x v="18"/>
    <x v="1"/>
    <x v="4"/>
  </r>
  <r>
    <n v="2018"/>
    <x v="2"/>
    <s v="201805"/>
    <s v="Kelly Group"/>
    <s v="公隆化學股份有限公司"/>
    <s v="NASL10:新事業開發部"/>
    <x v="1"/>
    <x v="2"/>
    <n v="79418.048779999997"/>
    <n v="8.2727134146000001"/>
    <n v="9600"/>
    <s v="N04:其他"/>
    <x v="18"/>
    <x v="1"/>
    <x v="4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1:取得顧客作業"/>
    <x v="19"/>
    <x v="1"/>
    <x v="2"/>
  </r>
  <r>
    <n v="2018"/>
    <x v="2"/>
    <s v="201805"/>
    <s v="Kelly Group"/>
    <s v="公隆化學股份有限公司"/>
    <s v="NASL10:新事業開發部"/>
    <x v="1"/>
    <x v="1"/>
    <n v="3706.1756089999999"/>
    <n v="8.2727134146000001"/>
    <n v="448"/>
    <s v="N01:取得顧客作業"/>
    <x v="19"/>
    <x v="1"/>
    <x v="2"/>
  </r>
  <r>
    <n v="2018"/>
    <x v="2"/>
    <s v="201805"/>
    <s v="Kelly Group"/>
    <s v="公隆化學股份有限公司"/>
    <s v="NASL10:新事業開發部"/>
    <x v="1"/>
    <x v="2"/>
    <n v="3706.1756089999999"/>
    <n v="8.2727134146000001"/>
    <n v="448"/>
    <s v="N01:取得顧客作業"/>
    <x v="19"/>
    <x v="1"/>
    <x v="2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4:其他"/>
    <x v="20"/>
    <x v="1"/>
    <x v="4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4:其他"/>
    <x v="20"/>
    <x v="1"/>
    <x v="4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1:取得顧客作業"/>
    <x v="21"/>
    <x v="1"/>
    <x v="2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1:取得顧客作業"/>
    <x v="21"/>
    <x v="1"/>
    <x v="2"/>
  </r>
  <r>
    <n v="2018"/>
    <x v="2"/>
    <s v="201805"/>
    <s v="Kelly Group"/>
    <s v="公隆化學股份有限公司"/>
    <s v="NASL10:新事業開發部"/>
    <x v="0"/>
    <x v="2"/>
    <n v="0"/>
    <n v="49.699810606100002"/>
    <n v="0"/>
    <s v="N03:售後服務作業"/>
    <x v="22"/>
    <x v="1"/>
    <x v="3"/>
  </r>
  <r>
    <n v="2018"/>
    <x v="2"/>
    <s v="201805"/>
    <s v="Kelly Group"/>
    <s v="公隆化學股份有限公司"/>
    <s v="NASL10:新事業開發部"/>
    <x v="1"/>
    <x v="2"/>
    <n v="0"/>
    <n v="8.2727134146000001"/>
    <n v="0"/>
    <s v="N03:售後服務作業"/>
    <x v="22"/>
    <x v="1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4">
  <r>
    <n v="2018"/>
    <x v="0"/>
    <s v="201803"/>
    <s v="Kelly Group"/>
    <s v="公隆化學股份有限公司"/>
    <s v="NASL11:製程化學課"/>
    <s v="NASL10:新事業開發部"/>
    <x v="0"/>
    <s v="MAN POWER"/>
    <x v="0"/>
    <n v="39.299818840599997"/>
    <n v="39.299818840500002"/>
    <n v="1104"/>
    <n v="5760"/>
    <n v="43387.000000022403"/>
    <n v="226366.95652099999"/>
    <n v="-4656"/>
  </r>
  <r>
    <n v="2018"/>
    <x v="0"/>
    <s v="201803"/>
    <s v="Kelly Group"/>
    <s v="公隆化學股份有限公司"/>
    <s v="NASL11:製程化學課"/>
    <s v="NASL10:新事業開發部"/>
    <x v="0"/>
    <s v="MAN POWER"/>
    <x v="1"/>
    <n v="39.299818840599997"/>
    <n v="39.299818840500002"/>
    <n v="3312"/>
    <n v="0"/>
    <n v="130161.0000000672"/>
    <n v="0"/>
    <n v="3312"/>
  </r>
  <r>
    <n v="2018"/>
    <x v="0"/>
    <s v="201803"/>
    <s v="Kelly Group"/>
    <s v="公隆化學股份有限公司"/>
    <s v="NASL11:製程化學課"/>
    <s v="NASL10:新事業開發部"/>
    <x v="0"/>
    <s v="MAN POWER"/>
    <x v="2"/>
    <n v="39.299818840599997"/>
    <n v="39.299818840500002"/>
    <n v="4416"/>
    <n v="5072"/>
    <n v="173548.00000008961"/>
    <n v="199328.681159"/>
    <n v="-656"/>
  </r>
  <r>
    <n v="2018"/>
    <x v="0"/>
    <s v="201803"/>
    <s v="Kelly Group"/>
    <s v="公隆化學股份有限公司"/>
    <s v="NASL11:製程化學課"/>
    <s v="NASL10:新事業開發部"/>
    <x v="0"/>
    <s v="MAN POWER"/>
    <x v="3"/>
    <n v="39.299818840599997"/>
    <n v="39.299818840500002"/>
    <n v="2208"/>
    <n v="208"/>
    <n v="86773.999999820793"/>
    <n v="8174.3623189999998"/>
    <n v="2000"/>
  </r>
  <r>
    <n v="2018"/>
    <x v="0"/>
    <s v="201803"/>
    <s v="Kelly Group"/>
    <s v="公隆化學股份有限公司"/>
    <s v="NASL12:電子化學課"/>
    <s v="NASL10:新事業開發部"/>
    <x v="1"/>
    <s v="MAN POWER"/>
    <x v="3"/>
    <n v="9.6214221014000003"/>
    <n v="9.6014191447999995"/>
    <n v="3532.8"/>
    <n v="2235"/>
    <n v="33990.559999825899"/>
    <n v="21459.171789"/>
    <n v="1297.8"/>
  </r>
  <r>
    <n v="2018"/>
    <x v="0"/>
    <s v="201803"/>
    <s v="Kelly Group"/>
    <s v="公隆化學股份有限公司"/>
    <s v="NASL12:電子化學課"/>
    <s v="NASL10:新事業開發部"/>
    <x v="1"/>
    <s v="MAN POWER"/>
    <x v="0"/>
    <n v="9.6214221014000003"/>
    <n v="9.6014191447999995"/>
    <n v="3974.4"/>
    <n v="8640"/>
    <n v="38239.379999804201"/>
    <n v="82956.261410999999"/>
    <n v="-4665.6000000000004"/>
  </r>
  <r>
    <n v="2018"/>
    <x v="0"/>
    <s v="201803"/>
    <s v="Kelly Group"/>
    <s v="公隆化學股份有限公司"/>
    <s v="NASL12:電子化學課"/>
    <s v="NASL10:新事業開發部"/>
    <x v="1"/>
    <s v="MAN POWER"/>
    <x v="2"/>
    <n v="9.6214221014000003"/>
    <n v="9.6014191447999995"/>
    <n v="11040"/>
    <n v="10638"/>
    <n v="106220.49999945601"/>
    <n v="102139.89686199999"/>
    <n v="402"/>
  </r>
  <r>
    <n v="2018"/>
    <x v="0"/>
    <s v="201803"/>
    <s v="Kelly Group"/>
    <s v="公隆化學股份有限公司"/>
    <s v="NASL12:電子化學課"/>
    <s v="NASL10:新事業開發部"/>
    <x v="1"/>
    <s v="MAN POWER"/>
    <x v="1"/>
    <n v="9.6214221014000003"/>
    <n v="9.6014191447999995"/>
    <n v="3532.8"/>
    <n v="613"/>
    <n v="33990.560000913902"/>
    <n v="5885.6699360000002"/>
    <n v="2919.8"/>
  </r>
  <r>
    <n v="2018"/>
    <x v="1"/>
    <s v="201804"/>
    <s v="Kelly Group"/>
    <s v="公隆化學股份有限公司"/>
    <s v="NASL11:製程化學課"/>
    <s v="NASL10:新事業開發部"/>
    <x v="0"/>
    <s v="MAN POWER"/>
    <x v="0"/>
    <n v="75.274537037000002"/>
    <n v="75.274537037000002"/>
    <n v="864"/>
    <n v="4937"/>
    <n v="65037.199999967997"/>
    <n v="371630.38935200003"/>
    <n v="-4073"/>
  </r>
  <r>
    <n v="2018"/>
    <x v="1"/>
    <s v="201804"/>
    <s v="Kelly Group"/>
    <s v="公隆化學股份有限公司"/>
    <s v="NASL11:製程化學課"/>
    <s v="NASL10:新事業開發部"/>
    <x v="0"/>
    <s v="MAN POWER"/>
    <x v="1"/>
    <n v="75.274537037000002"/>
    <n v="75.274537037000002"/>
    <n v="2592"/>
    <n v="0"/>
    <n v="195111.59999990399"/>
    <n v="0"/>
    <n v="2592"/>
  </r>
  <r>
    <n v="2018"/>
    <x v="1"/>
    <s v="201804"/>
    <s v="Kelly Group"/>
    <s v="公隆化學股份有限公司"/>
    <s v="NASL11:製程化學課"/>
    <s v="NASL10:新事業開發部"/>
    <x v="0"/>
    <s v="MAN POWER"/>
    <x v="3"/>
    <n v="75.274537037000002"/>
    <n v="75.274537037000002"/>
    <n v="1728"/>
    <n v="0"/>
    <n v="130074.39999993599"/>
    <n v="0"/>
    <n v="1728"/>
  </r>
  <r>
    <n v="2018"/>
    <x v="1"/>
    <s v="201804"/>
    <s v="Kelly Group"/>
    <s v="公隆化學股份有限公司"/>
    <s v="NASL11:製程化學課"/>
    <s v="NASL10:新事業開發部"/>
    <x v="0"/>
    <s v="MAN POWER"/>
    <x v="2"/>
    <n v="75.274537037000002"/>
    <n v="75.274537037000002"/>
    <n v="3456"/>
    <n v="3703"/>
    <n v="260148.80000019199"/>
    <n v="278741.61064799997"/>
    <n v="-247"/>
  </r>
  <r>
    <n v="2018"/>
    <x v="1"/>
    <s v="201804"/>
    <s v="Kelly Group"/>
    <s v="公隆化學股份有限公司"/>
    <s v="NASL12:電子化學課"/>
    <s v="NASL10:新事業開發部"/>
    <x v="1"/>
    <s v="MAN POWER"/>
    <x v="0"/>
    <n v="12.7318181818"/>
    <n v="12.7318181818"/>
    <n v="2851.2"/>
    <n v="7680"/>
    <n v="36300.959999948202"/>
    <n v="97780.363635999995"/>
    <n v="-4828.8"/>
  </r>
  <r>
    <n v="2018"/>
    <x v="1"/>
    <s v="201804"/>
    <s v="Kelly Group"/>
    <s v="公隆化學股份有限公司"/>
    <s v="NASL12:電子化學課"/>
    <s v="NASL10:新事業開發部"/>
    <x v="1"/>
    <s v="MAN POWER"/>
    <x v="1"/>
    <n v="12.7318181818"/>
    <n v="12.7318181818"/>
    <n v="2534.4"/>
    <n v="351"/>
    <n v="32267.5199999539"/>
    <n v="4468.8681820000002"/>
    <n v="2183.4"/>
  </r>
  <r>
    <n v="2018"/>
    <x v="1"/>
    <s v="201804"/>
    <s v="Kelly Group"/>
    <s v="公隆化學股份有限公司"/>
    <s v="NASL12:電子化學課"/>
    <s v="NASL10:新事業開發部"/>
    <x v="1"/>
    <s v="MAN POWER"/>
    <x v="2"/>
    <n v="12.7318181818"/>
    <n v="12.7318181818"/>
    <n v="7920"/>
    <n v="6462"/>
    <n v="100835.99999985599"/>
    <n v="82273.009091"/>
    <n v="1458"/>
  </r>
  <r>
    <n v="2018"/>
    <x v="1"/>
    <s v="201804"/>
    <s v="Kelly Group"/>
    <s v="公隆化學股份有限公司"/>
    <s v="NASL12:電子化學課"/>
    <s v="NASL10:新事業開發部"/>
    <x v="1"/>
    <s v="MAN POWER"/>
    <x v="3"/>
    <n v="12.7318181818"/>
    <n v="12.7318181818"/>
    <n v="2534.4"/>
    <n v="1347"/>
    <n v="32267.520000241901"/>
    <n v="17149.759091"/>
    <n v="1187.4000000000001"/>
  </r>
  <r>
    <n v="2018"/>
    <x v="2"/>
    <s v="201805"/>
    <s v="Kelly Group"/>
    <s v="公隆化學股份有限公司"/>
    <s v="NASL11:製程化學課"/>
    <s v="NASL10:新事業開發部"/>
    <x v="0"/>
    <s v="MAN POWER"/>
    <x v="0"/>
    <n v="49.699810606100002"/>
    <n v="49.699810606"/>
    <n v="1056"/>
    <n v="6240"/>
    <n v="52483.000000041597"/>
    <n v="310126.81818100001"/>
    <n v="-5184"/>
  </r>
  <r>
    <n v="2018"/>
    <x v="2"/>
    <s v="201805"/>
    <s v="Kelly Group"/>
    <s v="公隆化學股份有限公司"/>
    <s v="NASL11:製程化學課"/>
    <s v="NASL10:新事業開發部"/>
    <x v="0"/>
    <s v="MAN POWER"/>
    <x v="1"/>
    <n v="49.699810606100002"/>
    <n v="49.699810606"/>
    <n v="3168"/>
    <n v="118"/>
    <n v="157449.0000001248"/>
    <n v="5864.5776519999999"/>
    <n v="3050"/>
  </r>
  <r>
    <n v="2018"/>
    <x v="2"/>
    <s v="201805"/>
    <s v="Kelly Group"/>
    <s v="公隆化學股份有限公司"/>
    <s v="NASL11:製程化學課"/>
    <s v="NASL10:新事業開發部"/>
    <x v="0"/>
    <s v="MAN POWER"/>
    <x v="3"/>
    <n v="49.699810606100002"/>
    <n v="49.699810606"/>
    <n v="2112"/>
    <n v="784"/>
    <n v="104966.00000008319"/>
    <n v="38964.651514999998"/>
    <n v="1328"/>
  </r>
  <r>
    <n v="2018"/>
    <x v="2"/>
    <s v="201805"/>
    <s v="Kelly Group"/>
    <s v="公隆化學股份有限公司"/>
    <s v="NASL11:製程化學課"/>
    <s v="NASL10:新事業開發部"/>
    <x v="0"/>
    <s v="MAN POWER"/>
    <x v="2"/>
    <n v="49.699810606100002"/>
    <n v="49.699810606"/>
    <n v="4224"/>
    <n v="3418"/>
    <n v="209931.99999975041"/>
    <n v="169873.952651"/>
    <n v="806"/>
  </r>
  <r>
    <n v="2018"/>
    <x v="2"/>
    <s v="201805"/>
    <s v="Kelly Group"/>
    <s v="公隆化學股份有限公司"/>
    <s v="NASL12:電子化學課"/>
    <s v="NASL10:新事業開發部"/>
    <x v="1"/>
    <s v="MAN POWER"/>
    <x v="1"/>
    <n v="8.2727134146000001"/>
    <n v="8.2727134146000001"/>
    <n v="3148.8"/>
    <n v="0"/>
    <n v="26049.1199998925"/>
    <n v="0"/>
    <n v="3148.8"/>
  </r>
  <r>
    <n v="2018"/>
    <x v="2"/>
    <s v="201805"/>
    <s v="Kelly Group"/>
    <s v="公隆化學股份有限公司"/>
    <s v="NASL12:電子化學課"/>
    <s v="NASL10:新事業開發部"/>
    <x v="1"/>
    <s v="MAN POWER"/>
    <x v="3"/>
    <n v="8.2727134146000001"/>
    <n v="8.2727134146000001"/>
    <n v="3148.8"/>
    <n v="0"/>
    <n v="26049.1199998925"/>
    <n v="0"/>
    <n v="3148.8"/>
  </r>
  <r>
    <n v="2018"/>
    <x v="2"/>
    <s v="201805"/>
    <s v="Kelly Group"/>
    <s v="公隆化學股份有限公司"/>
    <s v="NASL12:電子化學課"/>
    <s v="NASL10:新事業開發部"/>
    <x v="1"/>
    <s v="MAN POWER"/>
    <x v="2"/>
    <n v="8.2727134146000001"/>
    <n v="8.2727134146000001"/>
    <n v="9840"/>
    <n v="10080"/>
    <n v="81403.499999663996"/>
    <n v="83388.951218999995"/>
    <n v="-240"/>
  </r>
  <r>
    <n v="2018"/>
    <x v="2"/>
    <s v="201805"/>
    <s v="Kelly Group"/>
    <s v="公隆化學股份有限公司"/>
    <s v="NASL12:電子化學課"/>
    <s v="NASL10:新事業開發部"/>
    <x v="1"/>
    <s v="MAN POWER"/>
    <x v="0"/>
    <n v="8.2727134146000001"/>
    <n v="8.2727134146000001"/>
    <n v="3542.4"/>
    <n v="9600"/>
    <n v="29305.260000550999"/>
    <n v="79418.048779999997"/>
    <n v="-6057.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43">
  <r>
    <n v="2018"/>
    <x v="0"/>
    <s v="201803"/>
    <s v="Kelly Group"/>
    <s v="公隆化學股份有限公司"/>
    <x v="0"/>
    <n v="4608.6811895507999"/>
    <n v="4618.2826086719997"/>
    <s v="N01:取得顧客作業"/>
    <x v="0"/>
    <s v="拜訪時間"/>
    <n v="480"/>
    <s v="CustomerProject:顧客專案"/>
    <x v="0"/>
  </r>
  <r>
    <n v="2018"/>
    <x v="0"/>
    <s v="201803"/>
    <s v="Kelly Group"/>
    <s v="公隆化學股份有限公司"/>
    <x v="0"/>
    <n v="1843.4724758202999"/>
    <n v="1847.3130434688001"/>
    <s v="N01:取得顧客作業"/>
    <x v="0"/>
    <s v="拜訪時間"/>
    <n v="192"/>
    <s v="CustomerProject:顧客專案"/>
    <x v="1"/>
  </r>
  <r>
    <n v="2018"/>
    <x v="0"/>
    <s v="201803"/>
    <s v="Kelly Group"/>
    <s v="公隆化學股份有限公司"/>
    <x v="0"/>
    <n v="2064.3051161529002"/>
    <n v="2068.6057518010002"/>
    <s v="N01:取得顧客作業"/>
    <x v="0"/>
    <s v="拜訪時間"/>
    <n v="215"/>
    <s v="CustomerProject:顧客專案"/>
    <x v="1"/>
  </r>
  <r>
    <n v="2018"/>
    <x v="0"/>
    <s v="201803"/>
    <s v="Kelly Group"/>
    <s v="公隆化學股份有限公司"/>
    <x v="0"/>
    <n v="2736.4044562958002"/>
    <n v="2742.105298899"/>
    <s v="N01:取得顧客作業"/>
    <x v="0"/>
    <s v="拜訪時間"/>
    <n v="285"/>
    <s v="CustomerProject:顧客專案"/>
    <x v="2"/>
  </r>
  <r>
    <n v="2018"/>
    <x v="0"/>
    <s v="201803"/>
    <s v="Kelly Group"/>
    <s v="公隆化學股份有限公司"/>
    <x v="0"/>
    <n v="4464.6599023772997"/>
    <n v="4473.9612771510001"/>
    <s v="N01:取得顧客作業"/>
    <x v="0"/>
    <s v="拜訪時間"/>
    <n v="465"/>
    <s v="CustomerProject:顧客專案"/>
    <x v="3"/>
  </r>
  <r>
    <n v="2018"/>
    <x v="0"/>
    <s v="201803"/>
    <s v="Kelly Group"/>
    <s v="公隆化學股份有限公司"/>
    <x v="0"/>
    <n v="3072.4541263671999"/>
    <n v="3078.8550724480001"/>
    <s v="N01:取得顧客作業"/>
    <x v="0"/>
    <s v="拜訪時間"/>
    <n v="320"/>
    <s v="CustomerProject:顧客專案"/>
    <x v="4"/>
  </r>
  <r>
    <n v="2018"/>
    <x v="0"/>
    <s v="201803"/>
    <s v="Kelly Group"/>
    <s v="公隆化學股份有限公司"/>
    <x v="0"/>
    <n v="2304.3405947753999"/>
    <n v="2309.1413043359998"/>
    <s v="N01:取得顧客作業"/>
    <x v="0"/>
    <s v="拜訪時間"/>
    <n v="240"/>
    <s v="CustomerProject:顧客專案"/>
    <x v="5"/>
  </r>
  <r>
    <n v="2018"/>
    <x v="0"/>
    <s v="201803"/>
    <s v="Kelly Group"/>
    <s v="公隆化學股份有限公司"/>
    <x v="0"/>
    <n v="1315.3944228508999"/>
    <n v="1318.1348278917999"/>
    <s v="N01:取得顧客作業"/>
    <x v="0"/>
    <s v="拜訪時間"/>
    <n v="137"/>
    <s v="CustomerProject:顧客專案"/>
    <x v="6"/>
  </r>
  <r>
    <n v="2018"/>
    <x v="0"/>
    <s v="201803"/>
    <s v="Kelly Group"/>
    <s v="公隆化學股份有限公司"/>
    <x v="0"/>
    <n v="772.91424116420001"/>
    <n v="774.5244791627"/>
    <s v="N01:取得顧客作業"/>
    <x v="0"/>
    <s v="拜訪時間"/>
    <n v="80.5"/>
    <s v="CustomerProject:顧客專案"/>
    <x v="6"/>
  </r>
  <r>
    <n v="2018"/>
    <x v="0"/>
    <s v="201803"/>
    <s v="Kelly Group"/>
    <s v="公隆化學股份有限公司"/>
    <x v="0"/>
    <n v="921.73623791019997"/>
    <n v="923.65652173440003"/>
    <s v="N01:取得顧客作業"/>
    <x v="0"/>
    <s v="拜訪時間"/>
    <n v="96"/>
    <s v="CustomerProject:顧客專案"/>
    <x v="7"/>
  </r>
  <r>
    <n v="2018"/>
    <x v="0"/>
    <s v="201803"/>
    <s v="Kelly Group"/>
    <s v="公隆化學股份有限公司"/>
    <x v="0"/>
    <n v="1843.4724758202999"/>
    <n v="1847.3130434688001"/>
    <s v="N01:取得顧客作業"/>
    <x v="0"/>
    <s v="拜訪時間"/>
    <n v="192"/>
    <s v="CustomerProject:顧客專案"/>
    <x v="8"/>
  </r>
  <r>
    <n v="2018"/>
    <x v="0"/>
    <s v="201803"/>
    <s v="Kelly Group"/>
    <s v="公隆化學股份有限公司"/>
    <x v="0"/>
    <n v="1536.2270631836"/>
    <n v="1539.4275362240001"/>
    <s v="N01:取得顧客作業"/>
    <x v="0"/>
    <s v="拜訪時間"/>
    <n v="160"/>
    <s v="CustomerProject:顧客專案"/>
    <x v="9"/>
  </r>
  <r>
    <n v="2018"/>
    <x v="0"/>
    <s v="201803"/>
    <s v="Kelly Group"/>
    <s v="公隆化學股份有限公司"/>
    <x v="0"/>
    <n v="4608.6811895507999"/>
    <n v="4618.2826086719997"/>
    <s v="N01:取得顧客作業"/>
    <x v="0"/>
    <s v="拜訪時間"/>
    <n v="480"/>
    <s v="CustomerProject:顧客專案"/>
    <x v="10"/>
  </r>
  <r>
    <n v="2018"/>
    <x v="0"/>
    <s v="201803"/>
    <s v="Kelly Group"/>
    <s v="公隆化學股份有限公司"/>
    <x v="0"/>
    <n v="1536.2270631836"/>
    <n v="1539.4275362240001"/>
    <s v="N01:取得顧客作業"/>
    <x v="0"/>
    <s v="拜訪時間"/>
    <n v="160"/>
    <s v="CustomerProject:顧客專案"/>
    <x v="11"/>
  </r>
  <r>
    <n v="2018"/>
    <x v="0"/>
    <s v="201803"/>
    <s v="Kelly Group"/>
    <s v="公隆化學股份有限公司"/>
    <x v="0"/>
    <n v="4608.6811895505998"/>
    <n v="4618.2826086718997"/>
    <s v="N01:取得顧客作業"/>
    <x v="0"/>
    <s v="拜訪時間"/>
    <n v="480"/>
    <s v="CustomerProject:顧客專案"/>
    <x v="11"/>
  </r>
  <r>
    <n v="2018"/>
    <x v="0"/>
    <s v="201803"/>
    <s v="Kelly Group"/>
    <s v="公隆化學股份有限公司"/>
    <x v="0"/>
    <n v="864.12772304079999"/>
    <n v="865.92798912600006"/>
    <s v="N01:取得顧客作業"/>
    <x v="0"/>
    <s v="拜訪時間"/>
    <n v="90"/>
    <s v="CustomerProject:顧客專案"/>
    <x v="12"/>
  </r>
  <r>
    <n v="2018"/>
    <x v="0"/>
    <s v="201803"/>
    <s v="Kelly Group"/>
    <s v="公隆化學股份有限公司"/>
    <x v="1"/>
    <n v="1296.8940217391"/>
    <n v="1296.8940217398001"/>
    <s v="N01:取得顧客作業"/>
    <x v="1"/>
    <s v="拜訪時間"/>
    <n v="33"/>
    <s v="CustomerProject:顧客專案"/>
    <x v="13"/>
  </r>
  <r>
    <n v="2018"/>
    <x v="0"/>
    <s v="201803"/>
    <s v="Kelly Group"/>
    <s v="公隆化學股份有限公司"/>
    <x v="0"/>
    <n v="1022.5511389316"/>
    <n v="1024.6814537990999"/>
    <s v="N01:取得顧客作業"/>
    <x v="1"/>
    <s v="拜訪時間"/>
    <n v="106.5"/>
    <s v="CustomerProject:顧客專案"/>
    <x v="14"/>
  </r>
  <r>
    <n v="2018"/>
    <x v="0"/>
    <s v="201803"/>
    <s v="Kelly Group"/>
    <s v="公隆化學股份有限公司"/>
    <x v="0"/>
    <n v="1281.7894558437999"/>
    <n v="1284.4598505368999"/>
    <s v="N01:取得顧客作業"/>
    <x v="1"/>
    <s v="拜訪時間"/>
    <n v="133.5"/>
    <s v="CustomerProject:顧客專案"/>
    <x v="15"/>
  </r>
  <r>
    <n v="2018"/>
    <x v="0"/>
    <s v="201803"/>
    <s v="Kelly Group"/>
    <s v="公隆化學股份有限公司"/>
    <x v="1"/>
    <n v="5698.4737318840998"/>
    <n v="5698.4737318870002"/>
    <s v="N01:取得顧客作業"/>
    <x v="1"/>
    <s v="拜訪時間"/>
    <n v="145"/>
    <s v="CustomerProject:顧客專案"/>
    <x v="16"/>
  </r>
  <r>
    <n v="2018"/>
    <x v="0"/>
    <s v="201803"/>
    <s v="Kelly Group"/>
    <s v="公隆化學股份有限公司"/>
    <x v="1"/>
    <n v="5384.0751811596001"/>
    <n v="5384.0751811621003"/>
    <s v="N01:取得顧客作業"/>
    <x v="1"/>
    <s v="拜訪時間"/>
    <n v="137"/>
    <s v="CustomerProject:顧客專案"/>
    <x v="17"/>
  </r>
  <r>
    <n v="2018"/>
    <x v="0"/>
    <s v="201803"/>
    <s v="Kelly Group"/>
    <s v="公隆化學股份有限公司"/>
    <x v="1"/>
    <n v="8881.7590579709995"/>
    <n v="8881.7590579755997"/>
    <s v="N01:取得顧客作業"/>
    <x v="1"/>
    <s v="拜訪時間"/>
    <n v="226"/>
    <s v="CustomerProject:顧客專案"/>
    <x v="18"/>
  </r>
  <r>
    <n v="2018"/>
    <x v="0"/>
    <s v="201803"/>
    <s v="Kelly Group"/>
    <s v="公隆化學股份有限公司"/>
    <x v="1"/>
    <n v="1650.5923913043"/>
    <n v="1650.5923913052"/>
    <s v="N01:取得顧客作業"/>
    <x v="1"/>
    <s v="拜訪時間"/>
    <n v="42"/>
    <s v="CustomerProject:顧客專案"/>
    <x v="19"/>
  </r>
  <r>
    <n v="2018"/>
    <x v="0"/>
    <s v="201803"/>
    <s v="Kelly Group"/>
    <s v="公隆化學股份有限公司"/>
    <x v="1"/>
    <n v="2633.0878623188"/>
    <n v="2633.0878623202002"/>
    <s v="N01:取得顧客作業"/>
    <x v="1"/>
    <s v="拜訪時間"/>
    <n v="67"/>
    <s v="CustomerProject:顧客專案"/>
    <x v="20"/>
  </r>
  <r>
    <n v="2018"/>
    <x v="0"/>
    <s v="201803"/>
    <s v="Kelly Group"/>
    <s v="公隆化學股份有限公司"/>
    <x v="1"/>
    <n v="4991.0769927536003"/>
    <n v="4991.0769927561996"/>
    <s v="N01:取得顧客作業"/>
    <x v="1"/>
    <s v="拜訪時間"/>
    <n v="127"/>
    <s v="CustomerProject:顧客專案"/>
    <x v="21"/>
  </r>
  <r>
    <n v="2018"/>
    <x v="0"/>
    <s v="201803"/>
    <s v="Kelly Group"/>
    <s v="公隆化學股份有限公司"/>
    <x v="1"/>
    <n v="2515.1884057971001"/>
    <n v="2515.1884057983998"/>
    <s v="N01:取得顧客作業"/>
    <x v="1"/>
    <s v="拜訪時間"/>
    <n v="64"/>
    <s v="CustomerProject:顧客專案"/>
    <x v="22"/>
  </r>
  <r>
    <n v="2018"/>
    <x v="0"/>
    <s v="201803"/>
    <s v="Kelly Group"/>
    <s v="公隆化學股份有限公司"/>
    <x v="1"/>
    <n v="3772.7826086956002"/>
    <n v="3772.7826086976002"/>
    <s v="N01:取得顧客作業"/>
    <x v="1"/>
    <s v="拜訪時間"/>
    <n v="96"/>
    <s v="CustomerProject:顧客專案"/>
    <x v="23"/>
  </r>
  <r>
    <n v="2018"/>
    <x v="0"/>
    <s v="201803"/>
    <s v="Kelly Group"/>
    <s v="公隆化學股份有限公司"/>
    <x v="0"/>
    <n v="4608.6811895507999"/>
    <n v="4618.2826086719997"/>
    <s v="N03:售後服務作業"/>
    <x v="2"/>
    <s v="拜訪時間"/>
    <n v="480"/>
    <s v="CustomerProject:顧客專案"/>
    <x v="14"/>
  </r>
  <r>
    <n v="2018"/>
    <x v="0"/>
    <s v="201803"/>
    <s v="Kelly Group"/>
    <s v="公隆化學股份有限公司"/>
    <x v="1"/>
    <n v="226366.95652173911"/>
    <n v="226366.95652185599"/>
    <s v="N04:其他"/>
    <x v="3"/>
    <s v="拜訪時間"/>
    <n v="5760"/>
    <s v="CustomerProject:顧客專案"/>
    <x v="24"/>
  </r>
  <r>
    <n v="2018"/>
    <x v="0"/>
    <s v="201803"/>
    <s v="Kelly Group"/>
    <s v="公隆化學股份有限公司"/>
    <x v="0"/>
    <n v="82956.261411913598"/>
    <n v="83129.086956095998"/>
    <s v="N04:其他"/>
    <x v="3"/>
    <s v="拜訪時間"/>
    <n v="8640"/>
    <s v="CustomerProject:顧客專案"/>
    <x v="24"/>
  </r>
  <r>
    <n v="2018"/>
    <x v="0"/>
    <s v="201803"/>
    <s v="Kelly Group"/>
    <s v="公隆化學股份有限公司"/>
    <x v="1"/>
    <n v="4008.5815217391"/>
    <n v="4008.5815217412"/>
    <s v="N01:取得顧客作業"/>
    <x v="4"/>
    <s v="拜訪時間"/>
    <n v="102"/>
    <s v="CustomerProject:顧客專案"/>
    <x v="25"/>
  </r>
  <r>
    <n v="2018"/>
    <x v="0"/>
    <s v="201803"/>
    <s v="Kelly Group"/>
    <s v="公隆化學股份有限公司"/>
    <x v="1"/>
    <n v="2436.5887681159002"/>
    <n v="2436.5887681171998"/>
    <s v="N01:取得顧客作業"/>
    <x v="4"/>
    <s v="拜訪時間"/>
    <n v="62"/>
    <s v="CustomerProject:顧客專案"/>
    <x v="26"/>
  </r>
  <r>
    <n v="2018"/>
    <x v="0"/>
    <s v="201803"/>
    <s v="Kelly Group"/>
    <s v="公隆化學股份有限公司"/>
    <x v="1"/>
    <n v="2279.3894927535998"/>
    <n v="2279.3894927547999"/>
    <s v="N01:取得顧客作業"/>
    <x v="4"/>
    <s v="拜訪時間"/>
    <n v="58"/>
    <s v="CustomerProject:顧客專案"/>
    <x v="27"/>
  </r>
  <r>
    <n v="2018"/>
    <x v="0"/>
    <s v="201803"/>
    <s v="Kelly Group"/>
    <s v="公隆化學股份有限公司"/>
    <x v="1"/>
    <n v="10571.651268116"/>
    <n v="10571.651268121401"/>
    <s v="N01:取得顧客作業"/>
    <x v="4"/>
    <s v="拜訪時間"/>
    <n v="269"/>
    <s v="CustomerProject:顧客專案"/>
    <x v="23"/>
  </r>
  <r>
    <n v="2018"/>
    <x v="0"/>
    <s v="201803"/>
    <s v="Kelly Group"/>
    <s v="公隆化學股份有限公司"/>
    <x v="1"/>
    <n v="1650.5923913043"/>
    <n v="1650.5923913052"/>
    <s v="N01:取得顧客作業"/>
    <x v="4"/>
    <s v="拜訪時間"/>
    <n v="42"/>
    <s v="CustomerProject:顧客專案"/>
    <x v="13"/>
  </r>
  <r>
    <n v="2018"/>
    <x v="0"/>
    <s v="201803"/>
    <s v="Kelly Group"/>
    <s v="公隆化學股份有限公司"/>
    <x v="1"/>
    <n v="5462.6748188406"/>
    <n v="5462.6748188434003"/>
    <s v="N01:取得顧客作業"/>
    <x v="4"/>
    <s v="拜訪時間"/>
    <n v="139"/>
    <s v="CustomerProject:顧客專案"/>
    <x v="28"/>
  </r>
  <r>
    <n v="2018"/>
    <x v="0"/>
    <s v="201803"/>
    <s v="Kelly Group"/>
    <s v="公隆化學股份有限公司"/>
    <x v="1"/>
    <n v="12104.344202898599"/>
    <n v="12104.3442029048"/>
    <s v="N01:取得顧客作業"/>
    <x v="4"/>
    <s v="拜訪時間"/>
    <n v="308"/>
    <s v="CustomerProject:顧客專案"/>
    <x v="29"/>
  </r>
  <r>
    <n v="2018"/>
    <x v="0"/>
    <s v="201803"/>
    <s v="Kelly Group"/>
    <s v="公隆化學股份有限公司"/>
    <x v="1"/>
    <n v="4833.8777173913004"/>
    <n v="4833.8777173937997"/>
    <s v="N01:取得顧客作業"/>
    <x v="4"/>
    <s v="拜訪時間"/>
    <n v="123"/>
    <s v="CustomerProject:顧客專案"/>
    <x v="30"/>
  </r>
  <r>
    <n v="2018"/>
    <x v="0"/>
    <s v="201803"/>
    <s v="Kelly Group"/>
    <s v="公隆化學股份有限公司"/>
    <x v="1"/>
    <n v="5148.2762681159002"/>
    <n v="5148.2762681185995"/>
    <s v="N01:取得顧客作業"/>
    <x v="4"/>
    <s v="拜訪時間"/>
    <n v="131"/>
    <s v="CustomerProject:顧客專案"/>
    <x v="31"/>
  </r>
  <r>
    <n v="2018"/>
    <x v="0"/>
    <s v="201803"/>
    <s v="Kelly Group"/>
    <s v="公隆化學股份有限公司"/>
    <x v="1"/>
    <n v="5305.4755434783001"/>
    <n v="5305.4755434810004"/>
    <s v="N01:取得顧客作業"/>
    <x v="4"/>
    <s v="拜訪時間"/>
    <n v="135"/>
    <s v="CustomerProject:顧客專案"/>
    <x v="32"/>
  </r>
  <r>
    <n v="2018"/>
    <x v="0"/>
    <s v="201803"/>
    <s v="Kelly Group"/>
    <s v="公隆化學股份有限公司"/>
    <x v="1"/>
    <n v="4951.7771739130003"/>
    <n v="4951.7771739155996"/>
    <s v="N01:取得顧客作業"/>
    <x v="4"/>
    <s v="拜訪時間"/>
    <n v="126"/>
    <s v="CustomerProject:顧客專案"/>
    <x v="33"/>
  </r>
  <r>
    <n v="2018"/>
    <x v="0"/>
    <s v="201803"/>
    <s v="Kelly Group"/>
    <s v="公隆化學股份有限公司"/>
    <x v="1"/>
    <n v="9628.4556159420008"/>
    <n v="9628.4556159469994"/>
    <s v="N01:取得顧客作業"/>
    <x v="4"/>
    <s v="拜訪時間"/>
    <n v="245"/>
    <s v="CustomerProject:顧客專案"/>
    <x v="34"/>
  </r>
  <r>
    <n v="2018"/>
    <x v="0"/>
    <s v="201803"/>
    <s v="Kelly Group"/>
    <s v="公隆化學股份有限公司"/>
    <x v="0"/>
    <n v="1353.8000994305"/>
    <n v="1356.6205162973999"/>
    <s v="N01:取得顧客作業"/>
    <x v="4"/>
    <s v="拜訪時間"/>
    <n v="141"/>
    <s v="CustomerProject:顧客專案"/>
    <x v="35"/>
  </r>
  <r>
    <n v="2018"/>
    <x v="0"/>
    <s v="201803"/>
    <s v="Kelly Group"/>
    <s v="公隆化學股份有限公司"/>
    <x v="0"/>
    <n v="2697.9987797161998"/>
    <n v="2703.6196104934002"/>
    <s v="N01:取得顧客作業"/>
    <x v="4"/>
    <s v="拜訪時間"/>
    <n v="281"/>
    <s v="CustomerProject:顧客專案"/>
    <x v="36"/>
  </r>
  <r>
    <n v="2018"/>
    <x v="0"/>
    <s v="201803"/>
    <s v="Kelly Group"/>
    <s v="公隆化學股份有限公司"/>
    <x v="0"/>
    <n v="4608.6811895507999"/>
    <n v="4618.2826086719997"/>
    <s v="N01:取得顧客作業"/>
    <x v="4"/>
    <s v="拜訪時間"/>
    <n v="480"/>
    <s v="CustomerProject:顧客專案"/>
    <x v="37"/>
  </r>
  <r>
    <n v="2018"/>
    <x v="0"/>
    <s v="201803"/>
    <s v="Kelly Group"/>
    <s v="公隆化學股份有限公司"/>
    <x v="0"/>
    <n v="1392.2057760101"/>
    <n v="1395.106204703"/>
    <s v="N01:取得顧客作業"/>
    <x v="4"/>
    <s v="拜訪時間"/>
    <n v="145"/>
    <s v="CustomerProject:顧客專案"/>
    <x v="38"/>
  </r>
  <r>
    <n v="2018"/>
    <x v="0"/>
    <s v="201803"/>
    <s v="Kelly Group"/>
    <s v="公隆化學股份有限公司"/>
    <x v="0"/>
    <n v="1997.0951821387"/>
    <n v="2001.2557970912001"/>
    <s v="N01:取得顧客作業"/>
    <x v="4"/>
    <s v="拜訪時間"/>
    <n v="208"/>
    <s v="CustomerProject:顧客專案"/>
    <x v="39"/>
  </r>
  <r>
    <n v="2018"/>
    <x v="0"/>
    <s v="201803"/>
    <s v="Kelly Group"/>
    <s v="公隆化學股份有限公司"/>
    <x v="0"/>
    <n v="1344.1986802855999"/>
    <n v="1346.999094196"/>
    <s v="N01:取得顧客作業"/>
    <x v="4"/>
    <s v="拜訪時間"/>
    <n v="140"/>
    <s v="CustomerProject:顧客專案"/>
    <x v="40"/>
  </r>
  <r>
    <n v="2018"/>
    <x v="0"/>
    <s v="201803"/>
    <s v="Kelly Group"/>
    <s v="公隆化學股份有限公司"/>
    <x v="0"/>
    <n v="2304.3405947753999"/>
    <n v="2309.1413043359998"/>
    <s v="N01:取得顧客作業"/>
    <x v="4"/>
    <s v="拜訪時間"/>
    <n v="240"/>
    <s v="CustomerProject:顧客專案"/>
    <x v="41"/>
  </r>
  <r>
    <n v="2018"/>
    <x v="0"/>
    <s v="201803"/>
    <s v="Kelly Group"/>
    <s v="公隆化學股份有限公司"/>
    <x v="1"/>
    <n v="18863.913043478398"/>
    <n v="18863.913043487999"/>
    <s v="N01:取得顧客作業"/>
    <x v="4"/>
    <s v="拜訪時間"/>
    <n v="480"/>
    <s v="CustomerProject:顧客專案"/>
    <x v="42"/>
  </r>
  <r>
    <n v="2018"/>
    <x v="0"/>
    <s v="201803"/>
    <s v="Kelly Group"/>
    <s v="公隆化學股份有限公司"/>
    <x v="1"/>
    <n v="5659.1739130434999"/>
    <n v="5659.1739130464002"/>
    <s v="N01:取得顧客作業"/>
    <x v="4"/>
    <s v="拜訪時間"/>
    <n v="144"/>
    <s v="CustomerProject:顧客專案"/>
    <x v="43"/>
  </r>
  <r>
    <n v="2018"/>
    <x v="0"/>
    <s v="201803"/>
    <s v="Kelly Group"/>
    <s v="公隆化學股份有限公司"/>
    <x v="1"/>
    <n v="1886.3913043478001"/>
    <n v="1886.3913043488001"/>
    <s v="N01:取得顧客作業"/>
    <x v="4"/>
    <s v="拜訪時間"/>
    <n v="48"/>
    <s v="CustomerProject:顧客專案"/>
    <x v="44"/>
  </r>
  <r>
    <n v="2018"/>
    <x v="0"/>
    <s v="201803"/>
    <s v="Kelly Group"/>
    <s v="公隆化學股份有限公司"/>
    <x v="0"/>
    <n v="1276.9887462710999"/>
    <n v="1279.6491394862001"/>
    <s v="N03:售後服務作業"/>
    <x v="5"/>
    <s v="拜訪時間"/>
    <n v="133"/>
    <s v="CustomerProject:顧客專案"/>
    <x v="45"/>
  </r>
  <r>
    <n v="2018"/>
    <x v="0"/>
    <s v="201803"/>
    <s v="Kelly Group"/>
    <s v="公隆化學股份有限公司"/>
    <x v="1"/>
    <n v="18863.9130434783"/>
    <n v="18863.913043487999"/>
    <s v="N01:取得顧客作業"/>
    <x v="6"/>
    <s v="拜訪時間"/>
    <n v="480"/>
    <s v="CustomerProject:顧客專案"/>
    <x v="46"/>
  </r>
  <r>
    <n v="2018"/>
    <x v="0"/>
    <s v="201803"/>
    <s v="Kelly Group"/>
    <s v="公隆化學股份有限公司"/>
    <x v="1"/>
    <n v="3694.1829710144998"/>
    <n v="3694.1829710164002"/>
    <s v="N01:取得顧客作業"/>
    <x v="6"/>
    <s v="拜訪時間"/>
    <n v="94"/>
    <s v="CustomerProject:顧客專案"/>
    <x v="19"/>
  </r>
  <r>
    <n v="2018"/>
    <x v="0"/>
    <s v="201803"/>
    <s v="Kelly Group"/>
    <s v="公隆化學股份有限公司"/>
    <x v="1"/>
    <n v="4087.1811594203"/>
    <n v="4087.1811594224"/>
    <s v="N01:取得顧客作業"/>
    <x v="6"/>
    <s v="拜訪時間"/>
    <n v="104"/>
    <s v="CustomerProject:顧客專案"/>
    <x v="21"/>
  </r>
  <r>
    <n v="2018"/>
    <x v="0"/>
    <s v="201803"/>
    <s v="Kelly Group"/>
    <s v="公隆化學股份有限公司"/>
    <x v="1"/>
    <n v="2868.8867753621998"/>
    <n v="2868.8867753638001"/>
    <s v="N01:取得顧客作業"/>
    <x v="6"/>
    <s v="拜訪時間"/>
    <n v="73"/>
    <s v="CustomerProject:顧客專案"/>
    <x v="23"/>
  </r>
  <r>
    <n v="2018"/>
    <x v="0"/>
    <s v="201803"/>
    <s v="Kelly Group"/>
    <s v="公隆化學股份有限公司"/>
    <x v="1"/>
    <n v="5501.9746376812"/>
    <n v="5501.9746376840003"/>
    <s v="N01:取得顧客作業"/>
    <x v="6"/>
    <s v="拜訪時間"/>
    <n v="140"/>
    <s v="CustomerProject:顧客專案"/>
    <x v="13"/>
  </r>
  <r>
    <n v="2018"/>
    <x v="0"/>
    <s v="201803"/>
    <s v="Kelly Group"/>
    <s v="公隆化學股份有限公司"/>
    <x v="1"/>
    <n v="5659.1739130434999"/>
    <n v="5659.1739130464002"/>
    <s v="N01:取得顧客作業"/>
    <x v="6"/>
    <s v="拜訪時間"/>
    <n v="144"/>
    <s v="CustomerProject:顧客專案"/>
    <x v="29"/>
  </r>
  <r>
    <n v="2018"/>
    <x v="0"/>
    <s v="201803"/>
    <s v="Kelly Group"/>
    <s v="公隆化學股份有限公司"/>
    <x v="0"/>
    <n v="432.0638615204"/>
    <n v="432.96399456300003"/>
    <s v="N01:取得顧客作業"/>
    <x v="6"/>
    <s v="拜訪時間"/>
    <n v="45"/>
    <s v="CustomerProject:顧客專案"/>
    <x v="47"/>
  </r>
  <r>
    <n v="2018"/>
    <x v="0"/>
    <s v="201803"/>
    <s v="Kelly Group"/>
    <s v="公隆化學股份有限公司"/>
    <x v="0"/>
    <n v="1977.8923438490001"/>
    <n v="1982.0129528883999"/>
    <s v="N01:取得顧客作業"/>
    <x v="7"/>
    <s v="拜訪時間"/>
    <n v="206"/>
    <s v="CustomerProject:顧客專案"/>
    <x v="48"/>
  </r>
  <r>
    <n v="2018"/>
    <x v="0"/>
    <s v="201803"/>
    <s v="Kelly Group"/>
    <s v="公隆化學股份有限公司"/>
    <x v="1"/>
    <n v="8174.3623188406"/>
    <n v="8174.3623188448"/>
    <s v="N01:取得顧客作業"/>
    <x v="7"/>
    <s v="拜訪時間"/>
    <n v="208"/>
    <s v="CustomerProject:顧客專案"/>
    <x v="49"/>
  </r>
  <r>
    <n v="2018"/>
    <x v="0"/>
    <s v="201803"/>
    <s v="Kelly Group"/>
    <s v="公隆化學股份有限公司"/>
    <x v="0"/>
    <n v="2054.7036970080999"/>
    <n v="2058.9843296996"/>
    <s v="N01:取得顧客作業"/>
    <x v="7"/>
    <s v="拜訪時間"/>
    <n v="214"/>
    <s v="CustomerProject:顧客專案"/>
    <x v="50"/>
  </r>
  <r>
    <n v="2018"/>
    <x v="0"/>
    <s v="201803"/>
    <s v="Kelly Group"/>
    <s v="公隆化學股份有限公司"/>
    <x v="0"/>
    <n v="1541.0277727560001"/>
    <n v="1544.2382472746999"/>
    <s v="N01:取得顧客作業"/>
    <x v="7"/>
    <s v="拜訪時間"/>
    <n v="160.5"/>
    <s v="CustomerProject:顧客專案"/>
    <x v="39"/>
  </r>
  <r>
    <n v="2018"/>
    <x v="0"/>
    <s v="201803"/>
    <s v="Kelly Group"/>
    <s v="公隆化學股份有限公司"/>
    <x v="0"/>
    <n v="763.31282201930003"/>
    <n v="764.90305706130005"/>
    <s v="N01:取得顧客作業"/>
    <x v="7"/>
    <s v="拜訪時間"/>
    <n v="79.5"/>
    <s v="CustomerProject:顧客專案"/>
    <x v="51"/>
  </r>
  <r>
    <n v="2018"/>
    <x v="0"/>
    <s v="201803"/>
    <s v="Kelly Group"/>
    <s v="公隆化學股份有限公司"/>
    <x v="0"/>
    <n v="1315.3944228508999"/>
    <n v="1318.1348278917999"/>
    <s v="N01:取得顧客作業"/>
    <x v="7"/>
    <s v="拜訪時間"/>
    <n v="137"/>
    <s v="CustomerProject:顧客專案"/>
    <x v="52"/>
  </r>
  <r>
    <n v="2018"/>
    <x v="0"/>
    <s v="201803"/>
    <s v="Kelly Group"/>
    <s v="公隆化學股份有限公司"/>
    <x v="0"/>
    <n v="772.91424116420001"/>
    <n v="774.5244791627"/>
    <s v="N01:取得顧客作業"/>
    <x v="7"/>
    <s v="拜訪時間"/>
    <n v="80.5"/>
    <s v="CustomerProject:顧客專案"/>
    <x v="6"/>
  </r>
  <r>
    <n v="2018"/>
    <x v="0"/>
    <s v="201803"/>
    <s v="Kelly Group"/>
    <s v="公隆化學股份有限公司"/>
    <x v="1"/>
    <n v="8174.3623188406"/>
    <n v="8174.3623188448"/>
    <s v="N02:維持顧客作業"/>
    <x v="8"/>
    <s v="拜訪時間"/>
    <n v="208"/>
    <s v="CustomerProject:顧客專案"/>
    <x v="49"/>
  </r>
  <r>
    <n v="2018"/>
    <x v="0"/>
    <s v="201803"/>
    <s v="Kelly Group"/>
    <s v="公隆化學股份有限公司"/>
    <x v="0"/>
    <n v="614.49082527339999"/>
    <n v="615.77101448960002"/>
    <s v="N02:維持顧客作業"/>
    <x v="8"/>
    <s v="拜訪時間"/>
    <n v="64"/>
    <s v="CustomerProject:顧客專案"/>
    <x v="53"/>
  </r>
  <r>
    <n v="2018"/>
    <x v="0"/>
    <s v="201803"/>
    <s v="Kelly Group"/>
    <s v="公隆化學股份有限公司"/>
    <x v="0"/>
    <n v="748.91069330200003"/>
    <n v="750.4709239092"/>
    <s v="N02:維持顧客作業"/>
    <x v="8"/>
    <s v="拜訪時間"/>
    <n v="78"/>
    <s v="CustomerProject:顧客專案"/>
    <x v="54"/>
  </r>
  <r>
    <n v="2018"/>
    <x v="0"/>
    <s v="201803"/>
    <s v="Kelly Group"/>
    <s v="公隆化學股份有限公司"/>
    <x v="0"/>
    <n v="1541.0277727560001"/>
    <n v="1544.2382472746999"/>
    <s v="N02:維持顧客作業"/>
    <x v="8"/>
    <s v="拜訪時間"/>
    <n v="160.5"/>
    <s v="CustomerProject:顧客專案"/>
    <x v="39"/>
  </r>
  <r>
    <n v="2018"/>
    <x v="0"/>
    <s v="201803"/>
    <s v="Kelly Group"/>
    <s v="公隆化學股份有限公司"/>
    <x v="0"/>
    <n v="763.31282201930003"/>
    <n v="764.90305706130005"/>
    <s v="N02:維持顧客作業"/>
    <x v="8"/>
    <s v="拜訪時間"/>
    <n v="79.5"/>
    <s v="CustomerProject:顧客專案"/>
    <x v="51"/>
  </r>
  <r>
    <n v="2018"/>
    <x v="0"/>
    <s v="201803"/>
    <s v="Kelly Group"/>
    <s v="公隆化學股份有限公司"/>
    <x v="0"/>
    <n v="1661.0455120674001"/>
    <n v="1664.5060235422"/>
    <s v="N02:維持顧客作業"/>
    <x v="8"/>
    <s v="拜訪時間"/>
    <n v="173"/>
    <s v="CustomerProject:顧客專案"/>
    <x v="1"/>
  </r>
  <r>
    <n v="2018"/>
    <x v="0"/>
    <s v="201803"/>
    <s v="Kelly Group"/>
    <s v="公隆化學股份有限公司"/>
    <x v="0"/>
    <n v="2304.3405947753999"/>
    <n v="2309.1413043359998"/>
    <s v="N01:取得顧客作業"/>
    <x v="9"/>
    <s v="拜訪時間"/>
    <n v="240"/>
    <s v="CustomerProject:顧客專案"/>
    <x v="55"/>
  </r>
  <r>
    <n v="2018"/>
    <x v="0"/>
    <s v="201803"/>
    <s v="Kelly Group"/>
    <s v="公隆化學股份有限公司"/>
    <x v="0"/>
    <n v="2313.9420139202998"/>
    <n v="2318.7627264374"/>
    <s v="N01:取得顧客作業"/>
    <x v="9"/>
    <s v="拜訪時間"/>
    <n v="241"/>
    <s v="CustomerProject:顧客專案"/>
    <x v="56"/>
  </r>
  <r>
    <n v="2018"/>
    <x v="0"/>
    <s v="201803"/>
    <s v="Kelly Group"/>
    <s v="公隆化學股份有限公司"/>
    <x v="0"/>
    <n v="2304.3405947753999"/>
    <n v="2309.1413043359998"/>
    <s v="N01:取得顧客作業"/>
    <x v="9"/>
    <s v="拜訪時間"/>
    <n v="240"/>
    <s v="CustomerProject:顧客專案"/>
    <x v="57"/>
  </r>
  <r>
    <n v="2018"/>
    <x v="0"/>
    <s v="201803"/>
    <s v="Kelly Group"/>
    <s v="公隆化學股份有限公司"/>
    <x v="0"/>
    <n v="614.49082527339999"/>
    <n v="615.77101448960002"/>
    <s v="N01:取得顧客作業"/>
    <x v="9"/>
    <s v="拜訪時間"/>
    <n v="64"/>
    <s v="CustomerProject:顧客專案"/>
    <x v="53"/>
  </r>
  <r>
    <n v="2018"/>
    <x v="0"/>
    <s v="201803"/>
    <s v="Kelly Group"/>
    <s v="公隆化學股份有限公司"/>
    <x v="0"/>
    <n v="4608.6811895507999"/>
    <n v="4618.2826086719997"/>
    <s v="N01:取得顧客作業"/>
    <x v="9"/>
    <s v="拜訪時間"/>
    <n v="480"/>
    <s v="CustomerProject:顧客專案"/>
    <x v="53"/>
  </r>
  <r>
    <n v="2018"/>
    <x v="0"/>
    <s v="201803"/>
    <s v="Kelly Group"/>
    <s v="公隆化學股份有限公司"/>
    <x v="0"/>
    <n v="3072.4541263671999"/>
    <n v="3078.8550724480001"/>
    <s v="N01:取得顧客作業"/>
    <x v="9"/>
    <s v="拜訪時間"/>
    <n v="320"/>
    <s v="CustomerProject:顧客專案"/>
    <x v="53"/>
  </r>
  <r>
    <n v="2018"/>
    <x v="0"/>
    <s v="201803"/>
    <s v="Kelly Group"/>
    <s v="公隆化學股份有限公司"/>
    <x v="0"/>
    <n v="1977.8923438489001"/>
    <n v="1982.0129528883999"/>
    <s v="N01:取得顧客作業"/>
    <x v="9"/>
    <s v="拜訪時間"/>
    <n v="206"/>
    <s v="CustomerProject:顧客專案"/>
    <x v="54"/>
  </r>
  <r>
    <n v="2018"/>
    <x v="0"/>
    <s v="201803"/>
    <s v="Kelly Group"/>
    <s v="公隆化學股份有限公司"/>
    <x v="0"/>
    <n v="1276.9887462714"/>
    <n v="1279.6491394862001"/>
    <s v="N01:取得顧客作業"/>
    <x v="9"/>
    <s v="拜訪時間"/>
    <n v="133"/>
    <s v="CustomerProject:顧客專案"/>
    <x v="58"/>
  </r>
  <r>
    <n v="2018"/>
    <x v="0"/>
    <s v="201803"/>
    <s v="Kelly Group"/>
    <s v="公隆化學股份有限公司"/>
    <x v="0"/>
    <n v="1315.3944228508999"/>
    <n v="1318.1348278917999"/>
    <s v="N01:取得顧客作業"/>
    <x v="9"/>
    <s v="拜訪時間"/>
    <n v="137"/>
    <s v="CustomerProject:顧客專案"/>
    <x v="54"/>
  </r>
  <r>
    <n v="2018"/>
    <x v="0"/>
    <s v="201803"/>
    <s v="Kelly Group"/>
    <s v="公隆化學股份有限公司"/>
    <x v="0"/>
    <n v="1536.2270631836"/>
    <n v="1539.4275362240001"/>
    <s v="N01:取得顧客作業"/>
    <x v="9"/>
    <s v="拜訪時間"/>
    <n v="160"/>
    <s v="CustomerProject:顧客專案"/>
    <x v="59"/>
  </r>
  <r>
    <n v="2018"/>
    <x v="0"/>
    <s v="201803"/>
    <s v="Kelly Group"/>
    <s v="公隆化學股份有限公司"/>
    <x v="0"/>
    <n v="1315.3944228508999"/>
    <n v="1318.1348278917999"/>
    <s v="N01:取得顧客作業"/>
    <x v="9"/>
    <s v="拜訪時間"/>
    <n v="137"/>
    <s v="CustomerProject:顧客專案"/>
    <x v="60"/>
  </r>
  <r>
    <n v="2018"/>
    <x v="0"/>
    <s v="201803"/>
    <s v="Kelly Group"/>
    <s v="公隆化學股份有限公司"/>
    <x v="0"/>
    <n v="144.02128717350001"/>
    <n v="144.32133152099999"/>
    <s v="N01:取得顧客作業"/>
    <x v="9"/>
    <s v="拜訪時間"/>
    <n v="15"/>
    <s v="CustomerProject:顧客專案"/>
    <x v="61"/>
  </r>
  <r>
    <n v="2018"/>
    <x v="0"/>
    <s v="201803"/>
    <s v="Kelly Group"/>
    <s v="公隆化學股份有限公司"/>
    <x v="0"/>
    <n v="969.7433336345"/>
    <n v="971.76363224140005"/>
    <s v="N01:取得顧客作業"/>
    <x v="9"/>
    <s v="拜訪時間"/>
    <n v="101"/>
    <s v="CustomerProject:顧客專案"/>
    <x v="38"/>
  </r>
  <r>
    <n v="2018"/>
    <x v="0"/>
    <s v="201803"/>
    <s v="Kelly Group"/>
    <s v="公隆化學股份有限公司"/>
    <x v="0"/>
    <n v="1536.2270631836"/>
    <n v="1539.4275362240001"/>
    <s v="N01:取得顧客作業"/>
    <x v="9"/>
    <s v="拜訪時間"/>
    <n v="160"/>
    <s v="CustomerProject:顧客專案"/>
    <x v="62"/>
  </r>
  <r>
    <n v="2018"/>
    <x v="0"/>
    <s v="201803"/>
    <s v="Kelly Group"/>
    <s v="公隆化學股份有限公司"/>
    <x v="0"/>
    <n v="1008.1490102142"/>
    <n v="1010.249320647"/>
    <s v="N01:取得顧客作業"/>
    <x v="9"/>
    <s v="拜訪時間"/>
    <n v="105"/>
    <s v="CustomerProject:顧客專案"/>
    <x v="63"/>
  </r>
  <r>
    <n v="2018"/>
    <x v="0"/>
    <s v="201803"/>
    <s v="Kelly Group"/>
    <s v="公隆化學股份有限公司"/>
    <x v="0"/>
    <n v="1200.1773931122"/>
    <n v="1202.6777626749999"/>
    <s v="N01:取得顧客作業"/>
    <x v="9"/>
    <s v="拜訪時間"/>
    <n v="125"/>
    <s v="CustomerProject:顧客專案"/>
    <x v="63"/>
  </r>
  <r>
    <n v="2018"/>
    <x v="0"/>
    <s v="201803"/>
    <s v="Kelly Group"/>
    <s v="公隆化學股份有限公司"/>
    <x v="0"/>
    <n v="1824.2696375304999"/>
    <n v="1828.0701992659999"/>
    <s v="N01:取得顧客作業"/>
    <x v="9"/>
    <s v="拜訪時間"/>
    <n v="190"/>
    <s v="CustomerProject:顧客專案"/>
    <x v="64"/>
  </r>
  <r>
    <n v="2018"/>
    <x v="0"/>
    <s v="201803"/>
    <s v="Kelly Group"/>
    <s v="公隆化學股份有限公司"/>
    <x v="0"/>
    <n v="1862.6753141101001"/>
    <n v="1866.5558876716"/>
    <s v="N01:取得顧客作業"/>
    <x v="9"/>
    <s v="拜訪時間"/>
    <n v="194"/>
    <s v="CustomerProject:顧客專案"/>
    <x v="65"/>
  </r>
  <r>
    <n v="2018"/>
    <x v="0"/>
    <s v="201803"/>
    <s v="Kelly Group"/>
    <s v="公隆化學股份有限公司"/>
    <x v="1"/>
    <n v="18863.9130434783"/>
    <n v="18863.913043487999"/>
    <s v="N01:取得顧客作業"/>
    <x v="10"/>
    <s v="拜訪時間"/>
    <n v="480"/>
    <s v="CustomerProject:顧客專案"/>
    <x v="66"/>
  </r>
  <r>
    <n v="2018"/>
    <x v="0"/>
    <s v="201803"/>
    <s v="Kelly Group"/>
    <s v="公隆化學股份有限公司"/>
    <x v="0"/>
    <n v="681.70075928769995"/>
    <n v="683.12096919939995"/>
    <s v="N01:取得顧客作業"/>
    <x v="10"/>
    <s v="拜訪時間"/>
    <n v="71"/>
    <s v="CustomerProject:顧客專案"/>
    <x v="67"/>
  </r>
  <r>
    <n v="2018"/>
    <x v="0"/>
    <s v="201803"/>
    <s v="Kelly Group"/>
    <s v="公隆化學股份有限公司"/>
    <x v="0"/>
    <n v="48.007095724499997"/>
    <n v="48.107110507000002"/>
    <s v="N01:取得顧客作業"/>
    <x v="10"/>
    <s v="拜訪時間"/>
    <n v="5"/>
    <s v="CustomerProject:顧客專案"/>
    <x v="12"/>
  </r>
  <r>
    <n v="2018"/>
    <x v="0"/>
    <s v="201803"/>
    <s v="Kelly Group"/>
    <s v="公隆化學股份有限公司"/>
    <x v="0"/>
    <n v="748.91069330200003"/>
    <n v="750.4709239092"/>
    <s v="N01:取得顧客作業"/>
    <x v="10"/>
    <s v="拜訪時間"/>
    <n v="78"/>
    <s v="CustomerProject:顧客專案"/>
    <x v="68"/>
  </r>
  <r>
    <n v="2018"/>
    <x v="0"/>
    <s v="201803"/>
    <s v="Kelly Group"/>
    <s v="公隆化學股份有限公司"/>
    <x v="0"/>
    <n v="1536.2270631836"/>
    <n v="1539.4275362240001"/>
    <s v="N01:取得顧客作業"/>
    <x v="10"/>
    <s v="拜訪時間"/>
    <n v="160"/>
    <s v="CustomerProject:顧客專案"/>
    <x v="69"/>
  </r>
  <r>
    <n v="2018"/>
    <x v="0"/>
    <s v="201803"/>
    <s v="Kelly Group"/>
    <s v="公隆化學股份有限公司"/>
    <x v="0"/>
    <n v="1977.8923438489001"/>
    <n v="1982.0129528883999"/>
    <s v="N01:取得顧客作業"/>
    <x v="10"/>
    <s v="拜訪時間"/>
    <n v="206"/>
    <s v="CustomerProject:顧客專案"/>
    <x v="56"/>
  </r>
  <r>
    <n v="2018"/>
    <x v="0"/>
    <s v="201803"/>
    <s v="Kelly Group"/>
    <s v="公隆化學股份有限公司"/>
    <x v="0"/>
    <n v="2304.3405947752999"/>
    <n v="2309.1413043359998"/>
    <s v="N02:維持顧客作業"/>
    <x v="11"/>
    <s v="拜訪時間"/>
    <n v="240"/>
    <s v="CustomerProject:顧客專案"/>
    <x v="70"/>
  </r>
  <r>
    <n v="2018"/>
    <x v="0"/>
    <s v="201803"/>
    <s v="Kelly Group"/>
    <s v="公隆化學股份有限公司"/>
    <x v="0"/>
    <n v="2304.3405947753999"/>
    <n v="2309.1413043359998"/>
    <s v="N02:維持顧客作業"/>
    <x v="11"/>
    <s v="拜訪時間"/>
    <n v="240"/>
    <s v="CustomerProject:顧客專案"/>
    <x v="71"/>
  </r>
  <r>
    <n v="2018"/>
    <x v="0"/>
    <s v="201803"/>
    <s v="Kelly Group"/>
    <s v="公隆化學股份有限公司"/>
    <x v="0"/>
    <n v="4608.6811895506999"/>
    <n v="4618.2826086719997"/>
    <s v="N02:維持顧客作業"/>
    <x v="11"/>
    <s v="拜訪時間"/>
    <n v="480"/>
    <s v="CustomerProject:顧客專案"/>
    <x v="72"/>
  </r>
  <r>
    <n v="2018"/>
    <x v="0"/>
    <s v="201803"/>
    <s v="Kelly Group"/>
    <s v="公隆化學股份有限公司"/>
    <x v="0"/>
    <n v="2304.3405947753999"/>
    <n v="2309.1413043359998"/>
    <s v="N02:維持顧客作業"/>
    <x v="11"/>
    <s v="拜訪時間"/>
    <n v="240"/>
    <s v="CustomerProject:顧客專案"/>
    <x v="15"/>
  </r>
  <r>
    <n v="2018"/>
    <x v="0"/>
    <s v="201803"/>
    <s v="Kelly Group"/>
    <s v="公隆化學股份有限公司"/>
    <x v="0"/>
    <n v="1281.7894558437999"/>
    <n v="1284.4598505368999"/>
    <s v="N02:維持顧客作業"/>
    <x v="11"/>
    <s v="拜訪時間"/>
    <n v="133.5"/>
    <s v="CustomerProject:顧客專案"/>
    <x v="15"/>
  </r>
  <r>
    <n v="2018"/>
    <x v="0"/>
    <s v="201803"/>
    <s v="Kelly Group"/>
    <s v="公隆化學股份有限公司"/>
    <x v="0"/>
    <n v="2304.3405947753999"/>
    <n v="2309.1413043359998"/>
    <s v="N02:維持顧客作業"/>
    <x v="11"/>
    <s v="拜訪時間"/>
    <n v="240"/>
    <s v="CustomerProject:顧客專案"/>
    <x v="14"/>
  </r>
  <r>
    <n v="2018"/>
    <x v="0"/>
    <s v="201803"/>
    <s v="Kelly Group"/>
    <s v="公隆化學股份有限公司"/>
    <x v="0"/>
    <n v="1022.5511389316"/>
    <n v="1024.6814537990999"/>
    <s v="N02:維持顧客作業"/>
    <x v="11"/>
    <s v="拜訪時間"/>
    <n v="106.5"/>
    <s v="CustomerProject:顧客專案"/>
    <x v="14"/>
  </r>
  <r>
    <n v="2018"/>
    <x v="1"/>
    <s v="201804"/>
    <s v="Kelly Group"/>
    <s v="公隆化學股份有限公司"/>
    <x v="1"/>
    <n v="10312.611574074101"/>
    <n v="10312.611574069"/>
    <s v="N04:其他"/>
    <x v="12"/>
    <s v="拜訪時間"/>
    <n v="137"/>
    <s v="CustomerProject:顧客專案"/>
    <x v="73"/>
  </r>
  <r>
    <n v="2018"/>
    <x v="1"/>
    <s v="201804"/>
    <s v="Kelly Group"/>
    <s v="公隆化學股份有限公司"/>
    <x v="0"/>
    <n v="2037.0909090908999"/>
    <n v="2037.090909088"/>
    <s v="N01:取得顧客作業"/>
    <x v="0"/>
    <s v="拜訪時間"/>
    <n v="160"/>
    <s v="CustomerProject:顧客專案"/>
    <x v="74"/>
  </r>
  <r>
    <n v="2018"/>
    <x v="1"/>
    <s v="201804"/>
    <s v="Kelly Group"/>
    <s v="公隆化學股份有限公司"/>
    <x v="0"/>
    <n v="3055.6363636363999"/>
    <n v="3055.6363636320002"/>
    <s v="N01:取得顧客作業"/>
    <x v="0"/>
    <s v="拜訪時間"/>
    <n v="240"/>
    <s v="CustomerProject:顧客專案"/>
    <x v="75"/>
  </r>
  <r>
    <n v="2018"/>
    <x v="1"/>
    <s v="201804"/>
    <s v="Kelly Group"/>
    <s v="公隆化學股份有限公司"/>
    <x v="0"/>
    <n v="2151.6772727273001"/>
    <n v="2151.6772727242001"/>
    <s v="N01:取得顧客作業"/>
    <x v="0"/>
    <s v="拜訪時間"/>
    <n v="169"/>
    <s v="CustomerProject:顧客專案"/>
    <x v="76"/>
  </r>
  <r>
    <n v="2018"/>
    <x v="1"/>
    <s v="201804"/>
    <s v="Kelly Group"/>
    <s v="公隆化學股份有限公司"/>
    <x v="0"/>
    <n v="1871.5772727272999"/>
    <n v="1871.5772727246001"/>
    <s v="N01:取得顧客作業"/>
    <x v="0"/>
    <s v="拜訪時間"/>
    <n v="147"/>
    <s v="CustomerProject:顧客專案"/>
    <x v="77"/>
  </r>
  <r>
    <n v="2018"/>
    <x v="1"/>
    <s v="201804"/>
    <s v="Kelly Group"/>
    <s v="公隆化學股份有限公司"/>
    <x v="0"/>
    <n v="3908.6681818182001"/>
    <n v="3908.6681818125999"/>
    <s v="N01:取得顧客作業"/>
    <x v="0"/>
    <s v="拜訪時間"/>
    <n v="307"/>
    <s v="CustomerProject:顧客專案"/>
    <x v="78"/>
  </r>
  <r>
    <n v="2018"/>
    <x v="1"/>
    <s v="201804"/>
    <s v="Kelly Group"/>
    <s v="公隆化學股份有限公司"/>
    <x v="0"/>
    <n v="2533.6318181818001"/>
    <n v="2533.6318181781999"/>
    <s v="N01:取得顧客作業"/>
    <x v="0"/>
    <s v="拜訪時間"/>
    <n v="199"/>
    <s v="CustomerProject:顧客專案"/>
    <x v="79"/>
  </r>
  <r>
    <n v="2018"/>
    <x v="1"/>
    <s v="201804"/>
    <s v="Kelly Group"/>
    <s v="公隆化學股份有限公司"/>
    <x v="0"/>
    <n v="1591.4772727273"/>
    <n v="1591.4772727249999"/>
    <s v="N01:取得顧客作業"/>
    <x v="0"/>
    <s v="拜訪時間"/>
    <n v="125"/>
    <s v="CustomerProject:顧客專案"/>
    <x v="80"/>
  </r>
  <r>
    <n v="2018"/>
    <x v="1"/>
    <s v="201804"/>
    <s v="Kelly Group"/>
    <s v="公隆化學股份有限公司"/>
    <x v="0"/>
    <n v="3284.8090909091002"/>
    <n v="3284.8090909043999"/>
    <s v="N01:取得顧客作業"/>
    <x v="0"/>
    <s v="拜訪時間"/>
    <n v="258"/>
    <s v="CustomerProject:顧客專案"/>
    <x v="68"/>
  </r>
  <r>
    <n v="2018"/>
    <x v="1"/>
    <s v="201804"/>
    <s v="Kelly Group"/>
    <s v="公隆化學股份有限公司"/>
    <x v="0"/>
    <n v="2202.6045454545001"/>
    <n v="2202.6045454514001"/>
    <s v="N01:取得顧客作業"/>
    <x v="0"/>
    <s v="拜訪時間"/>
    <n v="173"/>
    <s v="CustomerProject:顧客專案"/>
    <x v="81"/>
  </r>
  <r>
    <n v="2018"/>
    <x v="1"/>
    <s v="201804"/>
    <s v="Kelly Group"/>
    <s v="公隆化學股份有限公司"/>
    <x v="0"/>
    <n v="2037.0909090908999"/>
    <n v="2037.090909088"/>
    <s v="N01:取得顧客作業"/>
    <x v="0"/>
    <s v="拜訪時間"/>
    <n v="160"/>
    <s v="CustomerProject:顧客專案"/>
    <x v="82"/>
  </r>
  <r>
    <n v="2018"/>
    <x v="1"/>
    <s v="201804"/>
    <s v="Kelly Group"/>
    <s v="公隆化學股份有限公司"/>
    <x v="0"/>
    <n v="2037.0909090908999"/>
    <n v="2037.090909088"/>
    <s v="N01:取得顧客作業"/>
    <x v="0"/>
    <s v="拜訪時間"/>
    <n v="160"/>
    <s v="CustomerProject:顧客專案"/>
    <x v="83"/>
  </r>
  <r>
    <n v="2018"/>
    <x v="1"/>
    <s v="201804"/>
    <s v="Kelly Group"/>
    <s v="公隆化學股份有限公司"/>
    <x v="0"/>
    <n v="2037.0909090908999"/>
    <n v="2037.090909088"/>
    <s v="N01:取得顧客作業"/>
    <x v="0"/>
    <s v="拜訪時間"/>
    <n v="160"/>
    <s v="CustomerProject:顧客專案"/>
    <x v="84"/>
  </r>
  <r>
    <n v="2018"/>
    <x v="1"/>
    <s v="201804"/>
    <s v="Kelly Group"/>
    <s v="公隆化學股份有限公司"/>
    <x v="0"/>
    <n v="2100.75"/>
    <n v="2100.749999997"/>
    <s v="N01:取得顧客作業"/>
    <x v="0"/>
    <s v="拜訪時間"/>
    <n v="165"/>
    <s v="CustomerProject:顧客專案"/>
    <x v="85"/>
  </r>
  <r>
    <n v="2018"/>
    <x v="1"/>
    <s v="201804"/>
    <s v="Kelly Group"/>
    <s v="公隆化學股份有限公司"/>
    <x v="0"/>
    <n v="3654.0318181818002"/>
    <n v="3654.0318181766002"/>
    <s v="N01:取得顧客作業"/>
    <x v="0"/>
    <s v="拜訪時間"/>
    <n v="287"/>
    <s v="CustomerProject:顧客專案"/>
    <x v="72"/>
  </r>
  <r>
    <n v="2018"/>
    <x v="1"/>
    <s v="201804"/>
    <s v="Kelly Group"/>
    <s v="公隆化學股份有限公司"/>
    <x v="0"/>
    <n v="1362.3045454544999"/>
    <n v="1362.3045454526"/>
    <s v="N01:取得顧客作業"/>
    <x v="0"/>
    <s v="拜訪時間"/>
    <n v="107"/>
    <s v="CustomerProject:顧客專案"/>
    <x v="64"/>
  </r>
  <r>
    <n v="2018"/>
    <x v="1"/>
    <s v="201804"/>
    <s v="Kelly Group"/>
    <s v="公隆化學股份有限公司"/>
    <x v="1"/>
    <n v="7602.7282407407001"/>
    <n v="7602.7282407370003"/>
    <s v="N01:取得顧客作業"/>
    <x v="1"/>
    <s v="拜訪時間"/>
    <n v="101"/>
    <s v="CustomerProject:顧客專案"/>
    <x v="86"/>
  </r>
  <r>
    <n v="2018"/>
    <x v="1"/>
    <s v="201804"/>
    <s v="Kelly Group"/>
    <s v="公隆化學股份有限公司"/>
    <x v="1"/>
    <n v="8355.4736111110997"/>
    <n v="8355.4736111069997"/>
    <s v="N01:取得顧客作業"/>
    <x v="1"/>
    <s v="拜訪時間"/>
    <n v="111"/>
    <s v="CustomerProject:顧客專案"/>
    <x v="13"/>
  </r>
  <r>
    <n v="2018"/>
    <x v="1"/>
    <s v="201804"/>
    <s v="Kelly Group"/>
    <s v="公隆化學股份有限公司"/>
    <x v="1"/>
    <n v="7828.5518518519002"/>
    <n v="7828.5518518480003"/>
    <s v="N01:取得顧客作業"/>
    <x v="1"/>
    <s v="拜訪時間"/>
    <n v="104"/>
    <s v="CustomerProject:顧客專案"/>
    <x v="43"/>
  </r>
  <r>
    <n v="2018"/>
    <x v="1"/>
    <s v="201804"/>
    <s v="Kelly Group"/>
    <s v="公隆化學股份有限公司"/>
    <x v="1"/>
    <n v="36131.777777777803"/>
    <n v="36131.777777759999"/>
    <s v="N01:取得顧客作業"/>
    <x v="1"/>
    <s v="拜訪時間"/>
    <n v="480"/>
    <s v="CustomerProject:顧客專案"/>
    <x v="87"/>
  </r>
  <r>
    <n v="2018"/>
    <x v="1"/>
    <s v="201804"/>
    <s v="Kelly Group"/>
    <s v="公隆化學股份有限公司"/>
    <x v="1"/>
    <n v="10237.337037037099"/>
    <n v="10237.337037032001"/>
    <s v="N01:取得顧客作業"/>
    <x v="1"/>
    <s v="拜訪時間"/>
    <n v="136"/>
    <s v="CustomerProject:顧客專案"/>
    <x v="30"/>
  </r>
  <r>
    <n v="2018"/>
    <x v="1"/>
    <s v="201804"/>
    <s v="Kelly Group"/>
    <s v="公隆化學股份有限公司"/>
    <x v="1"/>
    <n v="17162.594444444399"/>
    <n v="17162.594444435999"/>
    <s v="N01:取得顧客作業"/>
    <x v="1"/>
    <s v="拜訪時間"/>
    <n v="228"/>
    <s v="CustomerProject:顧客專案"/>
    <x v="88"/>
  </r>
  <r>
    <n v="2018"/>
    <x v="1"/>
    <s v="201804"/>
    <s v="Kelly Group"/>
    <s v="公隆化學股份有限公司"/>
    <x v="0"/>
    <n v="4889.0181818183"/>
    <n v="4889.0181818111996"/>
    <s v="N01:取得顧客作業"/>
    <x v="7"/>
    <s v="拜訪時間"/>
    <n v="384"/>
    <s v="CustomerProject:顧客專案"/>
    <x v="58"/>
  </r>
  <r>
    <n v="2018"/>
    <x v="1"/>
    <s v="201804"/>
    <s v="Kelly Group"/>
    <s v="公隆化學股份有限公司"/>
    <x v="0"/>
    <n v="2024.3590909090999"/>
    <n v="2024.3590909062"/>
    <s v="N01:取得顧客作業"/>
    <x v="7"/>
    <s v="拜訪時間"/>
    <n v="159"/>
    <s v="CustomerProject:顧客專案"/>
    <x v="40"/>
  </r>
  <r>
    <n v="2018"/>
    <x v="1"/>
    <s v="201804"/>
    <s v="Kelly Group"/>
    <s v="公隆化學股份有限公司"/>
    <x v="0"/>
    <n v="1362.3045454544999"/>
    <n v="1362.3045454526"/>
    <s v="N01:取得顧客作業"/>
    <x v="7"/>
    <s v="拜訪時間"/>
    <n v="107"/>
    <s v="CustomerProject:顧客專案"/>
    <x v="2"/>
  </r>
  <r>
    <n v="2018"/>
    <x v="1"/>
    <s v="201804"/>
    <s v="Kelly Group"/>
    <s v="公隆化學股份有限公司"/>
    <x v="0"/>
    <n v="1362.3045454544999"/>
    <n v="1362.3045454526"/>
    <s v="N01:取得顧客作業"/>
    <x v="7"/>
    <s v="拜訪時間"/>
    <n v="107"/>
    <s v="CustomerProject:顧客專案"/>
    <x v="64"/>
  </r>
  <r>
    <n v="2018"/>
    <x v="1"/>
    <s v="201804"/>
    <s v="Kelly Group"/>
    <s v="公隆化學股份有限公司"/>
    <x v="0"/>
    <n v="1044.0090909091"/>
    <n v="1044.0090909076"/>
    <s v="N01:取得顧客作業"/>
    <x v="4"/>
    <s v="拜訪時間"/>
    <n v="82"/>
    <s v="CustomerProject:顧客專案"/>
    <x v="89"/>
  </r>
  <r>
    <n v="2018"/>
    <x v="1"/>
    <s v="201804"/>
    <s v="Kelly Group"/>
    <s v="公隆化學股份有限公司"/>
    <x v="0"/>
    <n v="1566.0136363636"/>
    <n v="1566.0136363613999"/>
    <s v="N01:取得顧客作業"/>
    <x v="4"/>
    <s v="拜訪時間"/>
    <n v="123"/>
    <s v="CustomerProject:顧客專案"/>
    <x v="90"/>
  </r>
  <r>
    <n v="2018"/>
    <x v="1"/>
    <s v="201804"/>
    <s v="Kelly Group"/>
    <s v="公隆化學股份有限公司"/>
    <x v="1"/>
    <n v="12871.9458333333"/>
    <n v="12871.945833326999"/>
    <s v="N01:取得顧客作業"/>
    <x v="4"/>
    <s v="拜訪時間"/>
    <n v="171"/>
    <s v="CustomerProject:顧客專案"/>
    <x v="91"/>
  </r>
  <r>
    <n v="2018"/>
    <x v="1"/>
    <s v="201804"/>
    <s v="Kelly Group"/>
    <s v="公隆化學股份有限公司"/>
    <x v="1"/>
    <n v="11667.553240740701"/>
    <n v="11667.553240735"/>
    <s v="N01:取得顧客作業"/>
    <x v="4"/>
    <s v="拜訪時間"/>
    <n v="155"/>
    <s v="CustomerProject:顧客專案"/>
    <x v="92"/>
  </r>
  <r>
    <n v="2018"/>
    <x v="1"/>
    <s v="201804"/>
    <s v="Kelly Group"/>
    <s v="公隆化學股份有限公司"/>
    <x v="1"/>
    <n v="6172.5120370369996"/>
    <n v="6172.5120370340001"/>
    <s v="N01:取得顧客作業"/>
    <x v="4"/>
    <s v="拜訪時間"/>
    <n v="82"/>
    <s v="CustomerProject:顧客專案"/>
    <x v="93"/>
  </r>
  <r>
    <n v="2018"/>
    <x v="1"/>
    <s v="201804"/>
    <s v="Kelly Group"/>
    <s v="公隆化學股份有限公司"/>
    <x v="1"/>
    <n v="5419.7666666667001"/>
    <n v="5419.7666666639998"/>
    <s v="N01:取得顧客作業"/>
    <x v="4"/>
    <s v="拜訪時間"/>
    <n v="72"/>
    <s v="CustomerProject:顧客專案"/>
    <x v="94"/>
  </r>
  <r>
    <n v="2018"/>
    <x v="1"/>
    <s v="201804"/>
    <s v="Kelly Group"/>
    <s v="公隆化學股份有限公司"/>
    <x v="1"/>
    <n v="7376.9046296296001"/>
    <n v="7376.9046296260003"/>
    <s v="N01:取得顧客作業"/>
    <x v="4"/>
    <s v="拜訪時間"/>
    <n v="98"/>
    <s v="CustomerProject:顧客專案"/>
    <x v="95"/>
  </r>
  <r>
    <n v="2018"/>
    <x v="1"/>
    <s v="201804"/>
    <s v="Kelly Group"/>
    <s v="公隆化學股份有限公司"/>
    <x v="1"/>
    <n v="5269.2175925926003"/>
    <n v="5269.2175925900001"/>
    <s v="N01:取得顧客作業"/>
    <x v="4"/>
    <s v="拜訪時間"/>
    <n v="70"/>
    <s v="CustomerProject:顧客專案"/>
    <x v="96"/>
  </r>
  <r>
    <n v="2018"/>
    <x v="1"/>
    <s v="201804"/>
    <s v="Kelly Group"/>
    <s v="公隆化學股份有限公司"/>
    <x v="1"/>
    <n v="11818.1023148148"/>
    <n v="11818.102314809001"/>
    <s v="N01:取得顧客作業"/>
    <x v="4"/>
    <s v="拜訪時間"/>
    <n v="157"/>
    <s v="CustomerProject:顧客專案"/>
    <x v="97"/>
  </r>
  <r>
    <n v="2018"/>
    <x v="1"/>
    <s v="201804"/>
    <s v="Kelly Group"/>
    <s v="公隆化學股份有限公司"/>
    <x v="1"/>
    <n v="7527.4537037036998"/>
    <n v="7527.4537037"/>
    <s v="N01:取得顧客作業"/>
    <x v="4"/>
    <s v="拜訪時間"/>
    <n v="100"/>
    <s v="CustomerProject:顧客專案"/>
    <x v="98"/>
  </r>
  <r>
    <n v="2018"/>
    <x v="1"/>
    <s v="201804"/>
    <s v="Kelly Group"/>
    <s v="公隆化學股份有限公司"/>
    <x v="1"/>
    <n v="14151.612962963"/>
    <n v="14151.612962956"/>
    <s v="N01:取得顧客作業"/>
    <x v="4"/>
    <s v="拜訪時間"/>
    <n v="188"/>
    <s v="CustomerProject:顧客專案"/>
    <x v="88"/>
  </r>
  <r>
    <n v="2018"/>
    <x v="1"/>
    <s v="201804"/>
    <s v="Kelly Group"/>
    <s v="公隆化學股份有限公司"/>
    <x v="1"/>
    <n v="11667.553240740701"/>
    <n v="11667.553240735"/>
    <s v="N01:取得顧客作業"/>
    <x v="4"/>
    <s v="拜訪時間"/>
    <n v="155"/>
    <s v="CustomerProject:顧客專案"/>
    <x v="99"/>
  </r>
  <r>
    <n v="2018"/>
    <x v="1"/>
    <s v="201804"/>
    <s v="Kelly Group"/>
    <s v="公隆化學股份有限公司"/>
    <x v="1"/>
    <n v="4140.0995370370001"/>
    <n v="4140.0995370350001"/>
    <s v="N01:取得顧客作業"/>
    <x v="4"/>
    <s v="拜訪時間"/>
    <n v="55"/>
    <s v="CustomerProject:顧客專案"/>
    <x v="100"/>
  </r>
  <r>
    <n v="2018"/>
    <x v="1"/>
    <s v="201804"/>
    <s v="Kelly Group"/>
    <s v="公隆化學股份有限公司"/>
    <x v="1"/>
    <n v="12495.5731481482"/>
    <n v="12495.573148142001"/>
    <s v="N01:取得顧客作業"/>
    <x v="4"/>
    <s v="拜訪時間"/>
    <n v="166"/>
    <s v="CustomerProject:顧客專案"/>
    <x v="101"/>
  </r>
  <r>
    <n v="2018"/>
    <x v="1"/>
    <s v="201804"/>
    <s v="Kelly Group"/>
    <s v="公隆化學股份有限公司"/>
    <x v="1"/>
    <n v="10538.435185185201"/>
    <n v="10538.43518518"/>
    <s v="N01:取得顧客作業"/>
    <x v="4"/>
    <s v="拜訪時間"/>
    <n v="140"/>
    <s v="CustomerProject:顧客專案"/>
    <x v="102"/>
  </r>
  <r>
    <n v="2018"/>
    <x v="1"/>
    <s v="201804"/>
    <s v="Kelly Group"/>
    <s v="公隆化學股份有限公司"/>
    <x v="0"/>
    <n v="1222.2545454545"/>
    <n v="1222.2545454527999"/>
    <s v="N01:取得顧客作業"/>
    <x v="4"/>
    <s v="拜訪時間"/>
    <n v="96"/>
    <s v="CustomerProject:顧客專案"/>
    <x v="103"/>
  </r>
  <r>
    <n v="2018"/>
    <x v="1"/>
    <s v="201804"/>
    <s v="Kelly Group"/>
    <s v="公隆化學股份有限公司"/>
    <x v="0"/>
    <n v="2533.6318181819001"/>
    <n v="2533.6318181781999"/>
    <s v="N01:取得顧客作業"/>
    <x v="4"/>
    <s v="拜訪時間"/>
    <n v="199"/>
    <s v="CustomerProject:顧客專案"/>
    <x v="37"/>
  </r>
  <r>
    <n v="2018"/>
    <x v="1"/>
    <s v="201804"/>
    <s v="Kelly Group"/>
    <s v="公隆化學股份有限公司"/>
    <x v="1"/>
    <n v="36131.777777777897"/>
    <n v="36131.777777759999"/>
    <s v="N01:取得顧客作業"/>
    <x v="4"/>
    <s v="拜訪時間"/>
    <n v="480"/>
    <s v="CustomerProject:顧客專案"/>
    <x v="103"/>
  </r>
  <r>
    <n v="2018"/>
    <x v="1"/>
    <s v="201804"/>
    <s v="Kelly Group"/>
    <s v="公隆化學股份有限公司"/>
    <x v="1"/>
    <n v="8957.6699074074004"/>
    <n v="8957.6699074030003"/>
    <s v="N01:取得顧客作業"/>
    <x v="4"/>
    <s v="拜訪時間"/>
    <n v="119"/>
    <s v="CustomerProject:顧客專案"/>
    <x v="104"/>
  </r>
  <r>
    <n v="2018"/>
    <x v="1"/>
    <s v="201804"/>
    <s v="Kelly Group"/>
    <s v="公隆化學股份有限公司"/>
    <x v="1"/>
    <n v="19947.752314814799"/>
    <n v="19947.752314804999"/>
    <s v="N01:取得顧客作業"/>
    <x v="6"/>
    <s v="拜訪時間"/>
    <n v="265"/>
    <s v="CustomerProject:顧客專案"/>
    <x v="23"/>
  </r>
  <r>
    <n v="2018"/>
    <x v="1"/>
    <s v="201804"/>
    <s v="Kelly Group"/>
    <s v="公隆化學股份有限公司"/>
    <x v="1"/>
    <n v="1129.1180555556"/>
    <n v="1129.118055555"/>
    <s v="N01:取得顧客作業"/>
    <x v="6"/>
    <s v="拜訪時間"/>
    <n v="15"/>
    <s v="CustomerProject:顧客專案"/>
    <x v="18"/>
  </r>
  <r>
    <n v="2018"/>
    <x v="1"/>
    <s v="201804"/>
    <s v="Kelly Group"/>
    <s v="公隆化學股份有限公司"/>
    <x v="0"/>
    <n v="3055.6363636363999"/>
    <n v="3055.6363636320002"/>
    <s v="N01:取得顧客作業"/>
    <x v="13"/>
    <s v="拜訪時間"/>
    <n v="240"/>
    <s v="CustomerProject:顧客專案"/>
    <x v="82"/>
  </r>
  <r>
    <n v="2018"/>
    <x v="1"/>
    <s v="201804"/>
    <s v="Kelly Group"/>
    <s v="公隆化學股份有限公司"/>
    <x v="0"/>
    <n v="1400.5"/>
    <n v="1400.499999998"/>
    <s v="N01:取得顧客作業"/>
    <x v="13"/>
    <s v="拜訪時間"/>
    <n v="110"/>
    <s v="CustomerProject:顧客專案"/>
    <x v="105"/>
  </r>
  <r>
    <n v="2018"/>
    <x v="1"/>
    <s v="201804"/>
    <s v="Kelly Group"/>
    <s v="公隆化學股份有限公司"/>
    <x v="1"/>
    <n v="4140.0995370370001"/>
    <n v="4140.0995370350001"/>
    <s v="N01:取得顧客作業"/>
    <x v="13"/>
    <s v="拜訪時間"/>
    <n v="55"/>
    <s v="CustomerProject:顧客專案"/>
    <x v="106"/>
  </r>
  <r>
    <n v="2018"/>
    <x v="1"/>
    <s v="201804"/>
    <s v="Kelly Group"/>
    <s v="公隆化學股份有限公司"/>
    <x v="0"/>
    <n v="802.1045454545"/>
    <n v="802.10454545339996"/>
    <s v="N03:售後服務作業"/>
    <x v="14"/>
    <s v="拜訪時間"/>
    <n v="63"/>
    <s v="CustomerProject:顧客專案"/>
    <x v="103"/>
  </r>
  <r>
    <n v="2018"/>
    <x v="1"/>
    <s v="201804"/>
    <s v="Kelly Group"/>
    <s v="公隆化學股份有限公司"/>
    <x v="0"/>
    <n v="3055.6363636363999"/>
    <n v="3055.6363636320002"/>
    <s v="N01:取得顧客作業"/>
    <x v="9"/>
    <s v="拜訪時間"/>
    <n v="240"/>
    <s v="CustomerProject:顧客專案"/>
    <x v="59"/>
  </r>
  <r>
    <n v="2018"/>
    <x v="1"/>
    <s v="201804"/>
    <s v="Kelly Group"/>
    <s v="公隆化學股份有限公司"/>
    <x v="0"/>
    <n v="2037.0909090908999"/>
    <n v="2037.090909088"/>
    <s v="N01:取得顧客作業"/>
    <x v="9"/>
    <s v="拜訪時間"/>
    <n v="160"/>
    <s v="CustomerProject:顧客專案"/>
    <x v="107"/>
  </r>
  <r>
    <n v="2018"/>
    <x v="1"/>
    <s v="201804"/>
    <s v="Kelly Group"/>
    <s v="公隆化學股份有限公司"/>
    <x v="0"/>
    <n v="1413.2318181818"/>
    <n v="1413.2318181798"/>
    <s v="N01:取得顧客作業"/>
    <x v="9"/>
    <s v="拜訪時間"/>
    <n v="111"/>
    <s v="CustomerProject:顧客專案"/>
    <x v="105"/>
  </r>
  <r>
    <n v="2018"/>
    <x v="1"/>
    <s v="201804"/>
    <s v="Kelly Group"/>
    <s v="公隆化學股份有限公司"/>
    <x v="0"/>
    <n v="3717.6909090908998"/>
    <n v="3717.6909090856002"/>
    <s v="N01:取得顧客作業"/>
    <x v="9"/>
    <s v="拜訪時間"/>
    <n v="292"/>
    <s v="CustomerProject:顧客專案"/>
    <x v="108"/>
  </r>
  <r>
    <n v="2018"/>
    <x v="1"/>
    <s v="201804"/>
    <s v="Kelly Group"/>
    <s v="公隆化學股份有限公司"/>
    <x v="0"/>
    <n v="2533.6318181818001"/>
    <n v="2533.6318181781999"/>
    <s v="N01:取得顧客作業"/>
    <x v="9"/>
    <s v="拜訪時間"/>
    <n v="199"/>
    <s v="CustomerProject:顧客專案"/>
    <x v="108"/>
  </r>
  <r>
    <n v="2018"/>
    <x v="1"/>
    <s v="201804"/>
    <s v="Kelly Group"/>
    <s v="公隆化學股份有限公司"/>
    <x v="0"/>
    <n v="3055.6363636363999"/>
    <n v="3055.6363636320002"/>
    <s v="N01:取得顧客作業"/>
    <x v="9"/>
    <s v="拜訪時間"/>
    <n v="240"/>
    <s v="CustomerProject:顧客專案"/>
    <x v="109"/>
  </r>
  <r>
    <n v="2018"/>
    <x v="1"/>
    <s v="201804"/>
    <s v="Kelly Group"/>
    <s v="公隆化學股份有限公司"/>
    <x v="0"/>
    <n v="2444.5090909091"/>
    <n v="2444.5090909055998"/>
    <s v="N01:取得顧客作業"/>
    <x v="9"/>
    <s v="拜訪時間"/>
    <n v="192"/>
    <s v="CustomerProject:顧客專案"/>
    <x v="69"/>
  </r>
  <r>
    <n v="2018"/>
    <x v="1"/>
    <s v="201804"/>
    <s v="Kelly Group"/>
    <s v="公隆化學股份有限公司"/>
    <x v="0"/>
    <n v="2037.0909090908999"/>
    <n v="2037.090909088"/>
    <s v="N01:取得顧客作業"/>
    <x v="9"/>
    <s v="拜訪時間"/>
    <n v="160"/>
    <s v="CustomerProject:顧客專案"/>
    <x v="110"/>
  </r>
  <r>
    <n v="2018"/>
    <x v="1"/>
    <s v="201804"/>
    <s v="Kelly Group"/>
    <s v="公隆化學股份有限公司"/>
    <x v="0"/>
    <n v="2826.4636363637001"/>
    <n v="2826.4636363596001"/>
    <s v="N01:取得顧客作業"/>
    <x v="10"/>
    <s v="拜訪時間"/>
    <n v="222"/>
    <s v="CustomerProject:顧客專案"/>
    <x v="77"/>
  </r>
  <r>
    <n v="2018"/>
    <x v="1"/>
    <s v="201804"/>
    <s v="Kelly Group"/>
    <s v="公隆化學股份有限公司"/>
    <x v="0"/>
    <n v="2826.4636363636"/>
    <n v="2826.4636363596001"/>
    <s v="N01:取得顧客作業"/>
    <x v="10"/>
    <s v="拜訪時間"/>
    <n v="222"/>
    <s v="CustomerProject:顧客專案"/>
    <x v="45"/>
  </r>
  <r>
    <n v="2018"/>
    <x v="1"/>
    <s v="201804"/>
    <s v="Kelly Group"/>
    <s v="公隆化學股份有限公司"/>
    <x v="0"/>
    <n v="3666.7636363636002"/>
    <n v="3666.7636363584002"/>
    <s v="N03:售後服務作業"/>
    <x v="15"/>
    <s v="拜訪時間"/>
    <n v="288"/>
    <s v="CustomerProject:顧客專案"/>
    <x v="62"/>
  </r>
  <r>
    <n v="2018"/>
    <x v="1"/>
    <s v="201804"/>
    <s v="Kelly Group"/>
    <s v="公隆化學股份有限公司"/>
    <x v="0"/>
    <n v="97780.363636363603"/>
    <n v="97780.363636224007"/>
    <s v="N04:其他"/>
    <x v="3"/>
    <s v="拜訪時間"/>
    <n v="7680"/>
    <s v="CustomerProject:顧客專案"/>
    <x v="24"/>
  </r>
  <r>
    <n v="2018"/>
    <x v="1"/>
    <s v="201804"/>
    <s v="Kelly Group"/>
    <s v="公隆化學股份有限公司"/>
    <x v="1"/>
    <n v="361317.77777777781"/>
    <n v="361317.77777759999"/>
    <s v="N04:其他"/>
    <x v="3"/>
    <s v="拜訪時間"/>
    <n v="4800"/>
    <s v="CustomerProject:顧客專案"/>
    <x v="24"/>
  </r>
  <r>
    <n v="2018"/>
    <x v="1"/>
    <s v="201804"/>
    <s v="Kelly Group"/>
    <s v="公隆化學股份有限公司"/>
    <x v="0"/>
    <n v="1807.9181818182001"/>
    <n v="1807.9181818156001"/>
    <s v="N02:維持顧客作業"/>
    <x v="8"/>
    <s v="拜訪時間"/>
    <n v="142"/>
    <s v="CustomerProject:顧客專案"/>
    <x v="111"/>
  </r>
  <r>
    <n v="2018"/>
    <x v="1"/>
    <s v="201804"/>
    <s v="Kelly Group"/>
    <s v="公隆化學股份有限公司"/>
    <x v="0"/>
    <n v="1044.0090909091"/>
    <n v="1044.0090909076"/>
    <s v="N02:維持顧客作業"/>
    <x v="8"/>
    <s v="拜訪時間"/>
    <n v="82"/>
    <s v="CustomerProject:顧客專案"/>
    <x v="112"/>
  </r>
  <r>
    <n v="2018"/>
    <x v="1"/>
    <s v="201804"/>
    <s v="Kelly Group"/>
    <s v="公隆化學股份有限公司"/>
    <x v="0"/>
    <n v="3577.6409090909001"/>
    <n v="3577.6409090858001"/>
    <s v="N02:維持顧客作業"/>
    <x v="8"/>
    <s v="拜訪時間"/>
    <n v="281"/>
    <s v="CustomerProject:顧客專案"/>
    <x v="113"/>
  </r>
  <r>
    <n v="2018"/>
    <x v="1"/>
    <s v="201804"/>
    <s v="Kelly Group"/>
    <s v="公隆化學股份有限公司"/>
    <x v="0"/>
    <n v="3348.4681818181998"/>
    <n v="3348.4681818134"/>
    <s v="N02:維持顧客作業"/>
    <x v="8"/>
    <s v="拜訪時間"/>
    <n v="263"/>
    <s v="CustomerProject:顧客專案"/>
    <x v="76"/>
  </r>
  <r>
    <n v="2018"/>
    <x v="1"/>
    <s v="201804"/>
    <s v="Kelly Group"/>
    <s v="公隆化學股份有限公司"/>
    <x v="0"/>
    <n v="2762.8045454544999"/>
    <n v="2762.8045454506"/>
    <s v="N02:維持顧客作業"/>
    <x v="8"/>
    <s v="拜訪時間"/>
    <n v="217"/>
    <s v="CustomerProject:顧客專案"/>
    <x v="0"/>
  </r>
  <r>
    <n v="2018"/>
    <x v="1"/>
    <s v="201804"/>
    <s v="Kelly Group"/>
    <s v="公隆化學股份有限公司"/>
    <x v="0"/>
    <n v="2457.2409090909"/>
    <n v="2457.2409090873998"/>
    <s v="N02:維持顧客作業"/>
    <x v="8"/>
    <s v="拜訪時間"/>
    <n v="193"/>
    <s v="CustomerProject:顧客專案"/>
    <x v="70"/>
  </r>
  <r>
    <n v="2018"/>
    <x v="1"/>
    <s v="201804"/>
    <s v="Kelly Group"/>
    <s v="公隆化學股份有限公司"/>
    <x v="0"/>
    <n v="2151.6772727273001"/>
    <n v="2151.6772727242001"/>
    <s v="N02:維持顧客作業"/>
    <x v="8"/>
    <s v="拜訪時間"/>
    <n v="169"/>
    <s v="CustomerProject:顧客專案"/>
    <x v="0"/>
  </r>
  <r>
    <n v="2018"/>
    <x v="2"/>
    <s v="201805"/>
    <s v="Kelly Group"/>
    <s v="公隆化學股份有限公司"/>
    <x v="0"/>
    <n v="2382.5414634146"/>
    <n v="2382.5414634048002"/>
    <s v="N01:取得顧客作業"/>
    <x v="13"/>
    <s v="拜訪時間"/>
    <n v="288"/>
    <s v="CustomerProject:顧客專案"/>
    <x v="40"/>
  </r>
  <r>
    <n v="2018"/>
    <x v="2"/>
    <s v="201805"/>
    <s v="Kelly Group"/>
    <s v="公隆化學股份有限公司"/>
    <x v="0"/>
    <n v="1323.6341463414999"/>
    <n v="1323.634146336"/>
    <s v="N01:取得顧客作業"/>
    <x v="13"/>
    <s v="拜訪時間"/>
    <n v="160"/>
    <s v="CustomerProject:顧客專案"/>
    <x v="47"/>
  </r>
  <r>
    <n v="2018"/>
    <x v="2"/>
    <s v="201805"/>
    <s v="Kelly Group"/>
    <s v="公隆化學股份有限公司"/>
    <x v="0"/>
    <n v="3970.9024390243999"/>
    <n v="3970.9024390079999"/>
    <s v="N01:取得顧客作業"/>
    <x v="7"/>
    <s v="拜訪時間"/>
    <n v="480"/>
    <s v="CustomerProject:顧客專案"/>
    <x v="114"/>
  </r>
  <r>
    <n v="2018"/>
    <x v="2"/>
    <s v="201805"/>
    <s v="Kelly Group"/>
    <s v="公隆化學股份有限公司"/>
    <x v="0"/>
    <n v="3970.9024390243999"/>
    <n v="3970.9024390079999"/>
    <s v="N01:取得顧客作業"/>
    <x v="4"/>
    <s v="拜訪時間"/>
    <n v="480"/>
    <s v="CustomerProject:顧客專案"/>
    <x v="115"/>
  </r>
  <r>
    <n v="2018"/>
    <x v="2"/>
    <s v="201805"/>
    <s v="Kelly Group"/>
    <s v="公隆化學股份有限公司"/>
    <x v="0"/>
    <n v="794.18048780490005"/>
    <n v="794.18048780159995"/>
    <s v="N01:取得顧客作業"/>
    <x v="4"/>
    <s v="拜訪時間"/>
    <n v="96"/>
    <s v="CustomerProject:顧客專案"/>
    <x v="116"/>
  </r>
  <r>
    <n v="2018"/>
    <x v="2"/>
    <s v="201805"/>
    <s v="Kelly Group"/>
    <s v="公隆化學股份有限公司"/>
    <x v="0"/>
    <n v="1588.3609756098001"/>
    <n v="1588.3609756031999"/>
    <s v="N01:取得顧客作業"/>
    <x v="4"/>
    <s v="拜訪時間"/>
    <n v="192"/>
    <s v="CustomerProject:顧客專案"/>
    <x v="117"/>
  </r>
  <r>
    <n v="2018"/>
    <x v="2"/>
    <s v="201805"/>
    <s v="Kelly Group"/>
    <s v="公隆化學股份有限公司"/>
    <x v="0"/>
    <n v="1588.3609756098001"/>
    <n v="1588.3609756031999"/>
    <s v="N01:取得顧客作業"/>
    <x v="4"/>
    <s v="拜訪時間"/>
    <n v="192"/>
    <s v="CustomerProject:顧客專案"/>
    <x v="118"/>
  </r>
  <r>
    <n v="2018"/>
    <x v="2"/>
    <s v="201805"/>
    <s v="Kelly Group"/>
    <s v="公隆化學股份有限公司"/>
    <x v="0"/>
    <n v="1588.3609756097001"/>
    <n v="1588.3609756031999"/>
    <s v="N01:取得顧客作業"/>
    <x v="4"/>
    <s v="拜訪時間"/>
    <n v="192"/>
    <s v="CustomerProject:顧客專案"/>
    <x v="119"/>
  </r>
  <r>
    <n v="2018"/>
    <x v="2"/>
    <s v="201805"/>
    <s v="Kelly Group"/>
    <s v="公隆化學股份有限公司"/>
    <x v="0"/>
    <n v="1323.6341463414999"/>
    <n v="1323.634146336"/>
    <s v="N01:取得顧客作業"/>
    <x v="4"/>
    <s v="拜訪時間"/>
    <n v="160"/>
    <s v="CustomerProject:顧客專案"/>
    <x v="120"/>
  </r>
  <r>
    <n v="2018"/>
    <x v="2"/>
    <s v="201805"/>
    <s v="Kelly Group"/>
    <s v="公隆化學股份有限公司"/>
    <x v="0"/>
    <n v="992.72560975609997"/>
    <n v="992.72560975199997"/>
    <s v="N01:取得顧客作業"/>
    <x v="4"/>
    <s v="拜訪時間"/>
    <n v="120"/>
    <s v="CustomerProject:顧客專案"/>
    <x v="37"/>
  </r>
  <r>
    <n v="2018"/>
    <x v="2"/>
    <s v="201805"/>
    <s v="Kelly Group"/>
    <s v="公隆化學股份有限公司"/>
    <x v="0"/>
    <n v="1489.0884146341"/>
    <n v="1489.088414628"/>
    <s v="N01:取得顧客作業"/>
    <x v="4"/>
    <s v="拜訪時間"/>
    <n v="180"/>
    <s v="CustomerProject:顧客專案"/>
    <x v="121"/>
  </r>
  <r>
    <n v="2018"/>
    <x v="2"/>
    <s v="201805"/>
    <s v="Kelly Group"/>
    <s v="公隆化學股份有限公司"/>
    <x v="0"/>
    <n v="1654.5426829267999"/>
    <n v="1654.5426829200001"/>
    <s v="N01:取得顧客作業"/>
    <x v="4"/>
    <s v="拜訪時間"/>
    <n v="200"/>
    <s v="CustomerProject:顧客專案"/>
    <x v="68"/>
  </r>
  <r>
    <n v="2018"/>
    <x v="2"/>
    <s v="201805"/>
    <s v="Kelly Group"/>
    <s v="公隆化學股份有限公司"/>
    <x v="0"/>
    <n v="2142.6327743902002"/>
    <n v="2142.6327743813999"/>
    <s v="N01:取得顧客作業"/>
    <x v="4"/>
    <s v="拜訪時間"/>
    <n v="259"/>
    <s v="CustomerProject:顧客專案"/>
    <x v="50"/>
  </r>
  <r>
    <n v="2018"/>
    <x v="2"/>
    <s v="201805"/>
    <s v="Kelly Group"/>
    <s v="公隆化學股份有限公司"/>
    <x v="1"/>
    <n v="7703.4706439394004"/>
    <n v="7703.4706439455003"/>
    <s v="N01:取得顧客作業"/>
    <x v="4"/>
    <s v="拜訪時間"/>
    <n v="155"/>
    <s v="CustomerProject:顧客專案"/>
    <x v="101"/>
  </r>
  <r>
    <n v="2018"/>
    <x v="2"/>
    <s v="201805"/>
    <s v="Kelly Group"/>
    <s v="公隆化學股份有限公司"/>
    <x v="1"/>
    <n v="5168.7803030303003"/>
    <n v="5168.7803030344003"/>
    <s v="N01:取得顧客作業"/>
    <x v="4"/>
    <s v="拜訪時間"/>
    <n v="104"/>
    <s v="CustomerProject:顧客專案"/>
    <x v="102"/>
  </r>
  <r>
    <n v="2018"/>
    <x v="2"/>
    <s v="201805"/>
    <s v="Kelly Group"/>
    <s v="公隆化學股份有限公司"/>
    <x v="1"/>
    <n v="23855.909090909099"/>
    <n v="23855.909090927998"/>
    <s v="N01:取得顧客作業"/>
    <x v="4"/>
    <s v="拜訪時間"/>
    <n v="480"/>
    <s v="CustomerProject:顧客專案"/>
    <x v="122"/>
  </r>
  <r>
    <n v="2018"/>
    <x v="2"/>
    <s v="201805"/>
    <s v="Kelly Group"/>
    <s v="公隆化學股份有限公司"/>
    <x v="1"/>
    <n v="4075.384469697"/>
    <n v="4075.3844697002"/>
    <s v="N01:取得顧客作業"/>
    <x v="4"/>
    <s v="拜訪時間"/>
    <n v="82"/>
    <s v="CustomerProject:顧客專案"/>
    <x v="123"/>
  </r>
  <r>
    <n v="2018"/>
    <x v="2"/>
    <s v="201805"/>
    <s v="Kelly Group"/>
    <s v="公隆化學股份有限公司"/>
    <x v="1"/>
    <n v="2882.5890151515"/>
    <n v="2882.5890151538001"/>
    <s v="N03:售後服務作業"/>
    <x v="5"/>
    <s v="拜訪時間"/>
    <n v="58"/>
    <s v="CustomerProject:顧客專案"/>
    <x v="44"/>
  </r>
  <r>
    <n v="2018"/>
    <x v="2"/>
    <s v="201805"/>
    <s v="Kelly Group"/>
    <s v="公隆化學股份有限公司"/>
    <x v="1"/>
    <n v="8001.6695075757998"/>
    <n v="8001.6695075820999"/>
    <s v="N01:取得顧客作業"/>
    <x v="6"/>
    <s v="拜訪時間"/>
    <n v="161"/>
    <s v="CustomerProject:顧客專案"/>
    <x v="19"/>
  </r>
  <r>
    <n v="2018"/>
    <x v="2"/>
    <s v="201805"/>
    <s v="Kelly Group"/>
    <s v="公隆化學股份有限公司"/>
    <x v="1"/>
    <n v="844.89678030300001"/>
    <n v="844.89678030369998"/>
    <s v="N01:取得顧客作業"/>
    <x v="6"/>
    <s v="拜訪時間"/>
    <n v="17"/>
    <s v="CustomerProject:顧客專案"/>
    <x v="104"/>
  </r>
  <r>
    <n v="2018"/>
    <x v="2"/>
    <s v="201805"/>
    <s v="Kelly Group"/>
    <s v="公隆化學股份有限公司"/>
    <x v="1"/>
    <n v="4671.7821969696997"/>
    <n v="4671.7821969733996"/>
    <s v="N01:取得顧客作業"/>
    <x v="6"/>
    <s v="拜訪時間"/>
    <n v="94"/>
    <s v="CustomerProject:顧客專案"/>
    <x v="87"/>
  </r>
  <r>
    <n v="2018"/>
    <x v="2"/>
    <s v="201805"/>
    <s v="Kelly Group"/>
    <s v="公隆化學股份有限公司"/>
    <x v="1"/>
    <n v="2981.9886363635001"/>
    <n v="2981.9886363659998"/>
    <s v="N03:售後服務作業"/>
    <x v="16"/>
    <s v="拜訪時間"/>
    <n v="60"/>
    <s v="CustomerProject:顧客專案"/>
    <x v="124"/>
  </r>
  <r>
    <n v="2018"/>
    <x v="2"/>
    <s v="201805"/>
    <s v="Kelly Group"/>
    <s v="公隆化學股份有限公司"/>
    <x v="0"/>
    <n v="41.363567073200002"/>
    <n v="41.363567072999999"/>
    <s v="N01:取得顧客作業"/>
    <x v="0"/>
    <s v="拜訪時間"/>
    <n v="5"/>
    <s v="CustomerProject:顧客專案"/>
    <x v="125"/>
  </r>
  <r>
    <n v="2018"/>
    <x v="2"/>
    <s v="201805"/>
    <s v="Kelly Group"/>
    <s v="公隆化學股份有限公司"/>
    <x v="0"/>
    <n v="1588.3609756098001"/>
    <n v="1588.3609756031999"/>
    <s v="N01:取得顧客作業"/>
    <x v="0"/>
    <s v="拜訪時間"/>
    <n v="192"/>
    <s v="CustomerProject:顧客專案"/>
    <x v="85"/>
  </r>
  <r>
    <n v="2018"/>
    <x v="2"/>
    <s v="201805"/>
    <s v="Kelly Group"/>
    <s v="公隆化學股份有限公司"/>
    <x v="0"/>
    <n v="1985.4512195121999"/>
    <n v="1985.4512195039999"/>
    <s v="N01:取得顧客作業"/>
    <x v="0"/>
    <s v="拜訪時間"/>
    <n v="240"/>
    <s v="CustomerProject:顧客專案"/>
    <x v="68"/>
  </r>
  <r>
    <n v="2018"/>
    <x v="2"/>
    <s v="201805"/>
    <s v="Kelly Group"/>
    <s v="公隆化學股份有限公司"/>
    <x v="0"/>
    <n v="1489.0884146341"/>
    <n v="1489.088414628"/>
    <s v="N01:取得顧客作業"/>
    <x v="0"/>
    <s v="拜訪時間"/>
    <n v="180"/>
    <s v="CustomerProject:顧客專案"/>
    <x v="65"/>
  </r>
  <r>
    <n v="2018"/>
    <x v="2"/>
    <s v="201805"/>
    <s v="Kelly Group"/>
    <s v="公隆化學股份有限公司"/>
    <x v="0"/>
    <n v="3970.9024390243999"/>
    <n v="3970.9024390079999"/>
    <s v="N01:取得顧客作業"/>
    <x v="0"/>
    <s v="拜訪時間"/>
    <n v="480"/>
    <s v="CustomerProject:顧客專案"/>
    <x v="60"/>
  </r>
  <r>
    <n v="2018"/>
    <x v="2"/>
    <s v="201805"/>
    <s v="Kelly Group"/>
    <s v="公隆化學股份有限公司"/>
    <x v="0"/>
    <n v="1985.4512195121999"/>
    <n v="1985.4512195039999"/>
    <s v="N01:取得顧客作業"/>
    <x v="0"/>
    <s v="拜訪時間"/>
    <n v="240"/>
    <s v="CustomerProject:顧客專案"/>
    <x v="77"/>
  </r>
  <r>
    <n v="2018"/>
    <x v="2"/>
    <s v="201805"/>
    <s v="Kelly Group"/>
    <s v="公隆化學股份有限公司"/>
    <x v="0"/>
    <n v="1323.6341463414999"/>
    <n v="1323.634146336"/>
    <s v="N01:取得顧客作業"/>
    <x v="0"/>
    <s v="拜訪時間"/>
    <n v="160"/>
    <s v="CustomerProject:顧客專案"/>
    <x v="77"/>
  </r>
  <r>
    <n v="2018"/>
    <x v="2"/>
    <s v="201805"/>
    <s v="Kelly Group"/>
    <s v="公隆化學股份有限公司"/>
    <x v="0"/>
    <n v="1323.6341463414999"/>
    <n v="1323.634146336"/>
    <s v="N01:取得顧客作業"/>
    <x v="0"/>
    <s v="拜訪時間"/>
    <n v="160"/>
    <s v="CustomerProject:顧客專案"/>
    <x v="11"/>
  </r>
  <r>
    <n v="2018"/>
    <x v="2"/>
    <s v="201805"/>
    <s v="Kelly Group"/>
    <s v="公隆化學股份有限公司"/>
    <x v="0"/>
    <n v="1323.6341463414999"/>
    <n v="1323.634146336"/>
    <s v="N01:取得顧客作業"/>
    <x v="0"/>
    <s v="拜訪時間"/>
    <n v="160"/>
    <s v="CustomerProject:顧客專案"/>
    <x v="48"/>
  </r>
  <r>
    <n v="2018"/>
    <x v="2"/>
    <s v="201805"/>
    <s v="Kelly Group"/>
    <s v="公隆化學股份有限公司"/>
    <x v="0"/>
    <n v="1985.4512195121999"/>
    <n v="1985.4512195039999"/>
    <s v="N01:取得顧客作業"/>
    <x v="0"/>
    <s v="拜訪時間"/>
    <n v="240"/>
    <s v="CustomerProject:顧客專案"/>
    <x v="45"/>
  </r>
  <r>
    <n v="2018"/>
    <x v="2"/>
    <s v="201805"/>
    <s v="Kelly Group"/>
    <s v="公隆化學股份有限公司"/>
    <x v="0"/>
    <n v="2382.5414634143999"/>
    <n v="2382.5414634048002"/>
    <s v="N01:取得顧客作業"/>
    <x v="0"/>
    <s v="拜訪時間"/>
    <n v="288"/>
    <s v="CustomerProject:顧客專案"/>
    <x v="4"/>
  </r>
  <r>
    <n v="2018"/>
    <x v="2"/>
    <s v="201805"/>
    <s v="Kelly Group"/>
    <s v="公隆化學股份有限公司"/>
    <x v="0"/>
    <n v="2647.2682926829002"/>
    <n v="2647.2682926719999"/>
    <s v="N01:取得顧客作業"/>
    <x v="0"/>
    <s v="拜訪時間"/>
    <n v="320"/>
    <s v="CustomerProject:顧客專案"/>
    <x v="14"/>
  </r>
  <r>
    <n v="2018"/>
    <x v="2"/>
    <s v="201805"/>
    <s v="Kelly Group"/>
    <s v="公隆化學股份有限公司"/>
    <x v="0"/>
    <n v="1985.4512195121999"/>
    <n v="1985.4512195039999"/>
    <s v="N01:取得顧客作業"/>
    <x v="0"/>
    <s v="拜訪時間"/>
    <n v="240"/>
    <s v="CustomerProject:顧客專案"/>
    <x v="56"/>
  </r>
  <r>
    <n v="2018"/>
    <x v="2"/>
    <s v="201805"/>
    <s v="Kelly Group"/>
    <s v="公隆化學股份有限公司"/>
    <x v="0"/>
    <n v="1985.4512195121999"/>
    <n v="1985.4512195039999"/>
    <s v="N01:取得顧客作業"/>
    <x v="0"/>
    <s v="拜訪時間"/>
    <n v="240"/>
    <s v="CustomerProject:顧客專案"/>
    <x v="5"/>
  </r>
  <r>
    <n v="2018"/>
    <x v="2"/>
    <s v="201805"/>
    <s v="Kelly Group"/>
    <s v="公隆化學股份有限公司"/>
    <x v="0"/>
    <n v="992.72560975609997"/>
    <n v="992.72560975199997"/>
    <s v="N01:取得顧客作業"/>
    <x v="0"/>
    <s v="拜訪時間"/>
    <n v="120"/>
    <s v="CustomerProject:顧客專案"/>
    <x v="126"/>
  </r>
  <r>
    <n v="2018"/>
    <x v="2"/>
    <s v="201805"/>
    <s v="Kelly Group"/>
    <s v="公隆化學股份有限公司"/>
    <x v="0"/>
    <n v="1985.4512195121999"/>
    <n v="1985.4512195039999"/>
    <s v="N01:取得顧客作業"/>
    <x v="0"/>
    <s v="拜訪時間"/>
    <n v="240"/>
    <s v="CustomerProject:顧客專案"/>
    <x v="53"/>
  </r>
  <r>
    <n v="2018"/>
    <x v="2"/>
    <s v="201805"/>
    <s v="Kelly Group"/>
    <s v="公隆化學股份有限公司"/>
    <x v="0"/>
    <n v="1786.906097561"/>
    <n v="1786.9060975535999"/>
    <s v="N01:取得顧客作業"/>
    <x v="0"/>
    <s v="拜訪時間"/>
    <n v="216"/>
    <s v="CustomerProject:顧客專案"/>
    <x v="39"/>
  </r>
  <r>
    <n v="2018"/>
    <x v="2"/>
    <s v="201805"/>
    <s v="Kelly Group"/>
    <s v="公隆化學股份有限公司"/>
    <x v="0"/>
    <n v="1323.6341463414999"/>
    <n v="1323.634146336"/>
    <s v="N01:取得顧客作業"/>
    <x v="0"/>
    <s v="拜訪時間"/>
    <n v="160"/>
    <s v="CustomerProject:顧客專案"/>
    <x v="127"/>
  </r>
  <r>
    <n v="2018"/>
    <x v="2"/>
    <s v="201805"/>
    <s v="Kelly Group"/>
    <s v="公隆化學股份有限公司"/>
    <x v="1"/>
    <n v="20873.9204545455"/>
    <n v="20873.920454562001"/>
    <s v="N01:取得顧客作業"/>
    <x v="17"/>
    <s v="拜訪時間"/>
    <n v="420"/>
    <s v="CustomerProject:顧客專案"/>
    <x v="30"/>
  </r>
  <r>
    <n v="2018"/>
    <x v="2"/>
    <s v="201805"/>
    <s v="Kelly Group"/>
    <s v="公隆化學股份有限公司"/>
    <x v="1"/>
    <n v="15705.140151515099"/>
    <n v="15705.140151527599"/>
    <s v="N01:取得顧客作業"/>
    <x v="1"/>
    <s v="拜訪時間"/>
    <n v="316"/>
    <s v="CustomerProject:顧客專案"/>
    <x v="88"/>
  </r>
  <r>
    <n v="2018"/>
    <x v="2"/>
    <s v="201805"/>
    <s v="Kelly Group"/>
    <s v="公隆化學股份有限公司"/>
    <x v="1"/>
    <n v="23458.310606060601"/>
    <n v="23458.310606079202"/>
    <s v="N01:取得顧客作業"/>
    <x v="1"/>
    <s v="拜訪時間"/>
    <n v="472"/>
    <s v="CustomerProject:顧客專案"/>
    <x v="73"/>
  </r>
  <r>
    <n v="2018"/>
    <x v="2"/>
    <s v="201805"/>
    <s v="Kelly Group"/>
    <s v="公隆化學股份有限公司"/>
    <x v="1"/>
    <n v="3429.2869318182002"/>
    <n v="3429.2869318209"/>
    <s v="N01:取得顧客作業"/>
    <x v="1"/>
    <s v="拜訪時間"/>
    <n v="69"/>
    <s v="CustomerProject:顧客專案"/>
    <x v="91"/>
  </r>
  <r>
    <n v="2018"/>
    <x v="2"/>
    <s v="201805"/>
    <s v="Kelly Group"/>
    <s v="公隆化學股份有限公司"/>
    <x v="1"/>
    <n v="5665.7784090908999"/>
    <n v="5665.7784090954001"/>
    <s v="N01:取得顧客作業"/>
    <x v="1"/>
    <s v="拜訪時間"/>
    <n v="114"/>
    <s v="CustomerProject:顧客專案"/>
    <x v="95"/>
  </r>
  <r>
    <n v="2018"/>
    <x v="2"/>
    <s v="201805"/>
    <s v="Kelly Group"/>
    <s v="公隆化學股份有限公司"/>
    <x v="1"/>
    <n v="397.59848484849999"/>
    <n v="397.59848484880001"/>
    <s v="N01:取得顧客作業"/>
    <x v="1"/>
    <s v="拜訪時間"/>
    <n v="8"/>
    <s v="CustomerProject:顧客專案"/>
    <x v="30"/>
  </r>
  <r>
    <n v="2018"/>
    <x v="2"/>
    <s v="201805"/>
    <s v="Kelly Group"/>
    <s v="公隆化學股份有限公司"/>
    <x v="1"/>
    <n v="3926.2850378787998"/>
    <n v="3926.2850378818998"/>
    <s v="N01:取得顧客作業"/>
    <x v="1"/>
    <s v="拜訪時間"/>
    <n v="79"/>
    <s v="CustomerProject:顧客專案"/>
    <x v="33"/>
  </r>
  <r>
    <n v="2018"/>
    <x v="2"/>
    <s v="201805"/>
    <s v="Kelly Group"/>
    <s v="公隆化學股份有限公司"/>
    <x v="1"/>
    <n v="8150.768939394"/>
    <n v="8150.7689394004001"/>
    <s v="N01:取得顧客作業"/>
    <x v="1"/>
    <s v="拜訪時間"/>
    <n v="164"/>
    <s v="CustomerProject:顧客專案"/>
    <x v="128"/>
  </r>
  <r>
    <n v="2018"/>
    <x v="2"/>
    <s v="201805"/>
    <s v="Kelly Group"/>
    <s v="公隆化學股份有限公司"/>
    <x v="1"/>
    <n v="10089.0615530303"/>
    <n v="10089.0615530383"/>
    <s v="N01:取得顧客作業"/>
    <x v="1"/>
    <s v="拜訪時間"/>
    <n v="203"/>
    <s v="CustomerProject:顧客專案"/>
    <x v="128"/>
  </r>
  <r>
    <n v="2018"/>
    <x v="2"/>
    <s v="201805"/>
    <s v="Kelly Group"/>
    <s v="公隆化學股份有限公司"/>
    <x v="0"/>
    <n v="79418.048780487807"/>
    <n v="79418.048780159996"/>
    <s v="N04:其他"/>
    <x v="3"/>
    <s v="拜訪時間"/>
    <n v="9600"/>
    <s v="CustomerProject:顧客專案"/>
    <x v="24"/>
  </r>
  <r>
    <n v="2018"/>
    <x v="2"/>
    <s v="201805"/>
    <s v="Kelly Group"/>
    <s v="公隆化學股份有限公司"/>
    <x v="1"/>
    <n v="310126.81818181818"/>
    <n v="310126.81818206387"/>
    <s v="N04:其他"/>
    <x v="3"/>
    <s v="拜訪時間"/>
    <n v="6240"/>
    <s v="CustomerProject:顧客專案"/>
    <x v="24"/>
  </r>
  <r>
    <n v="2018"/>
    <x v="2"/>
    <s v="201805"/>
    <s v="Kelly Group"/>
    <s v="公隆化學股份有限公司"/>
    <x v="1"/>
    <n v="7256.1723484847998"/>
    <n v="7256.1723484905997"/>
    <s v="N02:維持顧客作業"/>
    <x v="8"/>
    <s v="拜訪時間"/>
    <n v="146"/>
    <s v="CustomerProject:顧客專案"/>
    <x v="106"/>
  </r>
  <r>
    <n v="2018"/>
    <x v="2"/>
    <s v="201805"/>
    <s v="Kelly Group"/>
    <s v="公隆化學股份有限公司"/>
    <x v="1"/>
    <n v="23855.909090909099"/>
    <n v="23855.909090927998"/>
    <s v="N02:維持顧客作業"/>
    <x v="8"/>
    <s v="拜訪時間"/>
    <n v="480"/>
    <s v="CustomerProject:顧客專案"/>
    <x v="17"/>
  </r>
  <r>
    <n v="2018"/>
    <x v="2"/>
    <s v="201805"/>
    <s v="Kelly Group"/>
    <s v="公隆化學股份有限公司"/>
    <x v="1"/>
    <n v="7852.5700757575996"/>
    <n v="7852.5700757637997"/>
    <s v="N02:維持顧客作業"/>
    <x v="8"/>
    <s v="拜訪時間"/>
    <n v="158"/>
    <s v="CustomerProject:顧客專案"/>
    <x v="87"/>
  </r>
  <r>
    <n v="2018"/>
    <x v="2"/>
    <s v="201805"/>
    <s v="Kelly Group"/>
    <s v="公隆化學股份有限公司"/>
    <x v="0"/>
    <n v="1985.4512195121999"/>
    <n v="1985.4512195039999"/>
    <s v="N01:取得顧客作業"/>
    <x v="9"/>
    <s v="拜訪時間"/>
    <n v="240"/>
    <s v="CustomerProject:顧客專案"/>
    <x v="83"/>
  </r>
  <r>
    <n v="2018"/>
    <x v="2"/>
    <s v="201805"/>
    <s v="Kelly Group"/>
    <s v="公隆化學股份有限公司"/>
    <x v="0"/>
    <n v="1985.4512195121999"/>
    <n v="1985.4512195039999"/>
    <s v="N01:取得顧客作業"/>
    <x v="9"/>
    <s v="拜訪時間"/>
    <n v="240"/>
    <s v="CustomerProject:顧客專案"/>
    <x v="56"/>
  </r>
  <r>
    <n v="2018"/>
    <x v="2"/>
    <s v="201805"/>
    <s v="Kelly Group"/>
    <s v="公隆化學股份有限公司"/>
    <x v="0"/>
    <n v="1985.4512195121999"/>
    <n v="1985.4512195039999"/>
    <s v="N01:取得顧客作業"/>
    <x v="9"/>
    <s v="拜訪時間"/>
    <n v="240"/>
    <s v="CustomerProject:顧客專案"/>
    <x v="56"/>
  </r>
  <r>
    <n v="2018"/>
    <x v="2"/>
    <s v="201805"/>
    <s v="Kelly Group"/>
    <s v="公隆化學股份有限公司"/>
    <x v="0"/>
    <n v="1985.4512195121999"/>
    <n v="1985.4512195039999"/>
    <s v="N01:取得顧客作業"/>
    <x v="9"/>
    <s v="拜訪時間"/>
    <n v="240"/>
    <s v="CustomerProject:顧客專案"/>
    <x v="109"/>
  </r>
  <r>
    <n v="2018"/>
    <x v="2"/>
    <s v="201805"/>
    <s v="Kelly Group"/>
    <s v="公隆化學股份有限公司"/>
    <x v="0"/>
    <n v="1985.4512195121999"/>
    <n v="1985.4512195039999"/>
    <s v="N01:取得顧客作業"/>
    <x v="9"/>
    <s v="拜訪時間"/>
    <n v="240"/>
    <s v="CustomerProject:顧客專案"/>
    <x v="72"/>
  </r>
  <r>
    <n v="2018"/>
    <x v="2"/>
    <s v="201805"/>
    <s v="Kelly Group"/>
    <s v="公隆化學股份有限公司"/>
    <x v="0"/>
    <n v="1323.6341463414999"/>
    <n v="1323.634146336"/>
    <s v="N01:取得顧客作業"/>
    <x v="9"/>
    <s v="拜訪時間"/>
    <n v="160"/>
    <s v="CustomerProject:顧客專案"/>
    <x v="60"/>
  </r>
  <r>
    <n v="2018"/>
    <x v="2"/>
    <s v="201805"/>
    <s v="Kelly Group"/>
    <s v="公隆化學股份有限公司"/>
    <x v="0"/>
    <n v="1985.4512195120001"/>
    <n v="1985.4512195039999"/>
    <s v="N01:取得顧客作業"/>
    <x v="9"/>
    <s v="拜訪時間"/>
    <n v="240"/>
    <s v="CustomerProject:顧客專案"/>
    <x v="129"/>
  </r>
  <r>
    <n v="2018"/>
    <x v="2"/>
    <s v="201805"/>
    <s v="Kelly Group"/>
    <s v="公隆化學股份有限公司"/>
    <x v="0"/>
    <n v="1323.6341463414999"/>
    <n v="1323.634146336"/>
    <s v="N01:取得顧客作業"/>
    <x v="9"/>
    <s v="拜訪時間"/>
    <n v="160"/>
    <s v="CustomerProject:顧客專案"/>
    <x v="130"/>
  </r>
  <r>
    <n v="2018"/>
    <x v="2"/>
    <s v="201805"/>
    <s v="Kelly Group"/>
    <s v="公隆化學股份有限公司"/>
    <x v="0"/>
    <n v="3970.9024390243999"/>
    <n v="3970.9024390079999"/>
    <s v="N01:取得顧客作業"/>
    <x v="9"/>
    <s v="拜訪時間"/>
    <n v="480"/>
    <s v="CustomerProject:顧客專案"/>
    <x v="130"/>
  </r>
  <r>
    <n v="2018"/>
    <x v="2"/>
    <s v="201805"/>
    <s v="Kelly Group"/>
    <s v="公隆化學股份有限公司"/>
    <x v="0"/>
    <n v="1323.6341463414999"/>
    <n v="1323.634146336"/>
    <s v="N01:取得顧客作業"/>
    <x v="9"/>
    <s v="拜訪時間"/>
    <n v="160"/>
    <s v="CustomerProject:顧客專案"/>
    <x v="53"/>
  </r>
  <r>
    <n v="2018"/>
    <x v="2"/>
    <s v="201805"/>
    <s v="Kelly Group"/>
    <s v="公隆化學股份有限公司"/>
    <x v="0"/>
    <n v="1323.6341463414999"/>
    <n v="1323.634146336"/>
    <s v="N01:取得顧客作業"/>
    <x v="9"/>
    <s v="拜訪時間"/>
    <n v="160"/>
    <s v="CustomerProject:顧客專案"/>
    <x v="59"/>
  </r>
  <r>
    <n v="2018"/>
    <x v="2"/>
    <s v="201805"/>
    <s v="Kelly Group"/>
    <s v="公隆化學股份有限公司"/>
    <x v="0"/>
    <n v="3970.9024390243999"/>
    <n v="3970.9024390079999"/>
    <s v="N01:取得顧客作業"/>
    <x v="9"/>
    <s v="拜訪時間"/>
    <n v="480"/>
    <s v="CustomerProject:顧客專案"/>
    <x v="83"/>
  </r>
  <r>
    <n v="2018"/>
    <x v="2"/>
    <s v="201805"/>
    <s v="Kelly Group"/>
    <s v="公隆化學股份有限公司"/>
    <x v="0"/>
    <n v="1323.6341463414999"/>
    <n v="1323.634146336"/>
    <s v="N01:取得顧客作業"/>
    <x v="9"/>
    <s v="拜訪時間"/>
    <n v="160"/>
    <s v="CustomerProject:顧客專案"/>
    <x v="131"/>
  </r>
  <r>
    <n v="2018"/>
    <x v="2"/>
    <s v="201805"/>
    <s v="Kelly Group"/>
    <s v="公隆化學股份有限公司"/>
    <x v="1"/>
    <n v="23855.909090909099"/>
    <n v="23855.909090927998"/>
    <s v="N01:取得顧客作業"/>
    <x v="18"/>
    <s v="拜訪時間"/>
    <n v="480"/>
    <s v="CustomerProject:顧客專案"/>
    <x v="3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58">
  <r>
    <n v="2018"/>
    <n v="3"/>
    <s v="201803"/>
    <s v="Kelly Group"/>
    <s v="公隆化學股份有限公司"/>
    <s v="原物料"/>
    <x v="0"/>
    <x v="0"/>
    <n v="300"/>
    <n v="25265"/>
  </r>
  <r>
    <n v="2018"/>
    <n v="3"/>
    <s v="201803"/>
    <s v="Kelly Group"/>
    <s v="公隆化學股份有限公司"/>
    <s v="原物料"/>
    <x v="1"/>
    <x v="0"/>
    <n v="150"/>
    <n v="5830"/>
  </r>
  <r>
    <n v="2018"/>
    <n v="3"/>
    <s v="201803"/>
    <s v="Kelly Group"/>
    <s v="公隆化學股份有限公司"/>
    <s v="原物料"/>
    <x v="2"/>
    <x v="0"/>
    <n v="480"/>
    <n v="15966"/>
  </r>
  <r>
    <n v="2018"/>
    <n v="3"/>
    <s v="201803"/>
    <s v="Kelly Group"/>
    <s v="公隆化學股份有限公司"/>
    <s v="原物料"/>
    <x v="3"/>
    <x v="0"/>
    <n v="20"/>
    <n v="2637"/>
  </r>
  <r>
    <n v="2018"/>
    <n v="3"/>
    <s v="201803"/>
    <s v="Kelly Group"/>
    <s v="公隆化學股份有限公司"/>
    <s v="原物料"/>
    <x v="4"/>
    <x v="0"/>
    <n v="20"/>
    <n v="4592"/>
  </r>
  <r>
    <n v="2018"/>
    <n v="3"/>
    <s v="201803"/>
    <s v="Kelly Group"/>
    <s v="公隆化學股份有限公司"/>
    <s v="原物料"/>
    <x v="5"/>
    <x v="0"/>
    <n v="60"/>
    <n v="7262"/>
  </r>
  <r>
    <n v="2018"/>
    <n v="3"/>
    <s v="201803"/>
    <s v="Kelly Group"/>
    <s v="公隆化學股份有限公司"/>
    <s v="原物料"/>
    <x v="6"/>
    <x v="0"/>
    <n v="428"/>
    <n v="44091"/>
  </r>
  <r>
    <n v="2018"/>
    <n v="3"/>
    <s v="201803"/>
    <s v="Kelly Group"/>
    <s v="公隆化學股份有限公司"/>
    <s v="原物料"/>
    <x v="7"/>
    <x v="0"/>
    <n v="1000"/>
    <n v="71469"/>
  </r>
  <r>
    <n v="2018"/>
    <n v="3"/>
    <s v="201803"/>
    <s v="Kelly Group"/>
    <s v="公隆化學股份有限公司"/>
    <s v="原物料"/>
    <x v="8"/>
    <x v="0"/>
    <n v="415.6"/>
    <n v="33664"/>
  </r>
  <r>
    <n v="2018"/>
    <n v="3"/>
    <s v="201803"/>
    <s v="Kelly Group"/>
    <s v="公隆化學股份有限公司"/>
    <s v="原物料"/>
    <x v="9"/>
    <x v="0"/>
    <n v="36"/>
    <n v="13292"/>
  </r>
  <r>
    <n v="2018"/>
    <n v="3"/>
    <s v="201803"/>
    <s v="Kelly Group"/>
    <s v="公隆化學股份有限公司"/>
    <s v="原物料"/>
    <x v="10"/>
    <x v="0"/>
    <n v="1250"/>
    <n v="190000"/>
  </r>
  <r>
    <n v="2018"/>
    <n v="3"/>
    <s v="201803"/>
    <s v="Kelly Group"/>
    <s v="公隆化學股份有限公司"/>
    <s v="原物料"/>
    <x v="11"/>
    <x v="0"/>
    <n v="90"/>
    <n v="27815"/>
  </r>
  <r>
    <n v="2018"/>
    <n v="3"/>
    <s v="201803"/>
    <s v="Kelly Group"/>
    <s v="公隆化學股份有限公司"/>
    <s v="原物料"/>
    <x v="12"/>
    <x v="0"/>
    <n v="260"/>
    <n v="36400"/>
  </r>
  <r>
    <n v="2018"/>
    <n v="3"/>
    <s v="201803"/>
    <s v="Kelly Group"/>
    <s v="公隆化學股份有限公司"/>
    <s v="原物料"/>
    <x v="13"/>
    <x v="0"/>
    <n v="17"/>
    <n v="21134"/>
  </r>
  <r>
    <n v="2018"/>
    <n v="3"/>
    <s v="201803"/>
    <s v="Kelly Group"/>
    <s v="公隆化學股份有限公司"/>
    <s v="原物料"/>
    <x v="14"/>
    <x v="0"/>
    <n v="26"/>
    <n v="18538"/>
  </r>
  <r>
    <n v="2018"/>
    <n v="3"/>
    <s v="201803"/>
    <s v="Kelly Group"/>
    <s v="公隆化學股份有限公司"/>
    <s v="原物料"/>
    <x v="15"/>
    <x v="0"/>
    <n v="45"/>
    <n v="40292"/>
  </r>
  <r>
    <n v="2018"/>
    <n v="3"/>
    <s v="201803"/>
    <s v="Kelly Group"/>
    <s v="公隆化學股份有限公司"/>
    <s v="原物料"/>
    <x v="16"/>
    <x v="0"/>
    <n v="72"/>
    <n v="14564"/>
  </r>
  <r>
    <n v="2018"/>
    <n v="3"/>
    <s v="201803"/>
    <s v="Kelly Group"/>
    <s v="公隆化學股份有限公司"/>
    <s v="原物料"/>
    <x v="17"/>
    <x v="0"/>
    <n v="187"/>
    <n v="110518"/>
  </r>
  <r>
    <n v="2018"/>
    <n v="3"/>
    <s v="201803"/>
    <s v="Kelly Group"/>
    <s v="公隆化學股份有限公司"/>
    <s v="原物料"/>
    <x v="18"/>
    <x v="0"/>
    <n v="17"/>
    <n v="32759"/>
  </r>
  <r>
    <n v="2018"/>
    <n v="3"/>
    <s v="201803"/>
    <s v="Kelly Group"/>
    <s v="公隆化學股份有限公司"/>
    <s v="原物料"/>
    <x v="19"/>
    <x v="0"/>
    <n v="19"/>
    <n v="42109"/>
  </r>
  <r>
    <n v="2018"/>
    <n v="3"/>
    <s v="201803"/>
    <s v="Kelly Group"/>
    <s v="公隆化學股份有限公司"/>
    <s v="原物料"/>
    <x v="20"/>
    <x v="0"/>
    <n v="17"/>
    <n v="18687"/>
  </r>
  <r>
    <n v="2018"/>
    <n v="3"/>
    <s v="201803"/>
    <s v="Kelly Group"/>
    <s v="公隆化學股份有限公司"/>
    <s v="原物料"/>
    <x v="21"/>
    <x v="0"/>
    <n v="54"/>
    <n v="79786"/>
  </r>
  <r>
    <n v="2018"/>
    <n v="3"/>
    <s v="201803"/>
    <s v="Kelly Group"/>
    <s v="公隆化學股份有限公司"/>
    <s v="原物料"/>
    <x v="22"/>
    <x v="0"/>
    <n v="3"/>
    <n v="9741"/>
  </r>
  <r>
    <n v="2018"/>
    <n v="3"/>
    <s v="201803"/>
    <s v="Kelly Group"/>
    <s v="公隆化學股份有限公司"/>
    <s v="原物料"/>
    <x v="23"/>
    <x v="0"/>
    <n v="16"/>
    <n v="5248"/>
  </r>
  <r>
    <n v="2018"/>
    <n v="3"/>
    <s v="201803"/>
    <s v="Kelly Group"/>
    <s v="公隆化學股份有限公司"/>
    <s v="原物料"/>
    <x v="24"/>
    <x v="0"/>
    <n v="16"/>
    <n v="2222"/>
  </r>
  <r>
    <n v="2018"/>
    <n v="3"/>
    <s v="201803"/>
    <s v="Kelly Group"/>
    <s v="公隆化學股份有限公司"/>
    <s v="原物料"/>
    <x v="25"/>
    <x v="0"/>
    <n v="16"/>
    <n v="5896"/>
  </r>
  <r>
    <n v="2018"/>
    <n v="3"/>
    <s v="201803"/>
    <s v="Kelly Group"/>
    <s v="公隆化學股份有限公司"/>
    <s v="原物料"/>
    <x v="26"/>
    <x v="0"/>
    <n v="30"/>
    <n v="13298"/>
  </r>
  <r>
    <n v="2018"/>
    <n v="3"/>
    <s v="201803"/>
    <s v="Kelly Group"/>
    <s v="公隆化學股份有限公司"/>
    <s v="產品"/>
    <x v="0"/>
    <x v="1"/>
    <n v="-300"/>
    <n v="-25264.999800000001"/>
  </r>
  <r>
    <n v="2018"/>
    <n v="3"/>
    <s v="201803"/>
    <s v="Kelly Group"/>
    <s v="公隆化學股份有限公司"/>
    <s v="產品"/>
    <x v="1"/>
    <x v="1"/>
    <n v="-150"/>
    <n v="-5829.9998999999998"/>
  </r>
  <r>
    <n v="2018"/>
    <n v="3"/>
    <s v="201803"/>
    <s v="Kelly Group"/>
    <s v="公隆化學股份有限公司"/>
    <s v="產品"/>
    <x v="2"/>
    <x v="1"/>
    <n v="-480"/>
    <n v="-15966"/>
  </r>
  <r>
    <n v="2018"/>
    <n v="3"/>
    <s v="201803"/>
    <s v="Kelly Group"/>
    <s v="公隆化學股份有限公司"/>
    <s v="產品"/>
    <x v="3"/>
    <x v="1"/>
    <n v="-20"/>
    <n v="-2637"/>
  </r>
  <r>
    <n v="2018"/>
    <n v="3"/>
    <s v="201803"/>
    <s v="Kelly Group"/>
    <s v="公隆化學股份有限公司"/>
    <s v="產品"/>
    <x v="4"/>
    <x v="1"/>
    <n v="-20"/>
    <n v="-4592"/>
  </r>
  <r>
    <n v="2018"/>
    <n v="3"/>
    <s v="201803"/>
    <s v="Kelly Group"/>
    <s v="公隆化學股份有限公司"/>
    <s v="產品"/>
    <x v="5"/>
    <x v="1"/>
    <n v="-60"/>
    <n v="-7261.9999799999996"/>
  </r>
  <r>
    <n v="2018"/>
    <n v="3"/>
    <s v="201803"/>
    <s v="Kelly Group"/>
    <s v="公隆化學股份有限公司"/>
    <s v="產品"/>
    <x v="6"/>
    <x v="1"/>
    <n v="-428"/>
    <n v="-44090.999940000002"/>
  </r>
  <r>
    <n v="2018"/>
    <n v="3"/>
    <s v="201803"/>
    <s v="Kelly Group"/>
    <s v="公隆化學股份有限公司"/>
    <s v="產品"/>
    <x v="7"/>
    <x v="1"/>
    <n v="-1000"/>
    <n v="-71469"/>
  </r>
  <r>
    <n v="2018"/>
    <n v="3"/>
    <s v="201803"/>
    <s v="Kelly Group"/>
    <s v="公隆化學股份有限公司"/>
    <s v="產品"/>
    <x v="8"/>
    <x v="1"/>
    <n v="-415.6"/>
    <n v="-33663.999807"/>
  </r>
  <r>
    <n v="2018"/>
    <n v="3"/>
    <s v="201803"/>
    <s v="Kelly Group"/>
    <s v="公隆化學股份有限公司"/>
    <s v="產品"/>
    <x v="9"/>
    <x v="1"/>
    <n v="-36"/>
    <n v="-13291.999991999999"/>
  </r>
  <r>
    <n v="2018"/>
    <n v="3"/>
    <s v="201803"/>
    <s v="Kelly Group"/>
    <s v="公隆化學股份有限公司"/>
    <s v="產品"/>
    <x v="10"/>
    <x v="1"/>
    <n v="-1250"/>
    <n v="-190000"/>
  </r>
  <r>
    <n v="2018"/>
    <n v="3"/>
    <s v="201803"/>
    <s v="Kelly Group"/>
    <s v="公隆化學股份有限公司"/>
    <s v="產品"/>
    <x v="11"/>
    <x v="1"/>
    <n v="-90"/>
    <n v="-27814.999950000001"/>
  </r>
  <r>
    <n v="2018"/>
    <n v="3"/>
    <s v="201803"/>
    <s v="Kelly Group"/>
    <s v="公隆化學股份有限公司"/>
    <s v="產品"/>
    <x v="12"/>
    <x v="1"/>
    <n v="-260"/>
    <n v="-36400"/>
  </r>
  <r>
    <n v="2018"/>
    <n v="3"/>
    <s v="201803"/>
    <s v="Kelly Group"/>
    <s v="公隆化學股份有限公司"/>
    <s v="產品"/>
    <x v="13"/>
    <x v="1"/>
    <n v="-17"/>
    <n v="-21133.99999"/>
  </r>
  <r>
    <n v="2018"/>
    <n v="3"/>
    <s v="201803"/>
    <s v="Kelly Group"/>
    <s v="公隆化學股份有限公司"/>
    <s v="產品"/>
    <x v="14"/>
    <x v="1"/>
    <n v="-26"/>
    <n v="-18538"/>
  </r>
  <r>
    <n v="2018"/>
    <n v="3"/>
    <s v="201803"/>
    <s v="Kelly Group"/>
    <s v="公隆化學股份有限公司"/>
    <s v="產品"/>
    <x v="15"/>
    <x v="1"/>
    <n v="-45"/>
    <n v="-40291.999965000003"/>
  </r>
  <r>
    <n v="2018"/>
    <n v="3"/>
    <s v="201803"/>
    <s v="Kelly Group"/>
    <s v="公隆化學股份有限公司"/>
    <s v="產品"/>
    <x v="16"/>
    <x v="1"/>
    <n v="-72"/>
    <n v="-14563.999943999999"/>
  </r>
  <r>
    <n v="2018"/>
    <n v="3"/>
    <s v="201803"/>
    <s v="Kelly Group"/>
    <s v="公隆化學股份有限公司"/>
    <s v="產品"/>
    <x v="17"/>
    <x v="1"/>
    <n v="-187"/>
    <n v="-110517.999889"/>
  </r>
  <r>
    <n v="2018"/>
    <n v="3"/>
    <s v="201803"/>
    <s v="Kelly Group"/>
    <s v="公隆化學股份有限公司"/>
    <s v="產品"/>
    <x v="18"/>
    <x v="1"/>
    <n v="-17"/>
    <n v="-32759"/>
  </r>
  <r>
    <n v="2018"/>
    <n v="3"/>
    <s v="201803"/>
    <s v="Kelly Group"/>
    <s v="公隆化學股份有限公司"/>
    <s v="產品"/>
    <x v="19"/>
    <x v="1"/>
    <n v="-19"/>
    <n v="-42108.999983000002"/>
  </r>
  <r>
    <n v="2018"/>
    <n v="3"/>
    <s v="201803"/>
    <s v="Kelly Group"/>
    <s v="公隆化學股份有限公司"/>
    <s v="產品"/>
    <x v="20"/>
    <x v="1"/>
    <n v="-17"/>
    <n v="-18686.999997999999"/>
  </r>
  <r>
    <n v="2018"/>
    <n v="3"/>
    <s v="201803"/>
    <s v="Kelly Group"/>
    <s v="公隆化學股份有限公司"/>
    <s v="產品"/>
    <x v="21"/>
    <x v="1"/>
    <n v="-54"/>
    <n v="-79785.999972000005"/>
  </r>
  <r>
    <n v="2018"/>
    <n v="3"/>
    <s v="201803"/>
    <s v="Kelly Group"/>
    <s v="公隆化學股份有限公司"/>
    <s v="產品"/>
    <x v="22"/>
    <x v="1"/>
    <n v="-3"/>
    <n v="-9741"/>
  </r>
  <r>
    <n v="2018"/>
    <n v="3"/>
    <s v="201803"/>
    <s v="Kelly Group"/>
    <s v="公隆化學股份有限公司"/>
    <s v="產品"/>
    <x v="23"/>
    <x v="1"/>
    <n v="-16"/>
    <n v="-5248"/>
  </r>
  <r>
    <n v="2018"/>
    <n v="3"/>
    <s v="201803"/>
    <s v="Kelly Group"/>
    <s v="公隆化學股份有限公司"/>
    <s v="產品"/>
    <x v="24"/>
    <x v="1"/>
    <n v="-16"/>
    <n v="-2222"/>
  </r>
  <r>
    <n v="2018"/>
    <n v="3"/>
    <s v="201803"/>
    <s v="Kelly Group"/>
    <s v="公隆化學股份有限公司"/>
    <s v="產品"/>
    <x v="25"/>
    <x v="1"/>
    <n v="-16"/>
    <n v="-5896"/>
  </r>
  <r>
    <n v="2018"/>
    <n v="3"/>
    <s v="201803"/>
    <s v="Kelly Group"/>
    <s v="公隆化學股份有限公司"/>
    <s v="產品"/>
    <x v="26"/>
    <x v="1"/>
    <n v="-30"/>
    <n v="-13297.999980000001"/>
  </r>
  <r>
    <n v="2018"/>
    <n v="4"/>
    <s v="201804"/>
    <s v="Kelly Group"/>
    <s v="公隆化學股份有限公司"/>
    <s v="原物料"/>
    <x v="0"/>
    <x v="0"/>
    <n v="820"/>
    <n v="68008"/>
  </r>
  <r>
    <n v="2018"/>
    <n v="4"/>
    <s v="201804"/>
    <s v="Kelly Group"/>
    <s v="公隆化學股份有限公司"/>
    <s v="原物料"/>
    <x v="1"/>
    <x v="0"/>
    <n v="300"/>
    <n v="11660"/>
  </r>
  <r>
    <n v="2018"/>
    <n v="4"/>
    <s v="201804"/>
    <s v="Kelly Group"/>
    <s v="公隆化學股份有限公司"/>
    <s v="原物料"/>
    <x v="3"/>
    <x v="0"/>
    <n v="20"/>
    <n v="2597"/>
  </r>
  <r>
    <n v="2018"/>
    <n v="4"/>
    <s v="201804"/>
    <s v="Kelly Group"/>
    <s v="公隆化學股份有限公司"/>
    <s v="原物料"/>
    <x v="27"/>
    <x v="0"/>
    <n v="19.7"/>
    <n v="1286"/>
  </r>
  <r>
    <n v="2018"/>
    <n v="4"/>
    <s v="201804"/>
    <s v="Kelly Group"/>
    <s v="公隆化學股份有限公司"/>
    <s v="原物料"/>
    <x v="5"/>
    <x v="0"/>
    <n v="20"/>
    <n v="2383"/>
  </r>
  <r>
    <n v="2018"/>
    <n v="4"/>
    <s v="201804"/>
    <s v="Kelly Group"/>
    <s v="公隆化學股份有限公司"/>
    <s v="原物料"/>
    <x v="28"/>
    <x v="0"/>
    <n v="40"/>
    <n v="3850"/>
  </r>
  <r>
    <n v="2018"/>
    <n v="4"/>
    <s v="201804"/>
    <s v="Kelly Group"/>
    <s v="公隆化學股份有限公司"/>
    <s v="原物料"/>
    <x v="6"/>
    <x v="0"/>
    <n v="80"/>
    <n v="8241"/>
  </r>
  <r>
    <n v="2018"/>
    <n v="4"/>
    <s v="201804"/>
    <s v="Kelly Group"/>
    <s v="公隆化學股份有限公司"/>
    <s v="原物料"/>
    <x v="7"/>
    <x v="0"/>
    <n v="2500"/>
    <n v="178673"/>
  </r>
  <r>
    <n v="2018"/>
    <n v="4"/>
    <s v="201804"/>
    <s v="Kelly Group"/>
    <s v="公隆化學股份有限公司"/>
    <s v="原物料"/>
    <x v="8"/>
    <x v="0"/>
    <n v="415.6"/>
    <n v="33664"/>
  </r>
  <r>
    <n v="2018"/>
    <n v="4"/>
    <s v="201804"/>
    <s v="Kelly Group"/>
    <s v="公隆化學股份有限公司"/>
    <s v="原物料"/>
    <x v="29"/>
    <x v="0"/>
    <n v="232.4"/>
    <n v="12550"/>
  </r>
  <r>
    <n v="2018"/>
    <n v="4"/>
    <s v="201804"/>
    <s v="Kelly Group"/>
    <s v="公隆化學股份有限公司"/>
    <s v="原物料"/>
    <x v="30"/>
    <x v="0"/>
    <n v="108"/>
    <n v="220945"/>
  </r>
  <r>
    <n v="2018"/>
    <n v="4"/>
    <s v="201804"/>
    <s v="Kelly Group"/>
    <s v="公隆化學股份有限公司"/>
    <s v="原物料"/>
    <x v="31"/>
    <x v="0"/>
    <n v="175"/>
    <n v="16492"/>
  </r>
  <r>
    <n v="2018"/>
    <n v="4"/>
    <s v="201804"/>
    <s v="Kelly Group"/>
    <s v="公隆化學股份有限公司"/>
    <s v="原物料"/>
    <x v="12"/>
    <x v="0"/>
    <n v="300"/>
    <n v="42000"/>
  </r>
  <r>
    <n v="2018"/>
    <n v="4"/>
    <s v="201804"/>
    <s v="Kelly Group"/>
    <s v="公隆化學股份有限公司"/>
    <s v="原物料"/>
    <x v="32"/>
    <x v="0"/>
    <n v="1"/>
    <n v="16412"/>
  </r>
  <r>
    <n v="2018"/>
    <n v="4"/>
    <s v="201804"/>
    <s v="Kelly Group"/>
    <s v="公隆化學股份有限公司"/>
    <s v="原物料"/>
    <x v="16"/>
    <x v="0"/>
    <n v="36"/>
    <n v="7282"/>
  </r>
  <r>
    <n v="2018"/>
    <n v="4"/>
    <s v="201804"/>
    <s v="Kelly Group"/>
    <s v="公隆化學股份有限公司"/>
    <s v="原物料"/>
    <x v="17"/>
    <x v="0"/>
    <n v="493"/>
    <n v="286929"/>
  </r>
  <r>
    <n v="2018"/>
    <n v="4"/>
    <s v="201804"/>
    <s v="Kelly Group"/>
    <s v="公隆化學股份有限公司"/>
    <s v="原物料"/>
    <x v="33"/>
    <x v="0"/>
    <n v="102"/>
    <n v="133570"/>
  </r>
  <r>
    <n v="2018"/>
    <n v="4"/>
    <s v="201804"/>
    <s v="Kelly Group"/>
    <s v="公隆化學股份有限公司"/>
    <s v="原物料"/>
    <x v="19"/>
    <x v="0"/>
    <n v="19"/>
    <n v="41468"/>
  </r>
  <r>
    <n v="2018"/>
    <n v="4"/>
    <s v="201804"/>
    <s v="Kelly Group"/>
    <s v="公隆化學股份有限公司"/>
    <s v="原物料"/>
    <x v="34"/>
    <x v="0"/>
    <n v="18"/>
    <n v="42246"/>
  </r>
  <r>
    <n v="2018"/>
    <n v="4"/>
    <s v="201804"/>
    <s v="Kelly Group"/>
    <s v="公隆化學股份有限公司"/>
    <s v="原物料"/>
    <x v="20"/>
    <x v="0"/>
    <n v="34"/>
    <n v="33640"/>
  </r>
  <r>
    <n v="2018"/>
    <n v="4"/>
    <s v="201804"/>
    <s v="Kelly Group"/>
    <s v="公隆化學股份有限公司"/>
    <s v="原物料"/>
    <x v="21"/>
    <x v="0"/>
    <n v="54"/>
    <n v="78570"/>
  </r>
  <r>
    <n v="2018"/>
    <n v="4"/>
    <s v="201804"/>
    <s v="Kelly Group"/>
    <s v="公隆化學股份有限公司"/>
    <s v="原物料"/>
    <x v="35"/>
    <x v="0"/>
    <n v="85"/>
    <n v="103888"/>
  </r>
  <r>
    <n v="2018"/>
    <n v="4"/>
    <s v="201804"/>
    <s v="Kelly Group"/>
    <s v="公隆化學股份有限公司"/>
    <s v="原物料"/>
    <x v="25"/>
    <x v="0"/>
    <n v="16"/>
    <n v="5806"/>
  </r>
  <r>
    <n v="2018"/>
    <n v="4"/>
    <s v="201804"/>
    <s v="Kelly Group"/>
    <s v="公隆化學股份有限公司"/>
    <s v="原物料"/>
    <x v="26"/>
    <x v="0"/>
    <n v="15"/>
    <n v="6548"/>
  </r>
  <r>
    <n v="2018"/>
    <n v="4"/>
    <s v="201804"/>
    <s v="Kelly Group"/>
    <s v="公隆化學股份有限公司"/>
    <s v="產品"/>
    <x v="0"/>
    <x v="1"/>
    <n v="-820"/>
    <n v="-68007.9997"/>
  </r>
  <r>
    <n v="2018"/>
    <n v="4"/>
    <s v="201804"/>
    <s v="Kelly Group"/>
    <s v="公隆化學股份有限公司"/>
    <s v="產品"/>
    <x v="1"/>
    <x v="1"/>
    <n v="-300"/>
    <n v="-11659.9998"/>
  </r>
  <r>
    <n v="2018"/>
    <n v="4"/>
    <s v="201804"/>
    <s v="Kelly Group"/>
    <s v="公隆化學股份有限公司"/>
    <s v="產品"/>
    <x v="3"/>
    <x v="1"/>
    <n v="-20"/>
    <n v="-2597"/>
  </r>
  <r>
    <n v="2018"/>
    <n v="4"/>
    <s v="201804"/>
    <s v="Kelly Group"/>
    <s v="公隆化學股份有限公司"/>
    <s v="產品"/>
    <x v="27"/>
    <x v="1"/>
    <n v="-19.7"/>
    <n v="-1285.999984"/>
  </r>
  <r>
    <n v="2018"/>
    <n v="4"/>
    <s v="201804"/>
    <s v="Kelly Group"/>
    <s v="公隆化學股份有限公司"/>
    <s v="產品"/>
    <x v="5"/>
    <x v="1"/>
    <n v="-20"/>
    <n v="-2383"/>
  </r>
  <r>
    <n v="2018"/>
    <n v="4"/>
    <s v="201804"/>
    <s v="Kelly Group"/>
    <s v="公隆化學股份有限公司"/>
    <s v="產品"/>
    <x v="28"/>
    <x v="1"/>
    <n v="-40"/>
    <n v="-3850"/>
  </r>
  <r>
    <n v="2018"/>
    <n v="4"/>
    <s v="201804"/>
    <s v="Kelly Group"/>
    <s v="公隆化學股份有限公司"/>
    <s v="產品"/>
    <x v="6"/>
    <x v="1"/>
    <n v="-80"/>
    <n v="-8241"/>
  </r>
  <r>
    <n v="2018"/>
    <n v="4"/>
    <s v="201804"/>
    <s v="Kelly Group"/>
    <s v="公隆化學股份有限公司"/>
    <s v="產品"/>
    <x v="7"/>
    <x v="1"/>
    <n v="-2500"/>
    <n v="-178673"/>
  </r>
  <r>
    <n v="2018"/>
    <n v="4"/>
    <s v="201804"/>
    <s v="Kelly Group"/>
    <s v="公隆化學股份有限公司"/>
    <s v="產品"/>
    <x v="8"/>
    <x v="1"/>
    <n v="-415.6"/>
    <n v="-33663.999807"/>
  </r>
  <r>
    <n v="2018"/>
    <n v="4"/>
    <s v="201804"/>
    <s v="Kelly Group"/>
    <s v="公隆化學股份有限公司"/>
    <s v="產品"/>
    <x v="29"/>
    <x v="1"/>
    <n v="-232.4"/>
    <n v="-12549.999959999999"/>
  </r>
  <r>
    <n v="2018"/>
    <n v="4"/>
    <s v="201804"/>
    <s v="Kelly Group"/>
    <s v="公隆化學股份有限公司"/>
    <s v="產品"/>
    <x v="30"/>
    <x v="1"/>
    <n v="-108"/>
    <n v="-220944.999996"/>
  </r>
  <r>
    <n v="2018"/>
    <n v="4"/>
    <s v="201804"/>
    <s v="Kelly Group"/>
    <s v="公隆化學股份有限公司"/>
    <s v="產品"/>
    <x v="31"/>
    <x v="1"/>
    <n v="-175"/>
    <n v="-16492"/>
  </r>
  <r>
    <n v="2018"/>
    <n v="4"/>
    <s v="201804"/>
    <s v="Kelly Group"/>
    <s v="公隆化學股份有限公司"/>
    <s v="產品"/>
    <x v="12"/>
    <x v="1"/>
    <n v="-300"/>
    <n v="-42000"/>
  </r>
  <r>
    <n v="2018"/>
    <n v="4"/>
    <s v="201804"/>
    <s v="Kelly Group"/>
    <s v="公隆化學股份有限公司"/>
    <s v="產品"/>
    <x v="32"/>
    <x v="1"/>
    <n v="-1"/>
    <n v="-16412"/>
  </r>
  <r>
    <n v="2018"/>
    <n v="4"/>
    <s v="201804"/>
    <s v="Kelly Group"/>
    <s v="公隆化學股份有限公司"/>
    <s v="產品"/>
    <x v="16"/>
    <x v="1"/>
    <n v="-36"/>
    <n v="-7281.9999719999996"/>
  </r>
  <r>
    <n v="2018"/>
    <n v="4"/>
    <s v="201804"/>
    <s v="Kelly Group"/>
    <s v="公隆化學股份有限公司"/>
    <s v="產品"/>
    <x v="17"/>
    <x v="1"/>
    <n v="-493"/>
    <n v="-286928.99990499998"/>
  </r>
  <r>
    <n v="2018"/>
    <n v="4"/>
    <s v="201804"/>
    <s v="Kelly Group"/>
    <s v="公隆化學股份有限公司"/>
    <s v="產品"/>
    <x v="33"/>
    <x v="1"/>
    <n v="-102"/>
    <n v="-133569.99990600001"/>
  </r>
  <r>
    <n v="2018"/>
    <n v="4"/>
    <s v="201804"/>
    <s v="Kelly Group"/>
    <s v="公隆化學股份有限公司"/>
    <s v="產品"/>
    <x v="19"/>
    <x v="1"/>
    <n v="-19"/>
    <n v="-41467.999985000002"/>
  </r>
  <r>
    <n v="2018"/>
    <n v="4"/>
    <s v="201804"/>
    <s v="Kelly Group"/>
    <s v="公隆化學股份有限公司"/>
    <s v="產品"/>
    <x v="34"/>
    <x v="1"/>
    <n v="-18"/>
    <n v="-42246"/>
  </r>
  <r>
    <n v="2018"/>
    <n v="4"/>
    <s v="201804"/>
    <s v="Kelly Group"/>
    <s v="公隆化學股份有限公司"/>
    <s v="產品"/>
    <x v="20"/>
    <x v="1"/>
    <n v="-34"/>
    <n v="-33639.999975999999"/>
  </r>
  <r>
    <n v="2018"/>
    <n v="4"/>
    <s v="201804"/>
    <s v="Kelly Group"/>
    <s v="公隆化學股份有限公司"/>
    <s v="產品"/>
    <x v="21"/>
    <x v="1"/>
    <n v="-54"/>
    <n v="-78570"/>
  </r>
  <r>
    <n v="2018"/>
    <n v="4"/>
    <s v="201804"/>
    <s v="Kelly Group"/>
    <s v="公隆化學股份有限公司"/>
    <s v="產品"/>
    <x v="35"/>
    <x v="1"/>
    <n v="-85"/>
    <n v="-103887.99993999999"/>
  </r>
  <r>
    <n v="2018"/>
    <n v="4"/>
    <s v="201804"/>
    <s v="Kelly Group"/>
    <s v="公隆化學股份有限公司"/>
    <s v="產品"/>
    <x v="25"/>
    <x v="1"/>
    <n v="-16"/>
    <n v="-5806"/>
  </r>
  <r>
    <n v="2018"/>
    <n v="4"/>
    <s v="201804"/>
    <s v="Kelly Group"/>
    <s v="公隆化學股份有限公司"/>
    <s v="產品"/>
    <x v="26"/>
    <x v="1"/>
    <n v="-15"/>
    <n v="-6547.9999950000001"/>
  </r>
  <r>
    <n v="2018"/>
    <n v="5"/>
    <s v="201805"/>
    <s v="Kelly Group"/>
    <s v="公隆化學股份有限公司"/>
    <s v="原物料"/>
    <x v="0"/>
    <x v="0"/>
    <n v="600"/>
    <n v="52831"/>
  </r>
  <r>
    <n v="2018"/>
    <n v="5"/>
    <s v="201805"/>
    <s v="Kelly Group"/>
    <s v="公隆化學股份有限公司"/>
    <s v="原物料"/>
    <x v="1"/>
    <x v="0"/>
    <n v="510"/>
    <n v="20484"/>
  </r>
  <r>
    <n v="2018"/>
    <n v="5"/>
    <s v="201805"/>
    <s v="Kelly Group"/>
    <s v="公隆化學股份有限公司"/>
    <s v="原物料"/>
    <x v="2"/>
    <x v="0"/>
    <n v="480"/>
    <n v="14688"/>
  </r>
  <r>
    <n v="2018"/>
    <n v="5"/>
    <s v="201805"/>
    <s v="Kelly Group"/>
    <s v="公隆化學股份有限公司"/>
    <s v="原物料"/>
    <x v="3"/>
    <x v="0"/>
    <n v="20"/>
    <n v="3997"/>
  </r>
  <r>
    <n v="2018"/>
    <n v="5"/>
    <s v="201805"/>
    <s v="Kelly Group"/>
    <s v="公隆化學股份有限公司"/>
    <s v="原物料"/>
    <x v="36"/>
    <x v="0"/>
    <n v="80"/>
    <n v="14393"/>
  </r>
  <r>
    <n v="2018"/>
    <n v="5"/>
    <s v="201805"/>
    <s v="Kelly Group"/>
    <s v="公隆化學股份有限公司"/>
    <s v="原物料"/>
    <x v="37"/>
    <x v="0"/>
    <n v="160"/>
    <n v="32008"/>
  </r>
  <r>
    <n v="2018"/>
    <n v="5"/>
    <s v="201805"/>
    <s v="Kelly Group"/>
    <s v="公隆化學股份有限公司"/>
    <s v="原物料"/>
    <x v="38"/>
    <x v="0"/>
    <n v="280"/>
    <n v="54949"/>
  </r>
  <r>
    <n v="2018"/>
    <n v="5"/>
    <s v="201805"/>
    <s v="Kelly Group"/>
    <s v="公隆化學股份有限公司"/>
    <s v="原物料"/>
    <x v="6"/>
    <x v="0"/>
    <n v="214"/>
    <n v="22045"/>
  </r>
  <r>
    <n v="2018"/>
    <n v="5"/>
    <s v="201805"/>
    <s v="Kelly Group"/>
    <s v="公隆化學股份有限公司"/>
    <s v="原物料"/>
    <x v="7"/>
    <x v="0"/>
    <n v="3000"/>
    <n v="228152"/>
  </r>
  <r>
    <n v="2018"/>
    <n v="5"/>
    <s v="201805"/>
    <s v="Kelly Group"/>
    <s v="公隆化學股份有限公司"/>
    <s v="原物料"/>
    <x v="39"/>
    <x v="0"/>
    <n v="580.79999999999995"/>
    <n v="62732"/>
  </r>
  <r>
    <n v="2018"/>
    <n v="5"/>
    <s v="201805"/>
    <s v="Kelly Group"/>
    <s v="公隆化學股份有限公司"/>
    <s v="原物料"/>
    <x v="8"/>
    <x v="0"/>
    <n v="207.8"/>
    <n v="21360"/>
  </r>
  <r>
    <n v="2018"/>
    <n v="5"/>
    <s v="201805"/>
    <s v="Kelly Group"/>
    <s v="公隆化學股份有限公司"/>
    <s v="原物料"/>
    <x v="11"/>
    <x v="0"/>
    <n v="36"/>
    <n v="11126"/>
  </r>
  <r>
    <n v="2018"/>
    <n v="5"/>
    <s v="201805"/>
    <s v="Kelly Group"/>
    <s v="公隆化學股份有限公司"/>
    <s v="原物料"/>
    <x v="31"/>
    <x v="0"/>
    <n v="175"/>
    <n v="17307"/>
  </r>
  <r>
    <n v="2018"/>
    <n v="5"/>
    <s v="201805"/>
    <s v="Kelly Group"/>
    <s v="公隆化學股份有限公司"/>
    <s v="原物料"/>
    <x v="12"/>
    <x v="0"/>
    <n v="240"/>
    <n v="36236"/>
  </r>
  <r>
    <n v="2018"/>
    <n v="5"/>
    <s v="201805"/>
    <s v="Kelly Group"/>
    <s v="公隆化學股份有限公司"/>
    <s v="原物料"/>
    <x v="40"/>
    <x v="0"/>
    <n v="18"/>
    <n v="21282"/>
  </r>
  <r>
    <n v="2018"/>
    <n v="5"/>
    <s v="201805"/>
    <s v="Kelly Group"/>
    <s v="公隆化學股份有限公司"/>
    <s v="原物料"/>
    <x v="41"/>
    <x v="0"/>
    <n v="90"/>
    <n v="63174"/>
  </r>
  <r>
    <n v="2018"/>
    <n v="5"/>
    <s v="201805"/>
    <s v="Kelly Group"/>
    <s v="公隆化學股份有限公司"/>
    <s v="原物料"/>
    <x v="14"/>
    <x v="0"/>
    <n v="52"/>
    <n v="38259"/>
  </r>
  <r>
    <n v="2018"/>
    <n v="5"/>
    <s v="201805"/>
    <s v="Kelly Group"/>
    <s v="公隆化學股份有限公司"/>
    <s v="原物料"/>
    <x v="42"/>
    <x v="0"/>
    <n v="18"/>
    <n v="17769"/>
  </r>
  <r>
    <n v="2018"/>
    <n v="5"/>
    <s v="201805"/>
    <s v="Kelly Group"/>
    <s v="公隆化學股份有限公司"/>
    <s v="原物料"/>
    <x v="15"/>
    <x v="0"/>
    <n v="15"/>
    <n v="14165"/>
  </r>
  <r>
    <n v="2018"/>
    <n v="5"/>
    <s v="201805"/>
    <s v="Kelly Group"/>
    <s v="公隆化學股份有限公司"/>
    <s v="原物料"/>
    <x v="43"/>
    <x v="0"/>
    <n v="17"/>
    <n v="20591"/>
  </r>
  <r>
    <n v="2018"/>
    <n v="5"/>
    <s v="201805"/>
    <s v="Kelly Group"/>
    <s v="公隆化學股份有限公司"/>
    <s v="原物料"/>
    <x v="17"/>
    <x v="0"/>
    <n v="34"/>
    <n v="21174"/>
  </r>
  <r>
    <n v="2018"/>
    <n v="5"/>
    <s v="201805"/>
    <s v="Kelly Group"/>
    <s v="公隆化學股份有限公司"/>
    <s v="原物料"/>
    <x v="44"/>
    <x v="0"/>
    <n v="17"/>
    <n v="16379"/>
  </r>
  <r>
    <n v="2018"/>
    <n v="5"/>
    <s v="201805"/>
    <s v="Kelly Group"/>
    <s v="公隆化學股份有限公司"/>
    <s v="原物料"/>
    <x v="33"/>
    <x v="0"/>
    <n v="51"/>
    <n v="70608"/>
  </r>
  <r>
    <n v="2018"/>
    <n v="5"/>
    <s v="201805"/>
    <s v="Kelly Group"/>
    <s v="公隆化學股份有限公司"/>
    <s v="原物料"/>
    <x v="20"/>
    <x v="0"/>
    <n v="34"/>
    <n v="35423"/>
  </r>
  <r>
    <n v="2018"/>
    <n v="5"/>
    <s v="201805"/>
    <s v="Kelly Group"/>
    <s v="公隆化學股份有限公司"/>
    <s v="原物料"/>
    <x v="21"/>
    <x v="0"/>
    <n v="54"/>
    <n v="82669"/>
  </r>
  <r>
    <n v="2018"/>
    <n v="5"/>
    <s v="201805"/>
    <s v="Kelly Group"/>
    <s v="公隆化學股份有限公司"/>
    <s v="原物料"/>
    <x v="35"/>
    <x v="0"/>
    <n v="85"/>
    <n v="110997"/>
  </r>
  <r>
    <n v="2018"/>
    <n v="5"/>
    <s v="201805"/>
    <s v="Kelly Group"/>
    <s v="公隆化學股份有限公司"/>
    <s v="原物料"/>
    <x v="25"/>
    <x v="0"/>
    <n v="16"/>
    <n v="7263"/>
  </r>
  <r>
    <n v="2018"/>
    <n v="5"/>
    <s v="201805"/>
    <s v="Kelly Group"/>
    <s v="公隆化學股份有限公司"/>
    <s v="原物料"/>
    <x v="45"/>
    <x v="0"/>
    <n v="5"/>
    <n v="60449"/>
  </r>
  <r>
    <n v="2018"/>
    <n v="5"/>
    <s v="201805"/>
    <s v="Kelly Group"/>
    <s v="公隆化學股份有限公司"/>
    <s v="產品"/>
    <x v="0"/>
    <x v="1"/>
    <n v="-600"/>
    <n v="-52830.999600000003"/>
  </r>
  <r>
    <n v="2018"/>
    <n v="5"/>
    <s v="201805"/>
    <s v="Kelly Group"/>
    <s v="公隆化學股份有限公司"/>
    <s v="產品"/>
    <x v="1"/>
    <x v="1"/>
    <n v="-510"/>
    <n v="-20483.99955"/>
  </r>
  <r>
    <n v="2018"/>
    <n v="5"/>
    <s v="201805"/>
    <s v="Kelly Group"/>
    <s v="公隆化學股份有限公司"/>
    <s v="產品"/>
    <x v="2"/>
    <x v="1"/>
    <n v="-480"/>
    <n v="-14688"/>
  </r>
  <r>
    <n v="2018"/>
    <n v="5"/>
    <s v="201805"/>
    <s v="Kelly Group"/>
    <s v="公隆化學股份有限公司"/>
    <s v="產品"/>
    <x v="3"/>
    <x v="1"/>
    <n v="-20"/>
    <n v="-3997"/>
  </r>
  <r>
    <n v="2018"/>
    <n v="5"/>
    <s v="201805"/>
    <s v="Kelly Group"/>
    <s v="公隆化學股份有限公司"/>
    <s v="產品"/>
    <x v="36"/>
    <x v="1"/>
    <n v="-80"/>
    <n v="-14393"/>
  </r>
  <r>
    <n v="2018"/>
    <n v="5"/>
    <s v="201805"/>
    <s v="Kelly Group"/>
    <s v="公隆化學股份有限公司"/>
    <s v="產品"/>
    <x v="37"/>
    <x v="1"/>
    <n v="-160"/>
    <n v="-32008"/>
  </r>
  <r>
    <n v="2018"/>
    <n v="5"/>
    <s v="201805"/>
    <s v="Kelly Group"/>
    <s v="公隆化學股份有限公司"/>
    <s v="產品"/>
    <x v="38"/>
    <x v="1"/>
    <n v="-280"/>
    <n v="-54948.999839999997"/>
  </r>
  <r>
    <n v="2018"/>
    <n v="5"/>
    <s v="201805"/>
    <s v="Kelly Group"/>
    <s v="公隆化學股份有限公司"/>
    <s v="產品"/>
    <x v="6"/>
    <x v="1"/>
    <n v="-214"/>
    <n v="-22044.999852000001"/>
  </r>
  <r>
    <n v="2018"/>
    <n v="5"/>
    <s v="201805"/>
    <s v="Kelly Group"/>
    <s v="公隆化學股份有限公司"/>
    <s v="產品"/>
    <x v="7"/>
    <x v="1"/>
    <n v="-3000"/>
    <n v="-228151.99799999999"/>
  </r>
  <r>
    <n v="2018"/>
    <n v="5"/>
    <s v="201805"/>
    <s v="Kelly Group"/>
    <s v="公隆化學股份有限公司"/>
    <s v="產品"/>
    <x v="39"/>
    <x v="1"/>
    <n v="-580.79999999999995"/>
    <n v="-62731.999493000003"/>
  </r>
  <r>
    <n v="2018"/>
    <n v="5"/>
    <s v="201805"/>
    <s v="Kelly Group"/>
    <s v="公隆化學股份有限公司"/>
    <s v="產品"/>
    <x v="8"/>
    <x v="1"/>
    <n v="-207.8"/>
    <n v="-21359.999930999998"/>
  </r>
  <r>
    <n v="2018"/>
    <n v="5"/>
    <s v="201805"/>
    <s v="Kelly Group"/>
    <s v="公隆化學股份有限公司"/>
    <s v="產品"/>
    <x v="11"/>
    <x v="1"/>
    <n v="-36"/>
    <n v="-11125.999980000001"/>
  </r>
  <r>
    <n v="2018"/>
    <n v="5"/>
    <s v="201805"/>
    <s v="Kelly Group"/>
    <s v="公隆化學股份有限公司"/>
    <s v="產品"/>
    <x v="31"/>
    <x v="1"/>
    <n v="-175"/>
    <n v="-17306.99985"/>
  </r>
  <r>
    <n v="2018"/>
    <n v="5"/>
    <s v="201805"/>
    <s v="Kelly Group"/>
    <s v="公隆化學股份有限公司"/>
    <s v="產品"/>
    <x v="12"/>
    <x v="1"/>
    <n v="-240"/>
    <n v="-36235.999920000002"/>
  </r>
  <r>
    <n v="2018"/>
    <n v="5"/>
    <s v="201805"/>
    <s v="Kelly Group"/>
    <s v="公隆化學股份有限公司"/>
    <s v="產品"/>
    <x v="40"/>
    <x v="1"/>
    <n v="-18"/>
    <n v="-21281.999994000002"/>
  </r>
  <r>
    <n v="2018"/>
    <n v="5"/>
    <s v="201805"/>
    <s v="Kelly Group"/>
    <s v="公隆化學股份有限公司"/>
    <s v="產品"/>
    <x v="41"/>
    <x v="1"/>
    <n v="-90"/>
    <n v="-63173.999969999997"/>
  </r>
  <r>
    <n v="2018"/>
    <n v="5"/>
    <s v="201805"/>
    <s v="Kelly Group"/>
    <s v="公隆化學股份有限公司"/>
    <s v="產品"/>
    <x v="14"/>
    <x v="1"/>
    <n v="-52"/>
    <n v="-38259"/>
  </r>
  <r>
    <n v="2018"/>
    <n v="5"/>
    <s v="201805"/>
    <s v="Kelly Group"/>
    <s v="公隆化學股份有限公司"/>
    <s v="產品"/>
    <x v="42"/>
    <x v="1"/>
    <n v="-18"/>
    <n v="-17768.999988"/>
  </r>
  <r>
    <n v="2018"/>
    <n v="5"/>
    <s v="201805"/>
    <s v="Kelly Group"/>
    <s v="公隆化學股份有限公司"/>
    <s v="產品"/>
    <x v="15"/>
    <x v="1"/>
    <n v="-15"/>
    <n v="-14164.999995"/>
  </r>
  <r>
    <n v="2018"/>
    <n v="5"/>
    <s v="201805"/>
    <s v="Kelly Group"/>
    <s v="公隆化學股份有限公司"/>
    <s v="產品"/>
    <x v="43"/>
    <x v="1"/>
    <n v="-17"/>
    <n v="-20590.999997999999"/>
  </r>
  <r>
    <n v="2018"/>
    <n v="5"/>
    <s v="201805"/>
    <s v="Kelly Group"/>
    <s v="公隆化學股份有限公司"/>
    <s v="產品"/>
    <x v="17"/>
    <x v="1"/>
    <n v="-34"/>
    <n v="-21173.999970000001"/>
  </r>
  <r>
    <n v="2018"/>
    <n v="5"/>
    <s v="201805"/>
    <s v="Kelly Group"/>
    <s v="公隆化學股份有限公司"/>
    <s v="產品"/>
    <x v="44"/>
    <x v="1"/>
    <n v="-17"/>
    <n v="-16378.999996"/>
  </r>
  <r>
    <n v="2018"/>
    <n v="5"/>
    <s v="201805"/>
    <s v="Kelly Group"/>
    <s v="公隆化學股份有限公司"/>
    <s v="產品"/>
    <x v="33"/>
    <x v="1"/>
    <n v="-51"/>
    <n v="-70607.999987999996"/>
  </r>
  <r>
    <n v="2018"/>
    <n v="5"/>
    <s v="201805"/>
    <s v="Kelly Group"/>
    <s v="公隆化學股份有限公司"/>
    <s v="產品"/>
    <x v="20"/>
    <x v="1"/>
    <n v="-34"/>
    <n v="-35422.999993999998"/>
  </r>
  <r>
    <n v="2018"/>
    <n v="5"/>
    <s v="201805"/>
    <s v="Kelly Group"/>
    <s v="公隆化學股份有限公司"/>
    <s v="產品"/>
    <x v="21"/>
    <x v="1"/>
    <n v="-54"/>
    <n v="-82668.999978000007"/>
  </r>
  <r>
    <n v="2018"/>
    <n v="5"/>
    <s v="201805"/>
    <s v="Kelly Group"/>
    <s v="公隆化學股份有限公司"/>
    <s v="產品"/>
    <x v="35"/>
    <x v="1"/>
    <n v="-85"/>
    <n v="-110996.99993000001"/>
  </r>
  <r>
    <n v="2018"/>
    <n v="5"/>
    <s v="201805"/>
    <s v="Kelly Group"/>
    <s v="公隆化學股份有限公司"/>
    <s v="產品"/>
    <x v="25"/>
    <x v="1"/>
    <n v="-16"/>
    <n v="-7263"/>
  </r>
  <r>
    <n v="2018"/>
    <n v="5"/>
    <s v="201805"/>
    <s v="Kelly Group"/>
    <s v="公隆化學股份有限公司"/>
    <s v="產品"/>
    <x v="45"/>
    <x v="1"/>
    <n v="-5"/>
    <n v="-6044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04">
  <r>
    <n v="2018"/>
    <x v="0"/>
    <s v="201803"/>
    <s v="Kelly Group"/>
    <s v="公隆化學股份有限公司:公隆化學股份有限公司"/>
    <x v="0"/>
    <s v="Order01"/>
    <s v="NASL12:電子化學課"/>
    <s v="公隆化學股份有限公司:公隆化學股份有限公司"/>
    <x v="0"/>
    <n v="30600"/>
    <n v="14563.999943999999"/>
    <n v="16036.000056000001"/>
    <n v="0"/>
    <n v="0"/>
    <n v="0"/>
    <n v="14563.999943999999"/>
    <n v="16036.000056000001"/>
    <n v="72"/>
    <n v="0.52405199999999996"/>
    <x v="0"/>
  </r>
  <r>
    <n v="2018"/>
    <x v="0"/>
    <s v="201803"/>
    <s v="Kelly Group"/>
    <s v="公隆化學股份有限公司:公隆化學股份有限公司"/>
    <x v="1"/>
    <s v="Order02"/>
    <s v="NASL11:製程化學課"/>
    <s v="公隆化學股份有限公司:公隆化學股份有限公司"/>
    <x v="1"/>
    <n v="16200"/>
    <n v="13291.999991999999"/>
    <n v="2908.000008"/>
    <n v="0"/>
    <n v="0"/>
    <n v="0"/>
    <n v="13291.999991999999"/>
    <n v="2908.000008"/>
    <n v="36"/>
    <n v="0.179506"/>
    <x v="1"/>
  </r>
  <r>
    <n v="2018"/>
    <x v="0"/>
    <s v="201803"/>
    <s v="Kelly Group"/>
    <s v="公隆化學股份有限公司:公隆化學股份有限公司"/>
    <x v="2"/>
    <s v="Order03"/>
    <s v="NASL11:製程化學課"/>
    <s v="公隆化學股份有限公司:公隆化學股份有限公司"/>
    <x v="2"/>
    <n v="74900"/>
    <n v="44090.999940000002"/>
    <n v="30809.000059999998"/>
    <n v="0"/>
    <n v="0"/>
    <n v="0"/>
    <n v="44090.999940000002"/>
    <n v="30809.000059999998"/>
    <n v="428"/>
    <n v="0.41133500000000001"/>
    <x v="1"/>
  </r>
  <r>
    <n v="2018"/>
    <x v="0"/>
    <s v="201803"/>
    <s v="Kelly Group"/>
    <s v="公隆化學股份有限公司:公隆化學股份有限公司"/>
    <x v="3"/>
    <s v="Order04"/>
    <s v="NASL11:製程化學課"/>
    <s v="公隆化學股份有限公司:公隆化學股份有限公司"/>
    <x v="3"/>
    <n v="9600"/>
    <n v="4592"/>
    <n v="5008"/>
    <n v="0"/>
    <n v="0"/>
    <n v="0"/>
    <n v="4592"/>
    <n v="5008"/>
    <n v="20"/>
    <n v="0.52166599999999996"/>
    <x v="1"/>
  </r>
  <r>
    <n v="2018"/>
    <x v="0"/>
    <s v="201803"/>
    <s v="Kelly Group"/>
    <s v="公隆化學股份有限公司:公隆化學股份有限公司"/>
    <x v="3"/>
    <s v="Order05"/>
    <s v="NASL11:製程化學課"/>
    <s v="公隆化學股份有限公司:公隆化學股份有限公司"/>
    <x v="4"/>
    <n v="6400"/>
    <n v="2637"/>
    <n v="3763"/>
    <n v="0"/>
    <n v="0"/>
    <n v="0"/>
    <n v="2637"/>
    <n v="3763"/>
    <n v="20"/>
    <n v="0.58796800000000005"/>
    <x v="1"/>
  </r>
  <r>
    <n v="2018"/>
    <x v="0"/>
    <s v="201803"/>
    <s v="Kelly Group"/>
    <s v="公隆化學股份有限公司:公隆化學股份有限公司"/>
    <x v="4"/>
    <s v="Order06"/>
    <s v="NASL11:製程化學課"/>
    <s v="公隆化學股份有限公司:公隆化學股份有限公司"/>
    <x v="5"/>
    <n v="125000"/>
    <n v="71469"/>
    <n v="53531"/>
    <n v="0"/>
    <n v="0"/>
    <n v="0"/>
    <n v="71469"/>
    <n v="53531"/>
    <n v="1000"/>
    <n v="0.42824800000000002"/>
    <x v="1"/>
  </r>
  <r>
    <n v="2018"/>
    <x v="0"/>
    <s v="201803"/>
    <s v="Kelly Group"/>
    <s v="公隆化學股份有限公司:公隆化學股份有限公司"/>
    <x v="5"/>
    <s v="Order07"/>
    <s v="NASL12:電子化學課"/>
    <s v="公隆化學股份有限公司:公隆化學股份有限公司"/>
    <x v="6"/>
    <n v="15360"/>
    <n v="5248"/>
    <n v="10112"/>
    <n v="0"/>
    <n v="0"/>
    <n v="1536.227063"/>
    <n v="6784.2270630000003"/>
    <n v="8575.7729369999997"/>
    <n v="16"/>
    <n v="0.55831799999999998"/>
    <x v="2"/>
  </r>
  <r>
    <n v="2018"/>
    <x v="0"/>
    <s v="201803"/>
    <s v="Kelly Group"/>
    <s v="公隆化學股份有限公司:公隆化學股份有限公司"/>
    <x v="6"/>
    <s v="Order08"/>
    <s v="NASL11:製程化學課"/>
    <s v="公隆化學股份有限公司:公隆化學股份有限公司"/>
    <x v="7"/>
    <n v="60000"/>
    <n v="33663.999807"/>
    <n v="26336.000193"/>
    <n v="0"/>
    <n v="0"/>
    <n v="0"/>
    <n v="33663.999807"/>
    <n v="26336.000193"/>
    <n v="415.6"/>
    <n v="0.43893300000000002"/>
    <x v="1"/>
  </r>
  <r>
    <n v="2018"/>
    <x v="0"/>
    <s v="201803"/>
    <s v="Kelly Group"/>
    <s v="公隆化學股份有限公司:公隆化學股份有限公司"/>
    <x v="7"/>
    <s v="Order09"/>
    <s v="NASL12:電子化學課"/>
    <s v="公隆化學股份有限公司:公隆化學股份有限公司"/>
    <x v="8"/>
    <n v="60210"/>
    <n v="40291.999965000003"/>
    <n v="19918.000035000001"/>
    <n v="0"/>
    <n v="0"/>
    <n v="0"/>
    <n v="40291.999965000003"/>
    <n v="19918.000035000001"/>
    <n v="45"/>
    <n v="0.33080799999999999"/>
    <x v="2"/>
  </r>
  <r>
    <n v="2018"/>
    <x v="0"/>
    <s v="201803"/>
    <s v="Kelly Group"/>
    <s v="公隆化學股份有限公司:公隆化學股份有限公司"/>
    <x v="7"/>
    <s v="Order10"/>
    <s v="NASL12:電子化學課"/>
    <s v="公隆化學股份有限公司:公隆化學股份有限公司"/>
    <x v="9"/>
    <n v="27066"/>
    <n v="18538"/>
    <n v="8528"/>
    <n v="0"/>
    <n v="0"/>
    <n v="0"/>
    <n v="18538"/>
    <n v="8528"/>
    <n v="26"/>
    <n v="0.315081"/>
    <x v="2"/>
  </r>
  <r>
    <n v="2018"/>
    <x v="0"/>
    <s v="201803"/>
    <s v="Kelly Group"/>
    <s v="公隆化學股份有限公司:公隆化學股份有限公司"/>
    <x v="8"/>
    <s v="Order11"/>
    <s v="NASL11:製程化學課"/>
    <s v="公隆化學股份有限公司:公隆化學股份有限公司"/>
    <x v="10"/>
    <n v="52000"/>
    <n v="36400"/>
    <n v="15600"/>
    <n v="0"/>
    <n v="0"/>
    <n v="0"/>
    <n v="36400"/>
    <n v="15600"/>
    <n v="260"/>
    <n v="0.3"/>
    <x v="1"/>
  </r>
  <r>
    <n v="2018"/>
    <x v="0"/>
    <s v="201803"/>
    <s v="Kelly Group"/>
    <s v="公隆化學股份有限公司:公隆化學股份有限公司"/>
    <x v="9"/>
    <s v="Order12"/>
    <s v="NASL12:電子化學課"/>
    <s v="公隆化學股份有限公司:公隆化學股份有限公司"/>
    <x v="11"/>
    <n v="68400"/>
    <n v="26595.333323999999"/>
    <n v="41804.666676000001"/>
    <n v="0"/>
    <n v="0"/>
    <n v="8637.8723460000001"/>
    <n v="35233.205670000003"/>
    <n v="33166.794329999997"/>
    <n v="18"/>
    <n v="0.48489399999999999"/>
    <x v="2"/>
  </r>
  <r>
    <n v="2018"/>
    <x v="0"/>
    <s v="201803"/>
    <s v="Kelly Group"/>
    <s v="公隆化學股份有限公司:公隆化學股份有限公司"/>
    <x v="9"/>
    <s v="Order13"/>
    <s v="NASL12:電子化學課"/>
    <s v="公隆化學股份有限公司:公隆化學股份有限公司"/>
    <x v="12"/>
    <n v="37400"/>
    <n v="18686.999997999999"/>
    <n v="18713.000002000001"/>
    <n v="0"/>
    <n v="0"/>
    <n v="4723.0471600000001"/>
    <n v="23410.047158000001"/>
    <n v="13989.952842000001"/>
    <n v="17"/>
    <n v="0.37406200000000001"/>
    <x v="2"/>
  </r>
  <r>
    <n v="2018"/>
    <x v="0"/>
    <s v="201803"/>
    <s v="Kelly Group"/>
    <s v="公隆化學股份有限公司:公隆化學股份有限公司"/>
    <x v="10"/>
    <s v="Order14"/>
    <s v="NASL12:電子化學課"/>
    <s v="公隆化學股份有限公司:公隆化學股份有限公司"/>
    <x v="13"/>
    <n v="30600"/>
    <n v="21133.99999"/>
    <n v="9466.0000099999997"/>
    <n v="0"/>
    <n v="0"/>
    <n v="1090.1453839999999"/>
    <n v="22224.145374"/>
    <n v="8375.8546260000003"/>
    <n v="17"/>
    <n v="0.27372000000000002"/>
    <x v="2"/>
  </r>
  <r>
    <n v="2018"/>
    <x v="0"/>
    <s v="201803"/>
    <s v="Kelly Group"/>
    <s v="公隆化學股份有限公司:公隆化學股份有限公司"/>
    <x v="10"/>
    <s v="Order15"/>
    <s v="NASL12:電子化學課"/>
    <s v="公隆化學股份有限公司:公隆化學股份有限公司"/>
    <x v="14"/>
    <n v="36550"/>
    <n v="20094.181798000001"/>
    <n v="16455.818201999999"/>
    <n v="0"/>
    <n v="0"/>
    <n v="1302.1180979999999"/>
    <n v="21396.299896"/>
    <n v="15153.700104"/>
    <n v="34"/>
    <n v="0.414601"/>
    <x v="2"/>
  </r>
  <r>
    <n v="2018"/>
    <x v="0"/>
    <s v="201803"/>
    <s v="Kelly Group"/>
    <s v="公隆化學股份有限公司:公隆化學股份有限公司"/>
    <x v="10"/>
    <s v="Order16"/>
    <s v="NASL12:電子化學課"/>
    <s v="公隆化學股份有限公司:公隆化學股份有限公司"/>
    <x v="11"/>
    <n v="118800"/>
    <n v="53190.666647999999"/>
    <n v="65609.333352000001"/>
    <n v="0"/>
    <n v="0"/>
    <n v="4232.3291390000004"/>
    <n v="57422.995787"/>
    <n v="61377.004213"/>
    <n v="36"/>
    <n v="0.51664100000000002"/>
    <x v="2"/>
  </r>
  <r>
    <n v="2018"/>
    <x v="0"/>
    <s v="201803"/>
    <s v="Kelly Group"/>
    <s v="公隆化學股份有限公司:公隆化學股份有限公司"/>
    <x v="10"/>
    <s v="Order17"/>
    <s v="NASL12:電子化學課"/>
    <s v="公隆化學股份有限公司:公隆化學股份有限公司"/>
    <x v="14"/>
    <n v="164475"/>
    <n v="90423.818090999994"/>
    <n v="74051.181909000006"/>
    <n v="0"/>
    <n v="0"/>
    <n v="5859.5314410000001"/>
    <n v="96283.349531999993"/>
    <n v="68191.650468000007"/>
    <n v="153"/>
    <n v="0.414601"/>
    <x v="2"/>
  </r>
  <r>
    <n v="2018"/>
    <x v="0"/>
    <s v="201803"/>
    <s v="Kelly Group"/>
    <s v="公隆化學股份有限公司:公隆化學股份有限公司"/>
    <x v="11"/>
    <s v="Order18"/>
    <s v="NASL11:製程化學課"/>
    <s v="公隆化學股份有限公司:公隆化學股份有限公司"/>
    <x v="15"/>
    <n v="21000"/>
    <n v="4663.9999200000002"/>
    <n v="16336.00008"/>
    <n v="0"/>
    <n v="0"/>
    <n v="0"/>
    <n v="4663.9999200000002"/>
    <n v="16336.00008"/>
    <n v="120"/>
    <n v="0.77790400000000004"/>
    <x v="3"/>
  </r>
  <r>
    <n v="2018"/>
    <x v="0"/>
    <s v="201803"/>
    <s v="Kelly Group"/>
    <s v="公隆化學股份有限公司:公隆化學股份有限公司"/>
    <x v="11"/>
    <s v="Order19"/>
    <s v="NASL11:製程化學課"/>
    <s v="公隆化學股份有限公司:公隆化學股份有限公司"/>
    <x v="16"/>
    <n v="43500"/>
    <n v="25264.999800000001"/>
    <n v="18235.000199999999"/>
    <n v="0"/>
    <n v="0"/>
    <n v="0"/>
    <n v="25264.999800000001"/>
    <n v="18235.000199999999"/>
    <n v="300"/>
    <n v="0.41919499999999998"/>
    <x v="3"/>
  </r>
  <r>
    <n v="2018"/>
    <x v="0"/>
    <s v="201803"/>
    <s v="Kelly Group"/>
    <s v="公隆化學股份有限公司:公隆化學股份有限公司"/>
    <x v="12"/>
    <s v="Order20"/>
    <s v="NASL12:電子化學課"/>
    <s v="公隆化學股份有限公司:公隆化學股份有限公司"/>
    <x v="17"/>
    <n v="79900"/>
    <n v="32759"/>
    <n v="47141"/>
    <n v="0"/>
    <n v="0"/>
    <n v="1241.5159369999999"/>
    <n v="34000.515936999996"/>
    <n v="45899.484063000004"/>
    <n v="17"/>
    <n v="0.574461"/>
    <x v="2"/>
  </r>
  <r>
    <n v="2018"/>
    <x v="0"/>
    <s v="201803"/>
    <s v="Kelly Group"/>
    <s v="公隆化學股份有限公司:公隆化學股份有限公司"/>
    <x v="12"/>
    <s v="Order21"/>
    <s v="NASL12:電子化學課"/>
    <s v="公隆化學股份有限公司:公隆化學股份有限公司"/>
    <x v="18"/>
    <n v="68400"/>
    <n v="42108.999983000002"/>
    <n v="26291.000016999998"/>
    <n v="0"/>
    <n v="0"/>
    <n v="1062.8246569999999"/>
    <n v="43171.824639999999"/>
    <n v="25228.175360000001"/>
    <n v="19"/>
    <n v="0.36883199999999999"/>
    <x v="2"/>
  </r>
  <r>
    <n v="2018"/>
    <x v="0"/>
    <s v="201803"/>
    <s v="Kelly Group"/>
    <s v="公隆化學股份有限公司:公隆化學股份有限公司"/>
    <x v="13"/>
    <s v="Order22"/>
    <s v="NASL11:製程化學課"/>
    <s v="公隆化學股份有限公司:公隆化學股份有限公司"/>
    <x v="19"/>
    <n v="187500"/>
    <n v="114000"/>
    <n v="73500"/>
    <n v="0"/>
    <n v="0"/>
    <n v="0"/>
    <n v="114000"/>
    <n v="73500"/>
    <n v="750"/>
    <n v="0.39200000000000002"/>
    <x v="1"/>
  </r>
  <r>
    <n v="2018"/>
    <x v="0"/>
    <s v="201803"/>
    <s v="Kelly Group"/>
    <s v="公隆化學股份有限公司:公隆化學股份有限公司"/>
    <x v="13"/>
    <s v="Order23"/>
    <s v="NASL11:製程化學課"/>
    <s v="公隆化學股份有限公司:公隆化學股份有限公司"/>
    <x v="19"/>
    <n v="125000"/>
    <n v="76000"/>
    <n v="49000"/>
    <n v="0"/>
    <n v="0"/>
    <n v="0"/>
    <n v="76000"/>
    <n v="49000"/>
    <n v="500"/>
    <n v="0.39200000000000002"/>
    <x v="1"/>
  </r>
  <r>
    <n v="2018"/>
    <x v="0"/>
    <s v="201803"/>
    <s v="Kelly Group"/>
    <s v="公隆化學股份有限公司:公隆化學股份有限公司"/>
    <x v="14"/>
    <s v="Order24"/>
    <s v="NASL11:製程化學課"/>
    <s v="公隆化學股份有限公司:公隆化學股份有限公司"/>
    <x v="20"/>
    <n v="4500"/>
    <n v="2420.6666599999999"/>
    <n v="2079.3333400000001"/>
    <n v="0"/>
    <n v="0"/>
    <n v="0"/>
    <n v="2420.6666599999999"/>
    <n v="2079.3333400000001"/>
    <n v="20"/>
    <n v="0.46207399999999998"/>
    <x v="1"/>
  </r>
  <r>
    <n v="2018"/>
    <x v="0"/>
    <s v="201803"/>
    <s v="Kelly Group"/>
    <s v="公隆化學股份有限公司:公隆化學股份有限公司"/>
    <x v="14"/>
    <s v="Order25"/>
    <s v="NASL11:製程化學課"/>
    <s v="公隆化學股份有限公司:公隆化學股份有限公司"/>
    <x v="20"/>
    <n v="9000"/>
    <n v="4841.3333199999997"/>
    <n v="4158.6666800000003"/>
    <n v="0"/>
    <n v="0"/>
    <n v="0"/>
    <n v="4841.3333199999997"/>
    <n v="4158.6666800000003"/>
    <n v="40"/>
    <n v="0.46207399999999998"/>
    <x v="1"/>
  </r>
  <r>
    <n v="2018"/>
    <x v="0"/>
    <s v="201803"/>
    <s v="Kelly Group"/>
    <s v="公隆化學股份有限公司:公隆化學股份有限公司"/>
    <x v="15"/>
    <s v="Order26"/>
    <s v="NASL11:製程化學課"/>
    <s v="公隆化學股份有限公司:公隆化學股份有限公司"/>
    <x v="21"/>
    <n v="38250"/>
    <n v="27814.999950000001"/>
    <n v="10435.000050000001"/>
    <n v="0"/>
    <n v="0"/>
    <n v="0"/>
    <n v="27814.999950000001"/>
    <n v="10435.000050000001"/>
    <n v="90"/>
    <n v="0.27281"/>
    <x v="1"/>
  </r>
  <r>
    <n v="2018"/>
    <x v="0"/>
    <s v="201803"/>
    <s v="Kelly Group"/>
    <s v="公隆化學股份有限公司:公隆化學股份有限公司"/>
    <x v="16"/>
    <s v="Order27"/>
    <s v="NASL12:電子化學課"/>
    <s v="公隆化學股份有限公司:公隆化學股份有限公司"/>
    <x v="22"/>
    <n v="24600"/>
    <n v="9741"/>
    <n v="14859"/>
    <n v="0"/>
    <n v="0"/>
    <n v="5643.6811900000002"/>
    <n v="15384.681189999999"/>
    <n v="9215.3188100000007"/>
    <n v="3"/>
    <n v="0.37460599999999999"/>
    <x v="2"/>
  </r>
  <r>
    <n v="2018"/>
    <x v="0"/>
    <s v="201803"/>
    <s v="Kelly Group"/>
    <s v="公隆化學股份有限公司:公隆化學股份有限公司"/>
    <x v="17"/>
    <s v="Order28"/>
    <s v="NASL12:電子化學課"/>
    <s v="公隆化學股份有限公司:公隆化學股份有限公司"/>
    <x v="23"/>
    <n v="14400"/>
    <n v="5896"/>
    <n v="8504"/>
    <n v="0"/>
    <n v="0"/>
    <n v="0"/>
    <n v="5896"/>
    <n v="8504"/>
    <n v="16"/>
    <n v="0.59055500000000005"/>
    <x v="2"/>
  </r>
  <r>
    <n v="2018"/>
    <x v="0"/>
    <s v="201803"/>
    <s v="Kelly Group"/>
    <s v="公隆化學股份有限公司:公隆化學股份有限公司"/>
    <x v="17"/>
    <s v="Order29"/>
    <s v="NASL12:電子化學課"/>
    <s v="公隆化學股份有限公司:公隆化學股份有限公司"/>
    <x v="24"/>
    <n v="12750"/>
    <n v="6648.9999900000003"/>
    <n v="6101.0000099999997"/>
    <n v="0"/>
    <n v="0"/>
    <n v="0"/>
    <n v="6648.9999900000003"/>
    <n v="6101.0000099999997"/>
    <n v="15"/>
    <n v="0.47850900000000002"/>
    <x v="2"/>
  </r>
  <r>
    <n v="2018"/>
    <x v="0"/>
    <s v="201803"/>
    <s v="Kelly Group"/>
    <s v="公隆化學股份有限公司:公隆化學股份有限公司"/>
    <x v="17"/>
    <s v="Order30"/>
    <s v="NASL12:電子化學課"/>
    <s v="公隆化學股份有限公司:公隆化學股份有限公司"/>
    <x v="24"/>
    <n v="12750"/>
    <n v="6648.9999900000003"/>
    <n v="6101.0000099999997"/>
    <n v="0"/>
    <n v="0"/>
    <n v="0"/>
    <n v="6648.9999900000003"/>
    <n v="6101.0000099999997"/>
    <n v="15"/>
    <n v="0.47850900000000002"/>
    <x v="2"/>
  </r>
  <r>
    <n v="2018"/>
    <x v="0"/>
    <s v="201803"/>
    <s v="Kelly Group"/>
    <s v="公隆化學股份有限公司:公隆化學股份有限公司"/>
    <x v="18"/>
    <s v="Order31"/>
    <s v="NASL11:製程化學課"/>
    <s v="公隆化學股份有限公司:公隆化學股份有限公司"/>
    <x v="25"/>
    <n v="76800"/>
    <n v="15966"/>
    <n v="60834"/>
    <n v="0"/>
    <n v="0"/>
    <n v="0"/>
    <n v="15966"/>
    <n v="60834"/>
    <n v="480"/>
    <n v="0.79210899999999995"/>
    <x v="3"/>
  </r>
  <r>
    <n v="2018"/>
    <x v="0"/>
    <s v="201803"/>
    <s v="Kelly Group"/>
    <s v="公隆化學股份有限公司:公隆化學股份有限公司"/>
    <x v="19"/>
    <s v="Order32"/>
    <s v="NASL12:電子化學課"/>
    <s v="公隆化學股份有限公司:公隆化學股份有限公司"/>
    <x v="26"/>
    <n v="20480"/>
    <n v="2222"/>
    <n v="18258"/>
    <n v="0"/>
    <n v="0"/>
    <n v="8910.1169659999996"/>
    <n v="11132.116966"/>
    <n v="9347.8830340000004"/>
    <n v="16"/>
    <n v="0.45643899999999998"/>
    <x v="2"/>
  </r>
  <r>
    <n v="2018"/>
    <x v="0"/>
    <s v="201803"/>
    <s v="Kelly Group"/>
    <s v="公隆化學股份有限公司:公隆化學股份有限公司"/>
    <x v="20"/>
    <s v="Order33"/>
    <s v="NASL12:電子化學課"/>
    <s v="公隆化學股份有限公司:公隆化學股份有限公司"/>
    <x v="15"/>
    <n v="5400"/>
    <n v="1165.9999800000001"/>
    <n v="4234.0000200000004"/>
    <n v="0"/>
    <n v="0"/>
    <n v="0"/>
    <n v="1165.9999800000001"/>
    <n v="4234.0000200000004"/>
    <n v="30"/>
    <n v="0.78407400000000005"/>
    <x v="2"/>
  </r>
  <r>
    <n v="2018"/>
    <x v="1"/>
    <s v="201804"/>
    <s v="Kelly Group"/>
    <s v="公隆化學股份有限公司:公隆化學股份有限公司"/>
    <x v="21"/>
    <s v="Order34"/>
    <s v="NASL12:電子化學課"/>
    <s v="公隆化學股份有限公司:公隆化學股份有限公司"/>
    <x v="16"/>
    <n v="8000"/>
    <n v="1658.7317"/>
    <n v="6341.2682999999997"/>
    <n v="0"/>
    <n v="0"/>
    <n v="38156.136869000002"/>
    <n v="39814.868568999998"/>
    <n v="-31814.868568999998"/>
    <n v="20"/>
    <n v="-3.976858"/>
    <x v="0"/>
  </r>
  <r>
    <n v="2018"/>
    <x v="1"/>
    <s v="201804"/>
    <s v="Kelly Group"/>
    <s v="公隆化學股份有限公司:公隆化學股份有限公司"/>
    <x v="8"/>
    <s v="Order35"/>
    <s v="NASL11:製程化學課"/>
    <s v="公隆化學股份有限公司:公隆化學股份有限公司"/>
    <x v="10"/>
    <n v="60000"/>
    <n v="42000"/>
    <n v="18000"/>
    <n v="0"/>
    <n v="0"/>
    <n v="0"/>
    <n v="42000"/>
    <n v="18000"/>
    <n v="300"/>
    <n v="0.3"/>
    <x v="1"/>
  </r>
  <r>
    <n v="2018"/>
    <x v="1"/>
    <s v="201804"/>
    <s v="Kelly Group"/>
    <s v="公隆化學股份有限公司:公隆化學股份有限公司"/>
    <x v="4"/>
    <s v="Order36"/>
    <s v="NASL11:製程化學課"/>
    <s v="公隆化學股份有限公司:公隆化學股份有限公司"/>
    <x v="5"/>
    <n v="312500"/>
    <n v="178673"/>
    <n v="133827"/>
    <n v="0"/>
    <n v="0"/>
    <n v="0"/>
    <n v="178673"/>
    <n v="133827"/>
    <n v="2500"/>
    <n v="0.42824600000000002"/>
    <x v="1"/>
  </r>
  <r>
    <n v="2018"/>
    <x v="1"/>
    <s v="201804"/>
    <s v="Kelly Group"/>
    <s v="公隆化學股份有限公司:公隆化學股份有限公司"/>
    <x v="10"/>
    <s v="Order37"/>
    <s v="NASL12:電子化學課"/>
    <s v="公隆化學股份有限公司:公隆化學股份有限公司"/>
    <x v="11"/>
    <n v="118800"/>
    <n v="52380"/>
    <n v="66420"/>
    <n v="0"/>
    <n v="0"/>
    <n v="301.47501999999997"/>
    <n v="52681.475019999998"/>
    <n v="66118.524980000002"/>
    <n v="36"/>
    <n v="0.55655299999999996"/>
    <x v="2"/>
  </r>
  <r>
    <n v="2018"/>
    <x v="1"/>
    <s v="201804"/>
    <s v="Kelly Group"/>
    <s v="公隆化學股份有限公司:公隆化學股份有限公司"/>
    <x v="9"/>
    <s v="Order38"/>
    <s v="NASL12:電子化學課"/>
    <s v="公隆化學股份有限公司:公隆化學股份有限公司"/>
    <x v="11"/>
    <n v="68400"/>
    <n v="26190"/>
    <n v="42210"/>
    <n v="0"/>
    <n v="0"/>
    <n v="0"/>
    <n v="26190"/>
    <n v="42210"/>
    <n v="18"/>
    <n v="0.61710500000000001"/>
    <x v="2"/>
  </r>
  <r>
    <n v="2018"/>
    <x v="1"/>
    <s v="201804"/>
    <s v="Kelly Group"/>
    <s v="公隆化學股份有限公司:公隆化學股份有限公司"/>
    <x v="10"/>
    <s v="Order39"/>
    <s v="NASL12:電子化學課"/>
    <s v="公隆化學股份有限公司:公隆化學股份有限公司"/>
    <x v="14"/>
    <n v="511700"/>
    <n v="277034.89646000002"/>
    <n v="234665.10354000001"/>
    <n v="0"/>
    <n v="0"/>
    <n v="1298.5249799999999"/>
    <n v="278333.42144000001"/>
    <n v="233366.57855999999"/>
    <n v="476"/>
    <n v="0.45606099999999999"/>
    <x v="2"/>
  </r>
  <r>
    <n v="2018"/>
    <x v="1"/>
    <s v="201804"/>
    <s v="Kelly Group"/>
    <s v="公隆化學股份有限公司:公隆化學股份有限公司"/>
    <x v="17"/>
    <s v="Order40"/>
    <s v="NASL12:電子化學課"/>
    <s v="公隆化學股份有限公司:公隆化學股份有限公司"/>
    <x v="23"/>
    <n v="14400"/>
    <n v="5806"/>
    <n v="8594"/>
    <n v="0"/>
    <n v="0"/>
    <n v="1620.669011"/>
    <n v="7426.669011"/>
    <n v="6973.330989"/>
    <n v="16"/>
    <n v="0.484259"/>
    <x v="2"/>
  </r>
  <r>
    <n v="2018"/>
    <x v="1"/>
    <s v="201804"/>
    <s v="Kelly Group"/>
    <s v="公隆化學股份有限公司:公隆化學股份有限公司"/>
    <x v="17"/>
    <s v="Order41"/>
    <s v="NASL12:電子化學課"/>
    <s v="公隆化學股份有限公司:公隆化學股份有限公司"/>
    <x v="24"/>
    <n v="12750"/>
    <n v="6547.9999950000001"/>
    <n v="6202.0000049999999"/>
    <n v="0"/>
    <n v="0"/>
    <n v="1434.967353"/>
    <n v="7982.9673480000001"/>
    <n v="4767.0326519999999"/>
    <n v="15"/>
    <n v="0.37388399999999999"/>
    <x v="2"/>
  </r>
  <r>
    <n v="2018"/>
    <x v="1"/>
    <s v="201804"/>
    <s v="Kelly Group"/>
    <s v="公隆化學股份有限公司:公隆化學股份有限公司"/>
    <x v="22"/>
    <s v="Order42"/>
    <s v="NASL11:製程化學課"/>
    <s v="公隆化學股份有限公司:公隆化學股份有限公司"/>
    <x v="15"/>
    <n v="9600"/>
    <n v="2331.9999600000001"/>
    <n v="7268.0000399999999"/>
    <n v="0"/>
    <n v="0"/>
    <n v="7602.7282409999998"/>
    <n v="9934.7282009999999"/>
    <n v="-334.72820100000001"/>
    <n v="60"/>
    <n v="-3.4867000000000002E-2"/>
    <x v="3"/>
  </r>
  <r>
    <n v="2018"/>
    <x v="1"/>
    <s v="201804"/>
    <s v="Kelly Group"/>
    <s v="公隆化學股份有限公司:公隆化學股份有限公司"/>
    <x v="9"/>
    <s v="Order43"/>
    <s v="NASL12:電子化學課"/>
    <s v="公隆化學股份有限公司:公隆化學股份有限公司"/>
    <x v="12"/>
    <n v="74800"/>
    <n v="33639.999975999999"/>
    <n v="41160.000024000001"/>
    <n v="0"/>
    <n v="0"/>
    <n v="0"/>
    <n v="33639.999975999999"/>
    <n v="41160.000024000001"/>
    <n v="34"/>
    <n v="0.55026699999999995"/>
    <x v="2"/>
  </r>
  <r>
    <n v="2018"/>
    <x v="1"/>
    <s v="201804"/>
    <s v="Kelly Group"/>
    <s v="公隆化學股份有限公司:公隆化學股份有限公司"/>
    <x v="9"/>
    <s v="Order44"/>
    <s v="NASL12:電子化學課"/>
    <s v="公隆化學股份有限公司:公隆化學股份有限公司"/>
    <x v="27"/>
    <n v="42500"/>
    <n v="22261.666651"/>
    <n v="20238.333349"/>
    <n v="0"/>
    <n v="0"/>
    <n v="0"/>
    <n v="22261.666651"/>
    <n v="20238.333349"/>
    <n v="17"/>
    <n v="0.47619600000000001"/>
    <x v="2"/>
  </r>
  <r>
    <n v="2018"/>
    <x v="1"/>
    <s v="201804"/>
    <s v="Kelly Group"/>
    <s v="公隆化學股份有限公司:公隆化學股份有限公司"/>
    <x v="9"/>
    <s v="Order45"/>
    <s v="NASL12:電子化學課"/>
    <s v="公隆化學股份有限公司:公隆化學股份有限公司"/>
    <x v="27"/>
    <n v="127500"/>
    <n v="66784.999953000006"/>
    <n v="60715.000047000001"/>
    <n v="0"/>
    <n v="0"/>
    <n v="0"/>
    <n v="66784.999953000006"/>
    <n v="60715.000047000001"/>
    <n v="51"/>
    <n v="0.47619600000000001"/>
    <x v="2"/>
  </r>
  <r>
    <n v="2018"/>
    <x v="1"/>
    <s v="201804"/>
    <s v="Kelly Group"/>
    <s v="公隆化學股份有限公司:公隆化學股份有限公司"/>
    <x v="23"/>
    <s v="Order46"/>
    <s v="NASL12:電子化學課"/>
    <s v="公隆化學股份有限公司:公隆化學股份有限公司"/>
    <x v="28"/>
    <n v="28500"/>
    <n v="16412"/>
    <n v="12088"/>
    <n v="0"/>
    <n v="0"/>
    <n v="1044.0090909999999"/>
    <n v="17456.009091"/>
    <n v="11043.990909"/>
    <n v="1"/>
    <n v="0.38750800000000002"/>
    <x v="0"/>
  </r>
  <r>
    <n v="2018"/>
    <x v="1"/>
    <s v="201804"/>
    <s v="Kelly Group"/>
    <s v="公隆化學股份有限公司:公隆化學股份有限公司"/>
    <x v="12"/>
    <s v="Order47"/>
    <s v="NASL12:電子化學課"/>
    <s v="公隆化學股份有限公司:公隆化學股份有限公司"/>
    <x v="18"/>
    <n v="68400"/>
    <n v="41467.999985000002"/>
    <n v="26932.000015000001"/>
    <n v="0"/>
    <n v="0"/>
    <n v="0"/>
    <n v="41467.999985000002"/>
    <n v="26932.000015000001"/>
    <n v="19"/>
    <n v="0.39374199999999998"/>
    <x v="2"/>
  </r>
  <r>
    <n v="2018"/>
    <x v="1"/>
    <s v="201804"/>
    <s v="Kelly Group"/>
    <s v="公隆化學股份有限公司:公隆化學股份有限公司"/>
    <x v="12"/>
    <s v="Order48"/>
    <s v="NASL12:電子化學課"/>
    <s v="公隆化學股份有限公司:公隆化學股份有限公司"/>
    <x v="29"/>
    <n v="72000"/>
    <n v="42246"/>
    <n v="29754"/>
    <n v="0"/>
    <n v="0"/>
    <n v="0"/>
    <n v="42246"/>
    <n v="29754"/>
    <n v="18"/>
    <n v="0.41325000000000001"/>
    <x v="2"/>
  </r>
  <r>
    <n v="2018"/>
    <x v="1"/>
    <s v="201804"/>
    <s v="Kelly Group"/>
    <s v="公隆化學股份有限公司:公隆化學股份有限公司"/>
    <x v="6"/>
    <s v="Order49"/>
    <s v="NASL11:製程化學課"/>
    <s v="公隆化學股份有限公司:公隆化學股份有限公司"/>
    <x v="7"/>
    <n v="60000"/>
    <n v="33663.999807"/>
    <n v="26336.000193"/>
    <n v="0"/>
    <n v="0"/>
    <n v="0"/>
    <n v="33663.999807"/>
    <n v="26336.000193"/>
    <n v="415.6"/>
    <n v="0.43893300000000002"/>
    <x v="1"/>
  </r>
  <r>
    <n v="2018"/>
    <x v="1"/>
    <s v="201804"/>
    <s v="Kelly Group"/>
    <s v="公隆化學股份有限公司:公隆化學股份有限公司"/>
    <x v="24"/>
    <s v="Order50"/>
    <s v="NASL12:電子化學課"/>
    <s v="公隆化學股份有限公司:公隆化學股份有限公司"/>
    <x v="14"/>
    <n v="17442"/>
    <n v="9894.1034450000006"/>
    <n v="7547.8965550000003"/>
    <n v="0"/>
    <n v="0"/>
    <n v="3577.6409090000002"/>
    <n v="13471.744354"/>
    <n v="3970.2556460000001"/>
    <n v="17"/>
    <n v="0.227626"/>
    <x v="2"/>
  </r>
  <r>
    <n v="2018"/>
    <x v="1"/>
    <s v="201804"/>
    <s v="Kelly Group"/>
    <s v="公隆化學股份有限公司:公隆化學股份有限公司"/>
    <x v="25"/>
    <s v="Order51"/>
    <s v="NASL11:製程化學課"/>
    <s v="公隆化學股份有限公司:公隆化學股份有限公司"/>
    <x v="2"/>
    <n v="10500"/>
    <n v="6180.75"/>
    <n v="4319.25"/>
    <n v="0"/>
    <n v="0"/>
    <n v="0"/>
    <n v="6180.75"/>
    <n v="4319.25"/>
    <n v="60"/>
    <n v="0.41135699999999997"/>
    <x v="1"/>
  </r>
  <r>
    <n v="2018"/>
    <x v="1"/>
    <s v="201804"/>
    <s v="Kelly Group"/>
    <s v="公隆化學股份有限公司:公隆化學股份有限公司"/>
    <x v="0"/>
    <s v="Order52"/>
    <s v="NASL12:電子化學課"/>
    <s v="公隆化學股份有限公司:公隆化學股份有限公司"/>
    <x v="0"/>
    <n v="15300"/>
    <n v="7281.9999719999996"/>
    <n v="8018.0000280000004"/>
    <n v="0"/>
    <n v="0"/>
    <n v="4698.0409090000003"/>
    <n v="11980.040881000001"/>
    <n v="3319.9591190000001"/>
    <n v="36"/>
    <n v="0.21698999999999999"/>
    <x v="0"/>
  </r>
  <r>
    <n v="2018"/>
    <x v="1"/>
    <s v="201804"/>
    <s v="Kelly Group"/>
    <s v="公隆化學股份有限公司:公隆化學股份有限公司"/>
    <x v="11"/>
    <s v="Order53"/>
    <s v="NASL11:製程化學課"/>
    <s v="公隆化學股份有限公司:公隆化學股份有限公司"/>
    <x v="15"/>
    <n v="21000"/>
    <n v="4663.9999200000002"/>
    <n v="16336.00008"/>
    <n v="0"/>
    <n v="0"/>
    <n v="6901.8981080000003"/>
    <n v="11565.898028"/>
    <n v="9434.1019720000004"/>
    <n v="120"/>
    <n v="0.44924199999999997"/>
    <x v="3"/>
  </r>
  <r>
    <n v="2018"/>
    <x v="1"/>
    <s v="201804"/>
    <s v="Kelly Group"/>
    <s v="公隆化學股份有限公司:公隆化學股份有限公司"/>
    <x v="11"/>
    <s v="Order54"/>
    <s v="NASL11:製程化學課"/>
    <s v="公隆化學股份有限公司:公隆化學股份有限公司"/>
    <x v="16"/>
    <n v="29000"/>
    <n v="16587.316999999999"/>
    <n v="12412.683000000001"/>
    <n v="0"/>
    <n v="0"/>
    <n v="9531.1926249999997"/>
    <n v="26118.509624999999"/>
    <n v="2881.4903749999999"/>
    <n v="200"/>
    <n v="9.9361000000000005E-2"/>
    <x v="3"/>
  </r>
  <r>
    <n v="2018"/>
    <x v="1"/>
    <s v="201804"/>
    <s v="Kelly Group"/>
    <s v="公隆化學股份有限公司:公隆化學股份有限公司"/>
    <x v="25"/>
    <s v="Order55"/>
    <s v="NASL11:製程化學課"/>
    <s v="公隆化學股份有限公司:公隆化學股份有限公司"/>
    <x v="2"/>
    <n v="3500"/>
    <n v="2060.25"/>
    <n v="1439.75"/>
    <n v="0"/>
    <n v="0"/>
    <n v="0"/>
    <n v="2060.25"/>
    <n v="1439.75"/>
    <n v="20"/>
    <n v="0.41135699999999997"/>
    <x v="1"/>
  </r>
  <r>
    <n v="2018"/>
    <x v="1"/>
    <s v="201804"/>
    <s v="Kelly Group"/>
    <s v="公隆化學股份有限公司:公隆化學股份有限公司"/>
    <x v="8"/>
    <s v="Order56"/>
    <s v="NASL11:製程化學課"/>
    <s v="公隆化學股份有限公司:公隆化學股份有限公司"/>
    <x v="30"/>
    <n v="6800"/>
    <n v="3850"/>
    <n v="2950"/>
    <n v="0"/>
    <n v="0"/>
    <n v="0"/>
    <n v="3850"/>
    <n v="2950"/>
    <n v="40"/>
    <n v="0.43382300000000001"/>
    <x v="1"/>
  </r>
  <r>
    <n v="2018"/>
    <x v="1"/>
    <s v="201804"/>
    <s v="Kelly Group"/>
    <s v="公隆化學股份有限公司:公隆化學股份有限公司"/>
    <x v="26"/>
    <s v="Order57"/>
    <s v="NASL11:製程化學課"/>
    <s v="公隆化學股份有限公司:公隆化學股份有限公司"/>
    <x v="16"/>
    <n v="66900"/>
    <n v="24880.9755"/>
    <n v="42019.0245"/>
    <n v="0"/>
    <n v="0"/>
    <n v="5384.0751810000002"/>
    <n v="30265.050681000001"/>
    <n v="36634.949318999999"/>
    <n v="300"/>
    <n v="0.54760699999999995"/>
    <x v="3"/>
  </r>
  <r>
    <n v="2018"/>
    <x v="1"/>
    <s v="201804"/>
    <s v="Kelly Group"/>
    <s v="公隆化學股份有限公司:公隆化學股份有限公司"/>
    <x v="9"/>
    <s v="Order58"/>
    <s v="NASL12:電子化學課"/>
    <s v="公隆化學股份有限公司:公隆化學股份有限公司"/>
    <x v="31"/>
    <n v="245650"/>
    <n v="103887.99993999999"/>
    <n v="141762.00005999999"/>
    <n v="0"/>
    <n v="0"/>
    <n v="0"/>
    <n v="103887.99993999999"/>
    <n v="141762.00005999999"/>
    <n v="85"/>
    <n v="0.57708899999999996"/>
    <x v="2"/>
  </r>
  <r>
    <n v="2018"/>
    <x v="1"/>
    <s v="201804"/>
    <s v="Kelly Group"/>
    <s v="公隆化學股份有限公司:公隆化學股份有限公司"/>
    <x v="9"/>
    <s v="Order59"/>
    <s v="NASL12:電子化學課"/>
    <s v="公隆化學股份有限公司:公隆化學股份有限公司"/>
    <x v="27"/>
    <n v="85000"/>
    <n v="44523.333301999999"/>
    <n v="40476.666698000001"/>
    <n v="0"/>
    <n v="0"/>
    <n v="0"/>
    <n v="44523.333301999999"/>
    <n v="40476.666698000001"/>
    <n v="34"/>
    <n v="0.47619600000000001"/>
    <x v="2"/>
  </r>
  <r>
    <n v="2018"/>
    <x v="1"/>
    <s v="201804"/>
    <s v="Kelly Group"/>
    <s v="公隆化學股份有限公司:公隆化學股份有限公司"/>
    <x v="27"/>
    <s v="Order60"/>
    <s v="NASL11:製程化學課"/>
    <s v="公隆化學股份有限公司:公隆化學股份有限公司"/>
    <x v="20"/>
    <n v="5000"/>
    <n v="2383"/>
    <n v="2617"/>
    <n v="0"/>
    <n v="0"/>
    <n v="0"/>
    <n v="2383"/>
    <n v="2617"/>
    <n v="20"/>
    <n v="0.52339999999999998"/>
    <x v="1"/>
  </r>
  <r>
    <n v="2018"/>
    <x v="1"/>
    <s v="201804"/>
    <s v="Kelly Group"/>
    <s v="公隆化學股份有限公司:公隆化學股份有限公司"/>
    <x v="28"/>
    <s v="Order61"/>
    <s v="NASL11:製程化學課"/>
    <s v="公隆化學股份有限公司:公隆化學股份有限公司"/>
    <x v="32"/>
    <n v="21875"/>
    <n v="16492"/>
    <n v="5383"/>
    <n v="0"/>
    <n v="0"/>
    <n v="0"/>
    <n v="16492"/>
    <n v="5383"/>
    <n v="175"/>
    <n v="0.24607999999999999"/>
    <x v="1"/>
  </r>
  <r>
    <n v="2018"/>
    <x v="1"/>
    <s v="201804"/>
    <s v="Kelly Group"/>
    <s v="公隆化學股份有限公司:公隆化學股份有限公司"/>
    <x v="3"/>
    <s v="Order62"/>
    <s v="NASL11:製程化學課"/>
    <s v="公隆化學股份有限公司:公隆化學股份有限公司"/>
    <x v="4"/>
    <n v="6400"/>
    <n v="2597"/>
    <n v="3803"/>
    <n v="0"/>
    <n v="0"/>
    <n v="0"/>
    <n v="2597"/>
    <n v="3803"/>
    <n v="20"/>
    <n v="0.59421800000000002"/>
    <x v="1"/>
  </r>
  <r>
    <n v="2018"/>
    <x v="1"/>
    <s v="201804"/>
    <s v="Kelly Group"/>
    <s v="公隆化學股份有限公司:公隆化學股份有限公司"/>
    <x v="29"/>
    <s v="Order63"/>
    <s v="NASL11:製程化學課"/>
    <s v="公隆化學股份有限公司:公隆化學股份有限公司"/>
    <x v="33"/>
    <n v="46480"/>
    <n v="12549.999959999999"/>
    <n v="33930.000039999999"/>
    <n v="0"/>
    <n v="0"/>
    <n v="2061.006198"/>
    <n v="14611.006158"/>
    <n v="31868.993842"/>
    <n v="232.4"/>
    <n v="0.68564899999999995"/>
    <x v="3"/>
  </r>
  <r>
    <n v="2018"/>
    <x v="1"/>
    <s v="201804"/>
    <s v="Kelly Group"/>
    <s v="公隆化學股份有限公司:公隆化學股份有限公司"/>
    <x v="29"/>
    <s v="Order64"/>
    <s v="NASL11:製程化學課"/>
    <s v="公隆化學股份有限公司:公隆化學股份有限公司"/>
    <x v="34"/>
    <n v="4925"/>
    <n v="1285.999984"/>
    <n v="3639.000016"/>
    <n v="0"/>
    <n v="0"/>
    <n v="218.38329400000001"/>
    <n v="1504.383278"/>
    <n v="3420.6167220000002"/>
    <n v="19.7"/>
    <n v="0.69454099999999996"/>
    <x v="3"/>
  </r>
  <r>
    <n v="2018"/>
    <x v="1"/>
    <s v="201804"/>
    <s v="Kelly Group"/>
    <s v="公隆化學股份有限公司:公隆化學股份有限公司"/>
    <x v="11"/>
    <s v="Order65"/>
    <s v="NASL11:製程化學課"/>
    <s v="公隆化學股份有限公司:公隆化學股份有限公司"/>
    <x v="15"/>
    <n v="21000"/>
    <n v="4663.9999200000002"/>
    <n v="16336.00008"/>
    <n v="0"/>
    <n v="0"/>
    <n v="6901.8981080000003"/>
    <n v="11565.898028"/>
    <n v="9434.1019720000004"/>
    <n v="120"/>
    <n v="0.44924199999999997"/>
    <x v="3"/>
  </r>
  <r>
    <n v="2018"/>
    <x v="1"/>
    <s v="201804"/>
    <s v="Kelly Group"/>
    <s v="公隆化學股份有限公司:公隆化學股份有限公司"/>
    <x v="11"/>
    <s v="Order66"/>
    <s v="NASL11:製程化學課"/>
    <s v="公隆化學股份有限公司:公隆化學股份有限公司"/>
    <x v="16"/>
    <n v="43500"/>
    <n v="24880.9755"/>
    <n v="18619.0245"/>
    <n v="0"/>
    <n v="0"/>
    <n v="14296.788936999999"/>
    <n v="39177.764436999998"/>
    <n v="4322.2355630000002"/>
    <n v="300"/>
    <n v="9.9361000000000005E-2"/>
    <x v="3"/>
  </r>
  <r>
    <n v="2018"/>
    <x v="1"/>
    <s v="201804"/>
    <s v="Kelly Group"/>
    <s v="公隆化學股份有限公司:公隆化學股份有限公司"/>
    <x v="30"/>
    <s v="Order67"/>
    <s v="NASL12:電子化學課"/>
    <s v="公隆化學股份有限公司:公隆化學股份有限公司"/>
    <x v="35"/>
    <n v="247320"/>
    <n v="220944.999996"/>
    <n v="26375.000004000001"/>
    <n v="0"/>
    <n v="0"/>
    <n v="9000.1454549999999"/>
    <n v="229945.14545099999"/>
    <n v="17374.854549"/>
    <n v="108"/>
    <n v="7.0251999999999995E-2"/>
    <x v="2"/>
  </r>
  <r>
    <n v="2018"/>
    <x v="2"/>
    <s v="201805"/>
    <s v="Kelly Group"/>
    <s v="公隆化學股份有限公司:公隆化學股份有限公司"/>
    <x v="2"/>
    <s v="Order100"/>
    <s v="NASL11:製程化學課"/>
    <s v="公隆化學股份有限公司:公隆化學股份有限公司"/>
    <x v="2"/>
    <n v="37450"/>
    <n v="22044.999852000001"/>
    <n v="15405.000147999999"/>
    <n v="0"/>
    <n v="0"/>
    <n v="0"/>
    <n v="22044.999852000001"/>
    <n v="15405.000147999999"/>
    <n v="214"/>
    <n v="0.41134799999999999"/>
    <x v="1"/>
  </r>
  <r>
    <n v="2018"/>
    <x v="2"/>
    <s v="201805"/>
    <s v="Kelly Group"/>
    <s v="公隆化學股份有限公司:公隆化學股份有限公司"/>
    <x v="28"/>
    <s v="Order101"/>
    <s v="NASL11:製程化學課"/>
    <s v="公隆化學股份有限公司:公隆化學股份有限公司"/>
    <x v="32"/>
    <n v="21875"/>
    <n v="17306.99985"/>
    <n v="4568.0001499999998"/>
    <n v="0"/>
    <n v="0"/>
    <n v="0"/>
    <n v="17306.99985"/>
    <n v="4568.0001499999998"/>
    <n v="175"/>
    <n v="0.20882200000000001"/>
    <x v="1"/>
  </r>
  <r>
    <n v="2018"/>
    <x v="2"/>
    <s v="201805"/>
    <s v="Kelly Group"/>
    <s v="公隆化學股份有限公司:公隆化學股份有限公司"/>
    <x v="31"/>
    <s v="Order102"/>
    <s v="NASL11:製程化學課"/>
    <s v="公隆化學股份有限公司:公隆化學股份有限公司"/>
    <x v="36"/>
    <n v="78408"/>
    <n v="62731.999493000003"/>
    <n v="15676.000507000001"/>
    <n v="0"/>
    <n v="0"/>
    <n v="0"/>
    <n v="62731.999493000003"/>
    <n v="15676.000507000001"/>
    <n v="580.79999999999995"/>
    <n v="0.19992799999999999"/>
    <x v="1"/>
  </r>
  <r>
    <n v="2018"/>
    <x v="2"/>
    <s v="201805"/>
    <s v="Kelly Group"/>
    <s v="公隆化學股份有限公司:公隆化學股份有限公司"/>
    <x v="32"/>
    <s v="Order103"/>
    <s v="NASL11:製程化學課"/>
    <s v="公隆化學股份有限公司:公隆化學股份有限公司"/>
    <x v="37"/>
    <n v="22834"/>
    <n v="28007"/>
    <n v="-5173"/>
    <n v="0"/>
    <n v="0"/>
    <n v="0"/>
    <n v="28007"/>
    <n v="-5173"/>
    <n v="140"/>
    <n v="-0.226548"/>
    <x v="4"/>
  </r>
  <r>
    <n v="2018"/>
    <x v="2"/>
    <s v="201805"/>
    <s v="Kelly Group"/>
    <s v="公隆化學股份有限公司:公隆化學股份有限公司"/>
    <x v="32"/>
    <s v="Order104"/>
    <s v="NASL11:製程化學課"/>
    <s v="公隆化學股份有限公司:公隆化學股份有限公司"/>
    <x v="38"/>
    <n v="41280"/>
    <n v="47099.142720000003"/>
    <n v="-5819.1427199999998"/>
    <n v="0"/>
    <n v="0"/>
    <n v="0"/>
    <n v="47099.142720000003"/>
    <n v="-5819.1427199999998"/>
    <n v="240"/>
    <n v="-0.14096700000000001"/>
    <x v="4"/>
  </r>
  <r>
    <n v="2018"/>
    <x v="2"/>
    <s v="201805"/>
    <s v="Kelly Group"/>
    <s v="公隆化學股份有限公司:公隆化學股份有限公司"/>
    <x v="4"/>
    <s v="Order68"/>
    <s v="NASL11:製程化學課"/>
    <s v="公隆化學股份有限公司:公隆化學股份有限公司"/>
    <x v="5"/>
    <n v="375000"/>
    <n v="228151.99799999999"/>
    <n v="146848.00200000001"/>
    <n v="0"/>
    <n v="0"/>
    <n v="0"/>
    <n v="228151.99799999999"/>
    <n v="146848.00200000001"/>
    <n v="3000"/>
    <n v="0.391594"/>
    <x v="1"/>
  </r>
  <r>
    <n v="2018"/>
    <x v="2"/>
    <s v="201805"/>
    <s v="Kelly Group"/>
    <s v="公隆化學股份有限公司:公隆化學股份有限公司"/>
    <x v="8"/>
    <s v="Order69"/>
    <s v="NASL11:製程化學課"/>
    <s v="公隆化學股份有限公司:公隆化學股份有限公司"/>
    <x v="10"/>
    <n v="48000"/>
    <n v="36235.999920000002"/>
    <n v="11764.00008"/>
    <n v="0"/>
    <n v="0"/>
    <n v="0"/>
    <n v="36235.999920000002"/>
    <n v="11764.00008"/>
    <n v="240"/>
    <n v="0.245083"/>
    <x v="1"/>
  </r>
  <r>
    <n v="2018"/>
    <x v="2"/>
    <s v="201805"/>
    <s v="Kelly Group"/>
    <s v="公隆化學股份有限公司:公隆化學股份有限公司"/>
    <x v="33"/>
    <s v="Order70"/>
    <s v="NASL11:製程化學課"/>
    <s v="公隆化學股份有限公司:公隆化學股份有限公司"/>
    <x v="39"/>
    <n v="11400"/>
    <n v="10794.75"/>
    <n v="605.25"/>
    <n v="0"/>
    <n v="0"/>
    <n v="0"/>
    <n v="10794.75"/>
    <n v="605.25"/>
    <n v="60"/>
    <n v="5.3092E-2"/>
    <x v="1"/>
  </r>
  <r>
    <n v="2018"/>
    <x v="2"/>
    <s v="201805"/>
    <s v="Kelly Group"/>
    <s v="公隆化學股份有限公司:公隆化學股份有限公司"/>
    <x v="18"/>
    <s v="Order71"/>
    <s v="NASL11:製程化學課"/>
    <s v="公隆化學股份有限公司:公隆化學股份有限公司"/>
    <x v="25"/>
    <n v="76800"/>
    <n v="14688"/>
    <n v="62112"/>
    <n v="0"/>
    <n v="0"/>
    <n v="0"/>
    <n v="14688"/>
    <n v="62112"/>
    <n v="480"/>
    <n v="0.80874999999999997"/>
    <x v="3"/>
  </r>
  <r>
    <n v="2018"/>
    <x v="2"/>
    <s v="201805"/>
    <s v="Kelly Group"/>
    <s v="公隆化學股份有限公司:公隆化學股份有限公司"/>
    <x v="12"/>
    <s v="Order72"/>
    <s v="NASL12:電子化學課"/>
    <s v="公隆化學股份有限公司:公隆化學股份有限公司"/>
    <x v="40"/>
    <n v="27200"/>
    <n v="16378.999996"/>
    <n v="10821.000004"/>
    <n v="0"/>
    <n v="0"/>
    <n v="0"/>
    <n v="16378.999996"/>
    <n v="10821.000004"/>
    <n v="17"/>
    <n v="0.39783000000000002"/>
    <x v="2"/>
  </r>
  <r>
    <n v="2018"/>
    <x v="2"/>
    <s v="201805"/>
    <s v="Kelly Group"/>
    <s v="公隆化學股份有限公司:公隆化學股份有限公司"/>
    <x v="34"/>
    <s v="Order73"/>
    <s v="NASL11:製程化學課"/>
    <s v="公隆化學股份有限公司:公隆化學股份有限公司"/>
    <x v="39"/>
    <n v="4000"/>
    <n v="3598.25"/>
    <n v="401.75"/>
    <n v="0"/>
    <n v="0"/>
    <n v="1987.0751330000001"/>
    <n v="5585.3251330000003"/>
    <n v="-1585.3251330000001"/>
    <n v="20"/>
    <n v="-0.39633099999999999"/>
    <x v="3"/>
  </r>
  <r>
    <n v="2018"/>
    <x v="2"/>
    <s v="201805"/>
    <s v="Kelly Group"/>
    <s v="公隆化學股份有限公司:公隆化學股份有限公司"/>
    <x v="34"/>
    <s v="Order74"/>
    <s v="NASL11:製程化學課"/>
    <s v="公隆化學股份有限公司:公隆化學股份有限公司"/>
    <x v="38"/>
    <n v="5600"/>
    <n v="3924.9285599999998"/>
    <n v="1675.0714399999999"/>
    <n v="0"/>
    <n v="0"/>
    <n v="2781.905186"/>
    <n v="6706.8337460000002"/>
    <n v="-1106.833746"/>
    <n v="20"/>
    <n v="-0.19764799999999999"/>
    <x v="3"/>
  </r>
  <r>
    <n v="2018"/>
    <x v="2"/>
    <s v="201805"/>
    <s v="Kelly Group"/>
    <s v="公隆化學股份有限公司:公隆化學股份有限公司"/>
    <x v="11"/>
    <s v="Order75"/>
    <s v="NASL11:製程化學課"/>
    <s v="公隆化學股份有限公司:公隆化學股份有限公司"/>
    <x v="15"/>
    <n v="52500"/>
    <n v="12049.4115"/>
    <n v="40450.588499999998"/>
    <n v="0"/>
    <n v="0"/>
    <n v="5378.5561909999997"/>
    <n v="17427.967691000002"/>
    <n v="35072.032309000002"/>
    <n v="300"/>
    <n v="0.66803800000000002"/>
    <x v="3"/>
  </r>
  <r>
    <n v="2018"/>
    <x v="2"/>
    <s v="201805"/>
    <s v="Kelly Group"/>
    <s v="公隆化學股份有限公司:公隆化學股份有限公司"/>
    <x v="35"/>
    <s v="Order76"/>
    <s v="NASL12:電子化學課"/>
    <s v="公隆化學股份有限公司:公隆化學股份有限公司"/>
    <x v="41"/>
    <n v="30240"/>
    <n v="21281.999994000002"/>
    <n v="8958.0000060000002"/>
    <n v="0"/>
    <n v="0"/>
    <n v="5454.9955900000004"/>
    <n v="26736.995584"/>
    <n v="3503.0044160000002"/>
    <n v="18"/>
    <n v="0.11584"/>
    <x v="2"/>
  </r>
  <r>
    <n v="2018"/>
    <x v="2"/>
    <s v="201805"/>
    <s v="Kelly Group"/>
    <s v="公隆化學股份有限公司:公隆化學股份有限公司"/>
    <x v="36"/>
    <s v="Order77"/>
    <s v="NASL12:電子化學課"/>
    <s v="公隆化學股份有限公司:公隆化學股份有限公司"/>
    <x v="42"/>
    <n v="30685"/>
    <n v="20590.999997999999"/>
    <n v="10094.000002000001"/>
    <n v="0"/>
    <n v="0"/>
    <n v="0"/>
    <n v="20590.999997999999"/>
    <n v="10094.000002000001"/>
    <n v="17"/>
    <n v="0.328955"/>
    <x v="2"/>
  </r>
  <r>
    <n v="2018"/>
    <x v="2"/>
    <s v="201805"/>
    <s v="Kelly Group"/>
    <s v="公隆化學股份有限公司:公隆化學股份有限公司"/>
    <x v="15"/>
    <s v="Order78"/>
    <s v="NASL11:製程化學課"/>
    <s v="公隆化學股份有限公司:公隆化學股份有限公司"/>
    <x v="21"/>
    <n v="15300"/>
    <n v="11125.999980000001"/>
    <n v="4174.0000200000004"/>
    <n v="0"/>
    <n v="0"/>
    <n v="0"/>
    <n v="11125.999980000001"/>
    <n v="4174.0000200000004"/>
    <n v="36"/>
    <n v="0.27281"/>
    <x v="1"/>
  </r>
  <r>
    <n v="2018"/>
    <x v="2"/>
    <s v="201805"/>
    <s v="Kelly Group"/>
    <s v="公隆化學股份有限公司:公隆化學股份有限公司"/>
    <x v="9"/>
    <s v="Order79"/>
    <s v="NASL12:電子化學課"/>
    <s v="公隆化學股份有限公司:公隆化學股份有限公司"/>
    <x v="12"/>
    <n v="74800"/>
    <n v="35422.999993999998"/>
    <n v="39377.000006000002"/>
    <n v="0"/>
    <n v="0"/>
    <n v="0"/>
    <n v="35422.999993999998"/>
    <n v="39377.000006000002"/>
    <n v="34"/>
    <n v="0.52642999999999995"/>
    <x v="2"/>
  </r>
  <r>
    <n v="2018"/>
    <x v="2"/>
    <s v="201805"/>
    <s v="Kelly Group"/>
    <s v="公隆化學股份有限公司:公隆化學股份有限公司"/>
    <x v="6"/>
    <s v="Order80"/>
    <s v="NASL11:製程化學課"/>
    <s v="公隆化學股份有限公司:公隆化學股份有限公司"/>
    <x v="7"/>
    <n v="30000"/>
    <n v="21359.999930999998"/>
    <n v="8640.0000689999997"/>
    <n v="0"/>
    <n v="0"/>
    <n v="0"/>
    <n v="21359.999930999998"/>
    <n v="8640.0000689999997"/>
    <n v="207.8"/>
    <n v="0.28799999999999998"/>
    <x v="1"/>
  </r>
  <r>
    <n v="2018"/>
    <x v="2"/>
    <s v="201805"/>
    <s v="Kelly Group"/>
    <s v="公隆化學股份有限公司:公隆化學股份有限公司"/>
    <x v="9"/>
    <s v="Order81"/>
    <s v="NASL12:電子化學課"/>
    <s v="公隆化學股份有限公司:公隆化學股份有限公司"/>
    <x v="11"/>
    <n v="68400"/>
    <n v="27556.333326"/>
    <n v="40843.666674"/>
    <n v="0"/>
    <n v="0"/>
    <n v="0"/>
    <n v="27556.333326"/>
    <n v="40843.666674"/>
    <n v="18"/>
    <n v="0.59712900000000002"/>
    <x v="2"/>
  </r>
  <r>
    <n v="2018"/>
    <x v="2"/>
    <s v="201805"/>
    <s v="Kelly Group"/>
    <s v="公隆化學股份有限公司:公隆化學股份有限公司"/>
    <x v="26"/>
    <s v="Order82"/>
    <s v="NASL11:製程化學課"/>
    <s v="公隆化學股份有限公司:公隆化學股份有限公司"/>
    <x v="16"/>
    <n v="66900"/>
    <n v="26415.499800000001"/>
    <n v="40484.500200000002"/>
    <n v="0"/>
    <n v="0"/>
    <n v="0"/>
    <n v="26415.499800000001"/>
    <n v="40484.500200000002"/>
    <n v="300"/>
    <n v="0.60514900000000005"/>
    <x v="3"/>
  </r>
  <r>
    <n v="2018"/>
    <x v="2"/>
    <s v="201805"/>
    <s v="Kelly Group"/>
    <s v="公隆化學股份有限公司:公隆化學股份有限公司"/>
    <x v="22"/>
    <s v="Order83"/>
    <s v="NASL11:製程化學課"/>
    <s v="公隆化學股份有限公司:公隆化學股份有限公司"/>
    <x v="15"/>
    <n v="9600"/>
    <n v="2409.8823000000002"/>
    <n v="7190.1176999999998"/>
    <n v="0"/>
    <n v="0"/>
    <n v="0"/>
    <n v="2409.8823000000002"/>
    <n v="7190.1176999999998"/>
    <n v="60"/>
    <n v="0.74897000000000002"/>
    <x v="3"/>
  </r>
  <r>
    <n v="2018"/>
    <x v="2"/>
    <s v="201805"/>
    <s v="Kelly Group"/>
    <s v="公隆化學股份有限公司:公隆化學股份有限公司"/>
    <x v="24"/>
    <s v="Order84"/>
    <s v="NASL12:電子化學課"/>
    <s v="公隆化學股份有限公司:公隆化學股份有限公司"/>
    <x v="14"/>
    <n v="34884"/>
    <n v="21173.999970000001"/>
    <n v="13710.000029999999"/>
    <n v="0"/>
    <n v="0"/>
    <n v="0"/>
    <n v="21173.999970000001"/>
    <n v="13710.000029999999"/>
    <n v="34"/>
    <n v="0.39301599999999998"/>
    <x v="2"/>
  </r>
  <r>
    <n v="2018"/>
    <x v="2"/>
    <s v="201805"/>
    <s v="Kelly Group"/>
    <s v="公隆化學股份有限公司:公隆化學股份有限公司"/>
    <x v="7"/>
    <s v="Order85"/>
    <s v="NASL12:電子化學課"/>
    <s v="公隆化學股份有限公司:公隆化學股份有限公司"/>
    <x v="9"/>
    <n v="54132"/>
    <n v="38259"/>
    <n v="15873"/>
    <n v="0"/>
    <n v="0"/>
    <n v="0"/>
    <n v="38259"/>
    <n v="15873"/>
    <n v="52"/>
    <n v="0.29322700000000002"/>
    <x v="2"/>
  </r>
  <r>
    <n v="2018"/>
    <x v="2"/>
    <s v="201805"/>
    <s v="Kelly Group"/>
    <s v="公隆化學股份有限公司:公隆化學股份有限公司"/>
    <x v="7"/>
    <s v="Order86"/>
    <s v="NASL12:電子化學課"/>
    <s v="公隆化學股份有限公司:公隆化學股份有限公司"/>
    <x v="8"/>
    <n v="20070"/>
    <n v="14164.999995"/>
    <n v="5905.0000049999999"/>
    <n v="0"/>
    <n v="0"/>
    <n v="0"/>
    <n v="14164.999995"/>
    <n v="5905.0000049999999"/>
    <n v="15"/>
    <n v="0.29421999999999998"/>
    <x v="2"/>
  </r>
  <r>
    <n v="2018"/>
    <x v="2"/>
    <s v="201805"/>
    <s v="Kelly Group"/>
    <s v="公隆化學股份有限公司:公隆化學股份有限公司"/>
    <x v="7"/>
    <s v="Order87"/>
    <s v="NASL12:電子化學課"/>
    <s v="公隆化學股份有限公司:公隆化學股份有限公司"/>
    <x v="43"/>
    <n v="16956"/>
    <n v="12634.799994000001"/>
    <n v="4321.200006"/>
    <n v="0"/>
    <n v="0"/>
    <n v="0"/>
    <n v="12634.799994000001"/>
    <n v="4321.200006"/>
    <n v="18"/>
    <n v="0.25484699999999999"/>
    <x v="2"/>
  </r>
  <r>
    <n v="2018"/>
    <x v="2"/>
    <s v="201805"/>
    <s v="Kelly Group"/>
    <s v="公隆化學股份有限公司:公隆化學股份有限公司"/>
    <x v="37"/>
    <s v="Order88"/>
    <s v="NASL12:電子化學課"/>
    <s v="公隆化學股份有限公司:公隆化學股份有限公司"/>
    <x v="44"/>
    <n v="104330"/>
    <n v="60449"/>
    <n v="43881"/>
    <n v="0"/>
    <n v="0"/>
    <n v="4568.7366419999998"/>
    <n v="65017.736642000003"/>
    <n v="39312.263357999997"/>
    <n v="5"/>
    <n v="0.37680599999999997"/>
    <x v="2"/>
  </r>
  <r>
    <n v="2018"/>
    <x v="2"/>
    <s v="201805"/>
    <s v="Kelly Group"/>
    <s v="公隆化學股份有限公司:公隆化學股份有限公司"/>
    <x v="7"/>
    <s v="Order89"/>
    <s v="NASL12:電子化學課"/>
    <s v="公隆化學股份有限公司:公隆化學股份有限公司"/>
    <x v="43"/>
    <n v="67824"/>
    <n v="50539.199976000004"/>
    <n v="17284.800024"/>
    <n v="0"/>
    <n v="0"/>
    <n v="0"/>
    <n v="50539.199976000004"/>
    <n v="17284.800024"/>
    <n v="72"/>
    <n v="0.25484699999999999"/>
    <x v="2"/>
  </r>
  <r>
    <n v="2018"/>
    <x v="2"/>
    <s v="201805"/>
    <s v="Kelly Group"/>
    <s v="公隆化學股份有限公司:公隆化學股份有限公司"/>
    <x v="3"/>
    <s v="Order90"/>
    <s v="NASL11:製程化學課"/>
    <s v="公隆化學股份有限公司:公隆化學股份有限公司"/>
    <x v="4"/>
    <n v="6400"/>
    <n v="3997"/>
    <n v="2403"/>
    <n v="0"/>
    <n v="0"/>
    <n v="0"/>
    <n v="3997"/>
    <n v="2403"/>
    <n v="20"/>
    <n v="0.37546800000000002"/>
    <x v="1"/>
  </r>
  <r>
    <n v="2018"/>
    <x v="2"/>
    <s v="201805"/>
    <s v="Kelly Group"/>
    <s v="公隆化學股份有限公司:公隆化學股份有限公司"/>
    <x v="8"/>
    <s v="Order91"/>
    <s v="NASL11:製程化學課"/>
    <s v="公隆化學股份有限公司:公隆化學股份有限公司"/>
    <x v="38"/>
    <n v="4000"/>
    <n v="3924.9285599999998"/>
    <n v="75.071439999999996"/>
    <n v="0"/>
    <n v="0"/>
    <n v="0"/>
    <n v="3924.9285599999998"/>
    <n v="75.071439999999996"/>
    <n v="20"/>
    <n v="1.8766999999999999E-2"/>
    <x v="1"/>
  </r>
  <r>
    <n v="2018"/>
    <x v="2"/>
    <s v="201805"/>
    <s v="Kelly Group"/>
    <s v="公隆化學股份有限公司:公隆化學股份有限公司"/>
    <x v="8"/>
    <s v="Order92"/>
    <s v="NASL11:製程化學課"/>
    <s v="公隆化學股份有限公司:公隆化學股份有限公司"/>
    <x v="37"/>
    <n v="3600"/>
    <n v="4001"/>
    <n v="-401"/>
    <n v="0"/>
    <n v="0"/>
    <n v="0"/>
    <n v="4001"/>
    <n v="-401"/>
    <n v="20"/>
    <n v="-0.111388"/>
    <x v="1"/>
  </r>
  <r>
    <n v="2018"/>
    <x v="2"/>
    <s v="201805"/>
    <s v="Kelly Group"/>
    <s v="公隆化學股份有限公司:公隆化學股份有限公司"/>
    <x v="11"/>
    <s v="Order93"/>
    <s v="NASL11:製程化學課"/>
    <s v="公隆化學股份有限公司:公隆化學股份有限公司"/>
    <x v="15"/>
    <n v="26250"/>
    <n v="6024.7057500000001"/>
    <n v="20225.294249999999"/>
    <n v="0"/>
    <n v="0"/>
    <n v="2689.2780950000001"/>
    <n v="8713.9838450000007"/>
    <n v="17536.016155000001"/>
    <n v="150"/>
    <n v="0.66803800000000002"/>
    <x v="3"/>
  </r>
  <r>
    <n v="2018"/>
    <x v="2"/>
    <s v="201805"/>
    <s v="Kelly Group"/>
    <s v="公隆化學股份有限公司:公隆化學股份有限公司"/>
    <x v="11"/>
    <s v="Order94"/>
    <s v="NASL11:製程化學課"/>
    <s v="公隆化學股份有限公司:公隆化學股份有限公司"/>
    <x v="16"/>
    <n v="43500"/>
    <n v="26415.499800000001"/>
    <n v="17084.500199999999"/>
    <n v="0"/>
    <n v="0"/>
    <n v="4456.5179870000002"/>
    <n v="30872.017787000001"/>
    <n v="12627.982212999999"/>
    <n v="300"/>
    <n v="0.290298"/>
    <x v="3"/>
  </r>
  <r>
    <n v="2018"/>
    <x v="2"/>
    <s v="201805"/>
    <s v="Kelly Group"/>
    <s v="公隆化學股份有限公司:公隆化學股份有限公司"/>
    <x v="37"/>
    <s v="Order95"/>
    <s v="NASL12:電子化學課"/>
    <s v="公隆化學股份有限公司:公隆化學股份有限公司"/>
    <x v="45"/>
    <n v="27000"/>
    <n v="17768.999988"/>
    <n v="9231.0000120000004"/>
    <n v="0"/>
    <n v="0"/>
    <n v="1182.3625930000001"/>
    <n v="18951.362581000001"/>
    <n v="8048.6374189999997"/>
    <n v="18"/>
    <n v="0.298097"/>
    <x v="2"/>
  </r>
  <r>
    <n v="2018"/>
    <x v="2"/>
    <s v="201805"/>
    <s v="Kelly Group"/>
    <s v="公隆化學股份有限公司:公隆化學股份有限公司"/>
    <x v="17"/>
    <s v="Order96"/>
    <s v="NASL12:電子化學課"/>
    <s v="公隆化學股份有限公司:公隆化學股份有限公司"/>
    <x v="23"/>
    <n v="14400"/>
    <n v="7263"/>
    <n v="7137"/>
    <n v="0"/>
    <n v="0"/>
    <n v="0"/>
    <n v="7263"/>
    <n v="7137"/>
    <n v="16"/>
    <n v="0.49562499999999998"/>
    <x v="2"/>
  </r>
  <r>
    <n v="2018"/>
    <x v="2"/>
    <s v="201805"/>
    <s v="Kelly Group"/>
    <s v="公隆化學股份有限公司:公隆化學股份有限公司"/>
    <x v="10"/>
    <s v="Order97"/>
    <s v="NASL12:電子化學課"/>
    <s v="公隆化學股份有限公司:公隆化學股份有限公司"/>
    <x v="11"/>
    <n v="118800"/>
    <n v="55112.666652"/>
    <n v="63687.333348"/>
    <n v="0"/>
    <n v="0"/>
    <n v="0"/>
    <n v="55112.666652"/>
    <n v="63687.333348"/>
    <n v="36"/>
    <n v="0.53608800000000001"/>
    <x v="2"/>
  </r>
  <r>
    <n v="2018"/>
    <x v="2"/>
    <s v="201805"/>
    <s v="Kelly Group"/>
    <s v="公隆化學股份有限公司:公隆化學股份有限公司"/>
    <x v="9"/>
    <s v="Order98"/>
    <s v="NASL12:電子化學課"/>
    <s v="公隆化學股份有限公司:公隆化學股份有限公司"/>
    <x v="27"/>
    <n v="127500"/>
    <n v="70607.999987999996"/>
    <n v="56892.000011999997"/>
    <n v="0"/>
    <n v="0"/>
    <n v="0"/>
    <n v="70607.999987999996"/>
    <n v="56892.000011999997"/>
    <n v="51"/>
    <n v="0.44621100000000002"/>
    <x v="2"/>
  </r>
  <r>
    <n v="2018"/>
    <x v="2"/>
    <s v="201805"/>
    <s v="Kelly Group"/>
    <s v="公隆化學股份有限公司:公隆化學股份有限公司"/>
    <x v="9"/>
    <s v="Order99"/>
    <s v="NASL12:電子化學課"/>
    <s v="公隆化學股份有限公司:公隆化學股份有限公司"/>
    <x v="31"/>
    <n v="245650"/>
    <n v="110996.99993000001"/>
    <n v="134653.00007000001"/>
    <n v="0"/>
    <n v="0"/>
    <n v="0"/>
    <n v="110996.99993000001"/>
    <n v="134653.00007000001"/>
    <n v="85"/>
    <n v="0.54814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樞紐分析表1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4" indent="0" compact="0" compactData="0" multipleFieldFilters="0">
  <location ref="A3:F10" firstHeaderRow="1" firstDataRow="2" firstDataCol="2" rowPageCount="1" colPageCount="1"/>
  <pivotFields count="21">
    <pivotField compact="0" outline="0" showAll="0" defaultSubtotal="0"/>
    <pivotField axis="axisCol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>
      <items count="4">
        <item x="0"/>
        <item x="3"/>
        <item x="2"/>
        <item x="1"/>
      </items>
    </pivotField>
    <pivotField axis="axisPage" compact="0" outline="0" multipleItemSelectionAllowed="1" showAll="0" defaultSubtotal="0">
      <items count="2">
        <item h="1" x="0"/>
        <item x="1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5"/>
    <field x="8"/>
  </rowFields>
  <rowItems count="6">
    <i>
      <x/>
      <x v="1"/>
    </i>
    <i>
      <x v="1"/>
      <x/>
    </i>
    <i r="1">
      <x v="1"/>
    </i>
    <i>
      <x v="2"/>
      <x/>
    </i>
    <i r="1"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0" hier="-1"/>
  </pageFields>
  <dataFields count="1">
    <dataField name="加總 - 金額" fld="13" baseField="0" baseItem="0" numFmtId="177"/>
  </dataFields>
  <formats count="1">
    <format dxfId="29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8E043-CB54-499A-991E-455ECB7AF2A7}" name="樞紐分析表1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4" indent="0" compact="0" compactData="0" multipleFieldFilters="0">
  <location ref="A3:G17" firstHeaderRow="1" firstDataRow="2" firstDataCol="3" rowPageCount="1" colPageCount="1"/>
  <pivotFields count="21">
    <pivotField compact="0" outline="0" showAll="0" defaultSubtotal="0"/>
    <pivotField axis="axisCol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">
        <item sd="0" x="1"/>
        <item x="0"/>
      </items>
    </pivotField>
    <pivotField compact="0" outline="0" showAll="0" defaultSubtotal="0">
      <items count="4">
        <item x="0"/>
        <item x="3"/>
        <item x="2"/>
        <item x="1"/>
      </items>
    </pivotField>
    <pivotField axis="axisPage" compact="0" outline="0" multipleItemSelectionAllowed="1" showAll="0" defaultSubtotal="0">
      <items count="2">
        <item h="1" x="0"/>
        <item x="1"/>
      </items>
    </pivotField>
    <pivotField compact="0" outline="0" showAll="0" defaultSubtotal="0"/>
    <pivotField axis="axisRow" compact="0" outline="0" showAll="0" defaultSubtotal="0">
      <items count="5">
        <item sd="0" x="2"/>
        <item sd="0" x="4"/>
        <item sd="0" x="0"/>
        <item sd="0" x="3"/>
        <item sd="0"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5"/>
    <field x="8"/>
    <field x="12"/>
  </rowFields>
  <rowItems count="13">
    <i>
      <x/>
      <x v="1"/>
      <x v="1"/>
    </i>
    <i>
      <x v="1"/>
      <x/>
    </i>
    <i r="1">
      <x v="1"/>
      <x/>
    </i>
    <i r="2">
      <x v="1"/>
    </i>
    <i r="2">
      <x v="2"/>
    </i>
    <i r="2">
      <x v="3"/>
    </i>
    <i r="2">
      <x v="4"/>
    </i>
    <i>
      <x v="2"/>
      <x/>
    </i>
    <i r="1">
      <x v="1"/>
      <x/>
    </i>
    <i r="2">
      <x v="1"/>
    </i>
    <i r="2">
      <x v="2"/>
    </i>
    <i r="2"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0" hier="-1"/>
  </pageFields>
  <dataFields count="1">
    <dataField name="加總 - 金額" fld="13" baseField="0" baseItem="0" numFmtId="177"/>
  </dataFields>
  <formats count="10">
    <format dxfId="28">
      <pivotArea outline="0" collapsedLevelsAreSubtotals="1" fieldPosition="0"/>
    </format>
    <format dxfId="27">
      <pivotArea outline="0" fieldPosition="0">
        <references count="4">
          <reference field="1" count="0" selected="0"/>
          <reference field="5" count="1" selected="0">
            <x v="1"/>
          </reference>
          <reference field="8" count="1" selected="0">
            <x v="1"/>
          </reference>
          <reference field="12" count="1" selected="0">
            <x v="3"/>
          </reference>
        </references>
      </pivotArea>
    </format>
    <format dxfId="26">
      <pivotArea dataOnly="0" labelOnly="1" outline="0" fieldPosition="0">
        <references count="3">
          <reference field="5" count="1" selected="0">
            <x v="1"/>
          </reference>
          <reference field="8" count="1" selected="0">
            <x v="1"/>
          </reference>
          <reference field="12" count="1">
            <x v="3"/>
          </reference>
        </references>
      </pivotArea>
    </format>
    <format dxfId="25">
      <pivotArea outline="0" fieldPosition="0">
        <references count="4">
          <reference field="1" count="0" selected="0"/>
          <reference field="5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24">
      <pivotArea dataOnly="0" labelOnly="1" outline="0" fieldPosition="0">
        <references count="3">
          <reference field="5" count="1" selected="0">
            <x v="1"/>
          </reference>
          <reference field="8" count="1" selected="0">
            <x v="1"/>
          </reference>
          <reference field="12" count="1">
            <x v="2"/>
          </reference>
        </references>
      </pivotArea>
    </format>
    <format dxfId="23">
      <pivotArea outline="0" fieldPosition="0">
        <references count="4">
          <reference field="1" count="2" selected="0">
            <x v="0"/>
            <x v="1"/>
          </reference>
          <reference field="5" count="1" selected="0">
            <x v="2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22">
      <pivotArea outline="0" fieldPosition="0">
        <references count="2">
          <reference field="5" count="1" selected="0">
            <x v="2"/>
          </reference>
          <reference field="8" count="1" selected="0">
            <x v="0"/>
          </reference>
        </references>
      </pivotArea>
    </format>
    <format dxfId="21">
      <pivotArea dataOnly="0" labelOnly="1" outline="0" fieldPosition="0">
        <references count="2">
          <reference field="5" count="1" selected="0">
            <x v="2"/>
          </reference>
          <reference field="8" count="1">
            <x v="0"/>
          </reference>
        </references>
      </pivotArea>
    </format>
    <format dxfId="20">
      <pivotArea outline="0" fieldPosition="0">
        <references count="2">
          <reference field="5" count="1" selected="0">
            <x v="1"/>
          </reference>
          <reference field="8" count="1" selected="0">
            <x v="0"/>
          </reference>
        </references>
      </pivotArea>
    </format>
    <format dxfId="19">
      <pivotArea dataOnly="0" labelOnly="1" outline="0" fieldPosition="0">
        <references count="2">
          <reference field="5" count="1" selected="0">
            <x v="1"/>
          </reference>
          <reference field="8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2" cacheId="2" applyNumberFormats="0" applyBorderFormats="0" applyFontFormats="0" applyPatternFormats="0" applyAlignmentFormats="0" applyWidthHeightFormats="1" dataCaption="數值" updatedVersion="4" minRefreshableVersion="3" useAutoFormatting="1" itemPrintTitles="1" createdVersion="4" indent="0" outline="1" outlineData="1" multipleFieldFilters="0">
  <location ref="A4:E38" firstHeaderRow="1" firstDataRow="2" firstDataCol="1" rowPageCount="1" colPageCount="1"/>
  <pivotFields count="15">
    <pivotField showAll="0"/>
    <pivotField axis="axisCol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multipleItemSelectionAllowed="1" showAll="0">
      <items count="4">
        <item x="1"/>
        <item h="1" x="2"/>
        <item h="1" x="0"/>
        <item t="default"/>
      </items>
    </pivotField>
    <pivotField showAll="0"/>
    <pivotField dataField="1" showAll="0"/>
    <pivotField showAll="0"/>
    <pivotField showAll="0"/>
    <pivotField axis="axisRow" showAll="0">
      <items count="24">
        <item x="1"/>
        <item x="2"/>
        <item x="3"/>
        <item x="4"/>
        <item x="5"/>
        <item x="9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0"/>
        <item t="default"/>
      </items>
    </pivotField>
    <pivotField showAll="0"/>
    <pivotField showAll="0"/>
  </pivotFields>
  <rowFields count="2">
    <field x="6"/>
    <field x="12"/>
  </rowFields>
  <rowItems count="33">
    <i>
      <x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5"/>
    </i>
    <i r="1">
      <x v="16"/>
    </i>
    <i r="1">
      <x v="17"/>
    </i>
    <i r="1">
      <x v="18"/>
    </i>
    <i r="1">
      <x v="19"/>
    </i>
    <i r="1">
      <x v="21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7"/>
    </i>
    <i r="1">
      <x v="18"/>
    </i>
    <i r="1">
      <x v="2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加總 - 作業中心動因費率" fld="9" baseField="0" baseItem="0" numFmtId="178"/>
  </dataFields>
  <formats count="2">
    <format dxfId="18">
      <pivotArea dataOnly="0" labelOnly="1" outline="0" fieldPosition="0">
        <references count="1">
          <reference field="7" count="0"/>
        </references>
      </pivotArea>
    </format>
    <format dxfId="17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樞紐分析表3" cacheId="2" applyNumberFormats="0" applyBorderFormats="0" applyFontFormats="0" applyPatternFormats="0" applyAlignmentFormats="0" applyWidthHeightFormats="1" dataCaption="數值" updatedVersion="6" minRefreshableVersion="3" useAutoFormatting="1" itemPrintTitles="1" createdVersion="4" indent="0" outline="1" outlineData="1" multipleFieldFilters="0">
  <location ref="A4:E9" firstHeaderRow="1" firstDataRow="2" firstDataCol="1" rowPageCount="1" colPageCount="1"/>
  <pivotFields count="15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2"/>
        <item h="1" x="0"/>
        <item t="default"/>
      </items>
    </pivotField>
    <pivotField dataField="1" showAll="0"/>
    <pivotField showAll="0"/>
    <pivotField showAll="0"/>
    <pivotField showAll="0"/>
    <pivotField axis="axisRow" showAll="0">
      <items count="24">
        <item x="1"/>
        <item x="2"/>
        <item x="3"/>
        <item x="4"/>
        <item x="5"/>
        <item x="9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0"/>
        <item t="default"/>
      </items>
    </pivotField>
    <pivotField axis="axisRow" showAll="0">
      <items count="4">
        <item sd="0" x="1"/>
        <item x="2"/>
        <item x="0"/>
        <item t="default"/>
      </items>
    </pivotField>
    <pivotField showAll="0"/>
  </pivotFields>
  <rowFields count="2">
    <field x="13"/>
    <field x="12"/>
  </rowFields>
  <rowItems count="4">
    <i>
      <x/>
    </i>
    <i>
      <x v="1"/>
    </i>
    <i r="1"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加總 - 金額" fld="8" baseField="0" baseItem="0" numFmtId="177"/>
  </dataFields>
  <formats count="1">
    <format dxfId="16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樞紐分析表4" cacheId="2" applyNumberFormats="0" applyBorderFormats="0" applyFontFormats="0" applyPatternFormats="0" applyAlignmentFormats="0" applyWidthHeightFormats="1" dataCaption="數值" updatedVersion="6" minRefreshableVersion="3" useAutoFormatting="1" itemPrintTitles="1" createdVersion="4" indent="0" outline="1" outlineData="1" multipleFieldFilters="0">
  <location ref="A3:E14" firstHeaderRow="1" firstDataRow="2" firstDataCol="1" rowPageCount="1" colPageCount="1"/>
  <pivotFields count="15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2"/>
        <item h="1" x="0"/>
        <item t="default"/>
      </items>
    </pivotField>
    <pivotField dataField="1" showAll="0"/>
    <pivotField showAll="0"/>
    <pivotField showAll="0"/>
    <pivotField showAll="0"/>
    <pivotField axis="axisRow" showAll="0">
      <items count="24">
        <item x="1"/>
        <item x="2"/>
        <item x="3"/>
        <item x="4"/>
        <item x="5"/>
        <item x="9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0"/>
        <item t="default"/>
      </items>
    </pivotField>
    <pivotField showAll="0"/>
    <pivotField axis="axisRow" showAll="0">
      <items count="6">
        <item sd="0" x="4"/>
        <item sd="0" x="2"/>
        <item x="3"/>
        <item sd="0" x="1"/>
        <item sd="0" x="0"/>
        <item t="default" sd="0"/>
      </items>
    </pivotField>
  </pivotFields>
  <rowFields count="2">
    <field x="14"/>
    <field x="12"/>
  </rowFields>
  <rowItems count="10">
    <i>
      <x/>
    </i>
    <i>
      <x v="1"/>
    </i>
    <i>
      <x v="2"/>
    </i>
    <i r="1">
      <x v="7"/>
    </i>
    <i r="1">
      <x v="11"/>
    </i>
    <i r="1">
      <x v="12"/>
    </i>
    <i r="1">
      <x v="16"/>
    </i>
    <i r="1">
      <x v="21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加總 - 金額" fld="8" baseField="0" baseItem="0" numFmtId="177"/>
  </dataFields>
  <formats count="1">
    <format dxfId="15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樞紐分析表5" cacheId="3" applyNumberFormats="0" applyBorderFormats="0" applyFontFormats="0" applyPatternFormats="0" applyAlignmentFormats="0" applyWidthHeightFormats="1" dataCaption="數值" updatedVersion="4" minRefreshableVersion="3" useAutoFormatting="1" itemPrintTitles="1" createdVersion="4" indent="0" outline="1" outlineData="1" multipleFieldFilters="0">
  <location ref="A3:M8" firstHeaderRow="1" firstDataRow="3" firstDataCol="1"/>
  <pivotFields count="17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/>
    <pivotField axis="axisRow" showAll="0">
      <items count="5">
        <item sd="0" x="2"/>
        <item sd="0" x="3"/>
        <item sd="0" x="1"/>
        <item sd="0"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dataField="1" showAll="0"/>
  </pivotFields>
  <rowFields count="2">
    <field x="7"/>
    <field x="9"/>
  </rowFields>
  <rowItems count="3">
    <i>
      <x/>
    </i>
    <i>
      <x v="1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加總 - 正常產能(時間)" fld="12" baseField="0" baseItem="0"/>
    <dataField name="加總 - 實際產能(時間)" fld="13" baseField="0" baseItem="0"/>
    <dataField name="加總 - 剩餘(超用)產能時間" fld="16" baseField="0" baseItem="0"/>
  </dataFields>
  <formats count="1">
    <format dxfId="14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樞紐分析表6" cacheId="4" applyNumberFormats="0" applyBorderFormats="0" applyFontFormats="0" applyPatternFormats="0" applyAlignmentFormats="0" applyWidthHeightFormats="1" dataCaption="數值" updatedVersion="4" minRefreshableVersion="3" useAutoFormatting="1" itemPrintTitles="1" createdVersion="4" indent="0" outline="1" outlineData="1" multipleFieldFilters="0">
  <location ref="A3:E56" firstHeaderRow="1" firstDataRow="2" firstDataCol="1"/>
  <pivotFields count="14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3">
        <item x="1"/>
        <item sd="0" x="0"/>
        <item t="default" sd="0"/>
      </items>
    </pivotField>
    <pivotField showAll="0"/>
    <pivotField showAll="0"/>
    <pivotField showAll="0"/>
    <pivotField axis="axisRow" showAll="0">
      <items count="20">
        <item x="8"/>
        <item x="7"/>
        <item x="0"/>
        <item x="9"/>
        <item x="4"/>
        <item x="17"/>
        <item x="10"/>
        <item x="5"/>
        <item x="1"/>
        <item x="11"/>
        <item x="6"/>
        <item x="2"/>
        <item x="15"/>
        <item x="18"/>
        <item x="16"/>
        <item x="3"/>
        <item x="13"/>
        <item x="12"/>
        <item x="14"/>
        <item t="default"/>
      </items>
    </pivotField>
    <pivotField showAll="0"/>
    <pivotField dataField="1" showAll="0"/>
    <pivotField showAll="0"/>
    <pivotField axis="axisRow" showAll="0">
      <items count="133">
        <item sd="0" x="24"/>
        <item sd="0" x="44"/>
        <item sd="0" x="27"/>
        <item sd="0" x="66"/>
        <item sd="0" x="18"/>
        <item sd="0" x="19"/>
        <item sd="0" x="106"/>
        <item sd="0" x="16"/>
        <item sd="0" x="17"/>
        <item sd="0" x="86"/>
        <item sd="0" x="124"/>
        <item sd="0" x="20"/>
        <item sd="0" x="21"/>
        <item sd="0" x="22"/>
        <item sd="0" x="23"/>
        <item sd="0" x="13"/>
        <item sd="0" x="28"/>
        <item sd="0" x="29"/>
        <item sd="0" x="30"/>
        <item sd="0" x="31"/>
        <item sd="0" x="32"/>
        <item sd="0" x="49"/>
        <item sd="0" x="128"/>
        <item sd="0" x="37"/>
        <item sd="0" x="33"/>
        <item sd="0" x="34"/>
        <item sd="0" x="42"/>
        <item sd="0" x="91"/>
        <item sd="0" x="92"/>
        <item sd="0" x="93"/>
        <item sd="0" x="94"/>
        <item sd="0" x="95"/>
        <item sd="0" x="96"/>
        <item sd="0" x="97"/>
        <item sd="0" x="98"/>
        <item sd="0" x="88"/>
        <item sd="0" x="73"/>
        <item sd="0" x="99"/>
        <item sd="0" x="100"/>
        <item sd="0" x="101"/>
        <item sd="0" x="122"/>
        <item sd="0" x="123"/>
        <item sd="0" x="41"/>
        <item sd="0" x="8"/>
        <item sd="0" x="109"/>
        <item sd="0" x="72"/>
        <item sd="0" x="4"/>
        <item sd="0" x="77"/>
        <item sd="0" x="40"/>
        <item sd="0" x="61"/>
        <item sd="0" x="9"/>
        <item sd="0" x="121"/>
        <item sd="0" x="64"/>
        <item sd="0" x="78"/>
        <item sd="0" x="69"/>
        <item sd="0" x="105"/>
        <item sd="0" x="110"/>
        <item sd="0" x="10"/>
        <item sd="0" x="80"/>
        <item sd="0" x="55"/>
        <item sd="0" x="58"/>
        <item sd="0" x="70"/>
        <item sd="0" x="11"/>
        <item sd="0" x="71"/>
        <item sd="0" x="14"/>
        <item sd="0" x="113"/>
        <item sd="0" x="56"/>
        <item sd="0" x="12"/>
        <item sd="0" x="43"/>
        <item sd="0" x="25"/>
        <item sd="0" x="5"/>
        <item sd="0" x="15"/>
        <item sd="0" x="79"/>
        <item sd="0" x="0"/>
        <item sd="0" x="108"/>
        <item sd="0" x="68"/>
        <item sd="0" x="57"/>
        <item sd="0" x="65"/>
        <item sd="0" x="115"/>
        <item sd="0" x="63"/>
        <item sd="0" x="83"/>
        <item sd="0" x="46"/>
        <item sd="0" x="131"/>
        <item sd="0" x="84"/>
        <item sd="0" x="114"/>
        <item sd="0" x="38"/>
        <item sd="0" x="125"/>
        <item sd="0" x="52"/>
        <item sd="0" x="53"/>
        <item sd="0" x="81"/>
        <item sd="0" x="50"/>
        <item sd="0" x="85"/>
        <item sd="0" x="48"/>
        <item sd="0" x="6"/>
        <item sd="0" x="54"/>
        <item sd="0" x="59"/>
        <item sd="0" x="102"/>
        <item sd="0" x="82"/>
        <item sd="0" x="39"/>
        <item sd="0" x="107"/>
        <item sd="0" x="51"/>
        <item sd="0" x="127"/>
        <item sd="0" x="60"/>
        <item sd="0" x="112"/>
        <item sd="0" x="74"/>
        <item sd="0" x="62"/>
        <item sd="0" x="1"/>
        <item sd="0" x="111"/>
        <item sd="0" x="129"/>
        <item sd="0" x="75"/>
        <item sd="0" x="76"/>
        <item sd="0" x="67"/>
        <item sd="0" x="45"/>
        <item sd="0" x="2"/>
        <item sd="0" x="130"/>
        <item sd="0" x="35"/>
        <item sd="0" x="47"/>
        <item sd="0" x="36"/>
        <item sd="0" x="3"/>
        <item sd="0" x="103"/>
        <item sd="0" x="89"/>
        <item sd="0" x="120"/>
        <item sd="0" x="104"/>
        <item sd="0" x="119"/>
        <item sd="0" x="7"/>
        <item sd="0" x="117"/>
        <item sd="0" x="116"/>
        <item sd="0" x="126"/>
        <item sd="0" x="26"/>
        <item sd="0" x="118"/>
        <item sd="0" x="87"/>
        <item sd="0" x="90"/>
        <item t="default" sd="0"/>
      </items>
    </pivotField>
  </pivotFields>
  <rowFields count="3">
    <field x="5"/>
    <field x="13"/>
    <field x="9"/>
  </rowFields>
  <rowItems count="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68"/>
    </i>
    <i r="1">
      <x v="69"/>
    </i>
    <i r="1">
      <x v="81"/>
    </i>
    <i r="1">
      <x v="96"/>
    </i>
    <i r="1">
      <x v="119"/>
    </i>
    <i r="1">
      <x v="122"/>
    </i>
    <i r="1">
      <x v="128"/>
    </i>
    <i r="1">
      <x v="130"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加總 - 作業動因值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7" cacheId="5" applyNumberFormats="0" applyBorderFormats="0" applyFontFormats="0" applyPatternFormats="0" applyAlignmentFormats="0" applyWidthHeightFormats="1" dataCaption="數值" updatedVersion="4" minRefreshableVersion="3" useAutoFormatting="1" itemPrintTitles="1" createdVersion="4" indent="0" outline="1" outlineData="1" multipleFieldFilters="0">
  <location ref="A3:D51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47">
        <item x="0"/>
        <item x="1"/>
        <item x="2"/>
        <item x="3"/>
        <item x="36"/>
        <item x="27"/>
        <item x="37"/>
        <item x="38"/>
        <item x="4"/>
        <item x="5"/>
        <item x="28"/>
        <item x="6"/>
        <item x="7"/>
        <item x="39"/>
        <item x="8"/>
        <item x="9"/>
        <item x="10"/>
        <item x="29"/>
        <item x="30"/>
        <item x="11"/>
        <item x="31"/>
        <item x="12"/>
        <item x="32"/>
        <item x="13"/>
        <item x="40"/>
        <item x="41"/>
        <item x="14"/>
        <item x="42"/>
        <item x="15"/>
        <item x="16"/>
        <item x="43"/>
        <item x="17"/>
        <item x="44"/>
        <item x="33"/>
        <item x="18"/>
        <item x="19"/>
        <item x="34"/>
        <item x="20"/>
        <item x="21"/>
        <item x="22"/>
        <item x="35"/>
        <item x="23"/>
        <item x="24"/>
        <item x="25"/>
        <item x="26"/>
        <item x="45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</pivotFields>
  <rowFields count="1">
    <field x="6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加總 - 數量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樞紐分析表5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5" indent="0" outline="1" outlineData="1" multipleFieldFilters="0">
  <location ref="A3:I145" firstHeaderRow="1" firstDataRow="3" firstDataCol="1"/>
  <pivotFields count="17">
    <pivotField showAll="0"/>
    <pivotField axis="axisCol" multipleItemSelectionAllowe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>
      <items count="140">
        <item sd="0" x="78"/>
        <item sd="0" x="29"/>
        <item sd="0" x="31"/>
        <item sd="0" x="97"/>
        <item sd="0" x="117"/>
        <item sd="0" x="119"/>
        <item sd="0" x="62"/>
        <item sd="0" x="83"/>
        <item sd="0" x="8"/>
        <item sd="0" x="68"/>
        <item sd="0" x="63"/>
        <item sd="0" x="32"/>
        <item sd="0" x="80"/>
        <item sd="0" x="57"/>
        <item sd="0" x="134"/>
        <item sd="0" x="86"/>
        <item sd="0" x="98"/>
        <item sd="0" x="13"/>
        <item sd="0" x="11"/>
        <item sd="0" x="55"/>
        <item sd="0" x="115"/>
        <item sd="0" x="51"/>
        <item sd="0" x="104"/>
        <item sd="0" x="93"/>
        <item sd="0" x="74"/>
        <item sd="0" x="47"/>
        <item sd="0" x="43"/>
        <item sd="0" x="131"/>
        <item sd="0" x="2"/>
        <item sd="0" x="27"/>
        <item sd="0" x="138"/>
        <item sd="0" x="15"/>
        <item sd="0" x="0"/>
        <item sd="0" x="25"/>
        <item sd="0" x="75"/>
        <item sd="0" x="53"/>
        <item sd="0" x="110"/>
        <item sd="0" x="112"/>
        <item sd="0" x="106"/>
        <item sd="0" x="44"/>
        <item sd="0" x="84"/>
        <item sd="0" x="121"/>
        <item sd="0" x="103"/>
        <item sd="0" x="125"/>
        <item sd="0" x="16"/>
        <item sd="0" x="127"/>
        <item sd="0" x="67"/>
        <item sd="0" x="126"/>
        <item sd="0" x="24"/>
        <item sd="0" x="7"/>
        <item sd="0" x="41"/>
        <item sd="0" x="120"/>
        <item sd="0" x="136"/>
        <item sd="0" x="34"/>
        <item sd="0" x="135"/>
        <item sd="0" x="48"/>
        <item sd="0" x="87"/>
        <item sd="0" x="89"/>
        <item sd="0" x="76"/>
        <item sd="0" x="71"/>
        <item sd="0" x="72"/>
        <item sd="0" x="21"/>
        <item sd="0" x="10"/>
        <item sd="0" x="37"/>
        <item sd="0" x="56"/>
        <item sd="0" x="19"/>
        <item sd="0" x="111"/>
        <item sd="0" x="100"/>
        <item sd="0" x="133"/>
        <item sd="0" x="28"/>
        <item sd="0" x="61"/>
        <item sd="0" x="101"/>
        <item sd="0" x="18"/>
        <item sd="0" x="90"/>
        <item sd="0" x="128"/>
        <item sd="0" x="30"/>
        <item sd="0" x="85"/>
        <item sd="0" x="64"/>
        <item sd="0" x="33"/>
        <item sd="0" x="42"/>
        <item sd="0" x="66"/>
        <item sd="0" x="79"/>
        <item sd="0" x="96"/>
        <item sd="0" x="1"/>
        <item sd="0" x="5"/>
        <item sd="0" x="17"/>
        <item sd="0" x="50"/>
        <item sd="0" x="26"/>
        <item sd="0" x="94"/>
        <item sd="0" x="36"/>
        <item sd="0" x="73"/>
        <item sd="0" x="123"/>
        <item sd="0" x="92"/>
        <item sd="0" x="137"/>
        <item sd="0" x="95"/>
        <item sd="0" x="82"/>
        <item sd="0" x="9"/>
        <item sd="0" x="81"/>
        <item sd="0" x="4"/>
        <item sd="0" x="77"/>
        <item sd="0" x="107"/>
        <item sd="0" x="129"/>
        <item sd="0" x="38"/>
        <item sd="0" x="118"/>
        <item sd="0" x="54"/>
        <item sd="0" x="114"/>
        <item sd="0" x="65"/>
        <item sd="0" x="69"/>
        <item sd="0" x="46"/>
        <item sd="0" x="45"/>
        <item sd="0" x="35"/>
        <item sd="0" x="59"/>
        <item sd="0" x="6"/>
        <item sd="0" x="14"/>
        <item sd="0" x="116"/>
        <item sd="0" x="132"/>
        <item sd="0" x="23"/>
        <item sd="0" x="39"/>
        <item sd="0" x="102"/>
        <item sd="0" x="60"/>
        <item sd="0" x="105"/>
        <item sd="0" x="91"/>
        <item sd="0" x="88"/>
        <item sd="0" x="122"/>
        <item sd="0" x="124"/>
        <item sd="0" x="12"/>
        <item sd="0" x="58"/>
        <item sd="0" x="113"/>
        <item sd="0" x="130"/>
        <item sd="0" x="52"/>
        <item sd="0" x="70"/>
        <item sd="0" x="22"/>
        <item sd="0" x="108"/>
        <item sd="0" x="20"/>
        <item sd="0" x="3"/>
        <item sd="0" x="40"/>
        <item sd="0" x="49"/>
        <item sd="0" x="99"/>
        <item sd="0" x="109"/>
        <item t="default" sd="0"/>
      </items>
    </pivotField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24">
        <item x="7"/>
        <item x="8"/>
        <item x="12"/>
        <item x="10"/>
        <item x="3"/>
        <item x="21"/>
        <item x="4"/>
        <item x="14"/>
        <item x="5"/>
        <item x="11"/>
        <item x="6"/>
        <item x="13"/>
        <item x="19"/>
        <item x="22"/>
        <item x="20"/>
        <item x="9"/>
        <item x="16"/>
        <item x="17"/>
        <item x="18"/>
        <item x="1"/>
        <item x="2"/>
        <item x="0"/>
        <item x="15"/>
        <item t="default"/>
      </items>
    </pivotField>
    <pivotField dataField="1" showAll="0"/>
    <pivotField dataField="1" showAll="0"/>
    <pivotField showAll="0"/>
    <pivotField showAll="0"/>
    <pivotField axis="axisRow" showAll="0" sortType="descending">
      <items count="7">
        <item x="2"/>
        <item h="1" sd="0" x="4"/>
        <item x="3"/>
        <item x="5"/>
        <item sd="0" x="1"/>
        <item h="1" x="0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4">
    <field x="9"/>
    <field x="16"/>
    <field x="6"/>
    <field x="11"/>
  </rowFields>
  <rowItems count="140">
    <i>
      <x v="2"/>
    </i>
    <i r="1">
      <x v="3"/>
    </i>
    <i r="2">
      <x v="3"/>
    </i>
    <i r="2">
      <x v="4"/>
    </i>
    <i r="2">
      <x v="6"/>
    </i>
    <i r="2">
      <x v="9"/>
    </i>
    <i r="2">
      <x v="10"/>
    </i>
    <i r="2">
      <x v="11"/>
    </i>
    <i r="2">
      <x v="13"/>
    </i>
    <i r="2">
      <x v="19"/>
    </i>
    <i r="2">
      <x v="20"/>
    </i>
    <i r="2">
      <x v="24"/>
    </i>
    <i r="2">
      <x v="27"/>
    </i>
    <i r="2">
      <x v="30"/>
    </i>
    <i r="2">
      <x v="34"/>
    </i>
    <i r="2">
      <x v="35"/>
    </i>
    <i r="2">
      <x v="36"/>
    </i>
    <i r="2">
      <x v="37"/>
    </i>
    <i r="2">
      <x v="46"/>
    </i>
    <i r="2">
      <x v="52"/>
    </i>
    <i r="2">
      <x v="54"/>
    </i>
    <i r="2">
      <x v="59"/>
    </i>
    <i r="2">
      <x v="60"/>
    </i>
    <i r="2">
      <x v="64"/>
    </i>
    <i r="2">
      <x v="66"/>
    </i>
    <i r="2">
      <x v="68"/>
    </i>
    <i r="2">
      <x v="70"/>
    </i>
    <i r="2">
      <x v="77"/>
    </i>
    <i r="2">
      <x v="80"/>
    </i>
    <i r="2">
      <x v="90"/>
    </i>
    <i r="2">
      <x v="93"/>
    </i>
    <i r="2">
      <x v="103"/>
    </i>
    <i r="2">
      <x v="104"/>
    </i>
    <i r="2">
      <x v="105"/>
    </i>
    <i r="2">
      <x v="106"/>
    </i>
    <i r="2">
      <x v="107"/>
    </i>
    <i r="2">
      <x v="111"/>
    </i>
    <i r="2">
      <x v="114"/>
    </i>
    <i r="2">
      <x v="115"/>
    </i>
    <i r="2">
      <x v="119"/>
    </i>
    <i r="2">
      <x v="126"/>
    </i>
    <i r="2">
      <x v="127"/>
    </i>
    <i r="2">
      <x v="128"/>
    </i>
    <i r="2">
      <x v="129"/>
    </i>
    <i r="2">
      <x v="130"/>
    </i>
    <i r="1">
      <x/>
    </i>
    <i r="2">
      <x v="12"/>
    </i>
    <i r="2">
      <x v="14"/>
    </i>
    <i r="2">
      <x v="21"/>
    </i>
    <i r="2">
      <x v="22"/>
    </i>
    <i r="2">
      <x v="25"/>
    </i>
    <i r="2">
      <x v="26"/>
    </i>
    <i r="2">
      <x v="38"/>
    </i>
    <i r="2">
      <x v="39"/>
    </i>
    <i r="2">
      <x v="42"/>
    </i>
    <i r="2">
      <x v="43"/>
    </i>
    <i r="2">
      <x v="45"/>
    </i>
    <i r="2">
      <x v="47"/>
    </i>
    <i r="2">
      <x v="50"/>
    </i>
    <i r="2">
      <x v="53"/>
    </i>
    <i r="2">
      <x v="55"/>
    </i>
    <i r="2">
      <x v="63"/>
    </i>
    <i r="2">
      <x v="67"/>
    </i>
    <i r="2">
      <x v="71"/>
    </i>
    <i r="2">
      <x v="74"/>
    </i>
    <i r="2">
      <x v="78"/>
    </i>
    <i r="2">
      <x v="79"/>
    </i>
    <i r="2">
      <x v="81"/>
    </i>
    <i r="2">
      <x v="84"/>
    </i>
    <i r="2">
      <x v="86"/>
    </i>
    <i r="2">
      <x v="89"/>
    </i>
    <i r="2">
      <x v="98"/>
    </i>
    <i r="2">
      <x v="100"/>
    </i>
    <i r="2">
      <x v="101"/>
    </i>
    <i r="2">
      <x v="102"/>
    </i>
    <i r="2">
      <x v="108"/>
    </i>
    <i r="2">
      <x v="109"/>
    </i>
    <i r="2">
      <x v="110"/>
    </i>
    <i r="2">
      <x v="117"/>
    </i>
    <i r="2">
      <x v="118"/>
    </i>
    <i r="2">
      <x v="120"/>
    </i>
    <i r="2">
      <x v="132"/>
    </i>
    <i r="2">
      <x v="134"/>
    </i>
    <i r="2">
      <x v="135"/>
    </i>
    <i r="2">
      <x v="136"/>
    </i>
    <i r="2">
      <x v="137"/>
    </i>
    <i r="2">
      <x v="138"/>
    </i>
    <i>
      <x v="1"/>
    </i>
    <i r="1">
      <x v="2"/>
    </i>
    <i r="2">
      <x v="1"/>
    </i>
    <i r="2">
      <x v="7"/>
    </i>
    <i r="2">
      <x v="8"/>
    </i>
    <i r="2">
      <x v="15"/>
    </i>
    <i r="2">
      <x v="16"/>
    </i>
    <i r="2">
      <x v="17"/>
    </i>
    <i r="2">
      <x v="18"/>
    </i>
    <i r="2">
      <x v="23"/>
    </i>
    <i r="2">
      <x v="29"/>
    </i>
    <i r="2">
      <x v="31"/>
    </i>
    <i r="2">
      <x v="33"/>
    </i>
    <i r="2">
      <x v="40"/>
    </i>
    <i r="2">
      <x v="44"/>
    </i>
    <i r="2">
      <x v="48"/>
    </i>
    <i r="2">
      <x v="49"/>
    </i>
    <i r="2">
      <x v="51"/>
    </i>
    <i r="2">
      <x v="56"/>
    </i>
    <i r="2">
      <x v="57"/>
    </i>
    <i r="2">
      <x v="61"/>
    </i>
    <i r="2">
      <x v="62"/>
    </i>
    <i r="2">
      <x v="65"/>
    </i>
    <i r="2">
      <x v="69"/>
    </i>
    <i r="2">
      <x v="72"/>
    </i>
    <i r="2">
      <x v="73"/>
    </i>
    <i r="2">
      <x v="75"/>
    </i>
    <i r="2">
      <x v="76"/>
    </i>
    <i r="2">
      <x v="82"/>
    </i>
    <i r="2">
      <x v="85"/>
    </i>
    <i r="2">
      <x v="87"/>
    </i>
    <i r="2">
      <x v="88"/>
    </i>
    <i r="2">
      <x v="91"/>
    </i>
    <i r="2">
      <x v="92"/>
    </i>
    <i r="2">
      <x v="94"/>
    </i>
    <i r="2">
      <x v="95"/>
    </i>
    <i r="2">
      <x v="96"/>
    </i>
    <i r="2">
      <x v="97"/>
    </i>
    <i r="2">
      <x v="99"/>
    </i>
    <i r="2">
      <x v="112"/>
    </i>
    <i r="2">
      <x v="113"/>
    </i>
    <i r="2">
      <x v="116"/>
    </i>
    <i r="2">
      <x v="121"/>
    </i>
    <i r="2">
      <x v="122"/>
    </i>
    <i r="2">
      <x v="123"/>
    </i>
    <i r="2">
      <x v="124"/>
    </i>
    <i r="2">
      <x v="125"/>
    </i>
    <i r="2">
      <x v="131"/>
    </i>
    <i r="2">
      <x v="133"/>
    </i>
    <i r="1">
      <x v="4"/>
    </i>
    <i r="1">
      <x v="3"/>
    </i>
    <i r="2"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2"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加總 - 實際產能(分鐘)" fld="13" baseField="0" baseItem="0"/>
    <dataField name="加總 - 金額" fld="12" baseField="0" baseItem="0"/>
  </dataFields>
  <formats count="7">
    <format dxfId="13">
      <pivotArea collapsedLevelsAreSubtotals="1" fieldPosition="0">
        <references count="1">
          <reference field="9" count="1">
            <x v="0"/>
          </reference>
        </references>
      </pivotArea>
    </format>
    <format dxfId="12">
      <pivotArea dataOnly="0" labelOnly="1" fieldPosition="0">
        <references count="1">
          <reference field="9" count="1">
            <x v="0"/>
          </reference>
        </references>
      </pivotArea>
    </format>
    <format dxfId="11">
      <pivotArea collapsedLevelsAreSubtotals="1" fieldPosition="0">
        <references count="1">
          <reference field="9" count="1">
            <x v="1"/>
          </reference>
        </references>
      </pivotArea>
    </format>
    <format dxfId="10">
      <pivotArea dataOnly="0" labelOnly="1" fieldPosition="0">
        <references count="1">
          <reference field="9" count="1">
            <x v="1"/>
          </reference>
        </references>
      </pivotArea>
    </format>
    <format dxfId="9">
      <pivotArea collapsedLevelsAreSubtotals="1" fieldPosition="0">
        <references count="1">
          <reference field="9" count="1">
            <x v="2"/>
          </reference>
        </references>
      </pivotArea>
    </format>
    <format dxfId="8">
      <pivotArea dataOnly="0" labelOnly="1" fieldPosition="0">
        <references count="1">
          <reference field="9" count="1">
            <x v="2"/>
          </reference>
        </references>
      </pivotArea>
    </format>
    <format dxfId="7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樞紐分析表8" cacheId="6" applyNumberFormats="0" applyBorderFormats="0" applyFontFormats="0" applyPatternFormats="0" applyAlignmentFormats="0" applyWidthHeightFormats="1" dataCaption="數值" updatedVersion="6" minRefreshableVersion="3" useAutoFormatting="1" itemPrintTitles="1" createdVersion="4" indent="0" outline="1" outlineData="1" multipleFieldFilters="0">
  <location ref="A3:G42" firstHeaderRow="0" firstDataRow="1" firstDataCol="1" rowPageCount="1" colPageCount="1"/>
  <pivotFields count="21"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 sortType="descending">
      <items count="39">
        <item x="3"/>
        <item x="28"/>
        <item x="4"/>
        <item x="27"/>
        <item x="1"/>
        <item x="15"/>
        <item x="31"/>
        <item x="34"/>
        <item x="25"/>
        <item x="8"/>
        <item x="29"/>
        <item x="6"/>
        <item x="14"/>
        <item x="2"/>
        <item x="13"/>
        <item x="18"/>
        <item x="26"/>
        <item x="22"/>
        <item x="17"/>
        <item x="16"/>
        <item x="35"/>
        <item x="0"/>
        <item x="37"/>
        <item x="36"/>
        <item x="12"/>
        <item x="10"/>
        <item x="24"/>
        <item x="9"/>
        <item x="19"/>
        <item x="5"/>
        <item x="7"/>
        <item x="23"/>
        <item x="20"/>
        <item x="30"/>
        <item x="21"/>
        <item x="32"/>
        <item x="33"/>
        <item x="1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5"/>
  </rowFields>
  <rowItems count="39">
    <i>
      <x v="37"/>
    </i>
    <i>
      <x v="34"/>
    </i>
    <i>
      <x v="25"/>
    </i>
    <i>
      <x v="27"/>
    </i>
    <i>
      <x v="33"/>
    </i>
    <i>
      <x v="28"/>
    </i>
    <i>
      <x v="17"/>
    </i>
    <i>
      <x v="22"/>
    </i>
    <i>
      <x v="19"/>
    </i>
    <i>
      <x v="20"/>
    </i>
    <i>
      <x v="16"/>
    </i>
    <i>
      <x v="7"/>
    </i>
    <i>
      <x v="21"/>
    </i>
    <i>
      <x v="26"/>
    </i>
    <i>
      <x v="18"/>
    </i>
    <i>
      <x v="24"/>
    </i>
    <i>
      <x v="10"/>
    </i>
    <i>
      <x v="29"/>
    </i>
    <i>
      <x v="31"/>
    </i>
    <i>
      <x v="2"/>
    </i>
    <i>
      <x v="3"/>
    </i>
    <i>
      <x/>
    </i>
    <i>
      <x v="12"/>
    </i>
    <i>
      <x v="4"/>
    </i>
    <i>
      <x v="15"/>
    </i>
    <i>
      <x v="5"/>
    </i>
    <i>
      <x v="11"/>
    </i>
    <i>
      <x v="6"/>
    </i>
    <i>
      <x v="30"/>
    </i>
    <i>
      <x v="1"/>
    </i>
    <i>
      <x v="32"/>
    </i>
    <i>
      <x v="23"/>
    </i>
    <i>
      <x v="13"/>
    </i>
    <i>
      <x v="35"/>
    </i>
    <i>
      <x v="36"/>
    </i>
    <i>
      <x v="14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-1"/>
  </pageFields>
  <dataFields count="6">
    <dataField name="加總 - 銷貨收入" fld="10" baseField="0" baseItem="0" numFmtId="177"/>
    <dataField name="加總 - 產品成本庫" fld="11" baseField="0" baseItem="0" numFmtId="177"/>
    <dataField name="加總 - 毛利率" fld="12" baseField="0" baseItem="0" numFmtId="177"/>
    <dataField name="加總 - 專案成本(Project)" fld="15" baseField="0" baseItem="0" numFmtId="177"/>
    <dataField name="加總 - 總銷貨成本" fld="16" baseField="0" baseItem="0" numFmtId="177"/>
    <dataField name="加總 - 淨利" fld="17" baseField="0" baseItem="0" numFmtId="178"/>
  </dataFields>
  <formats count="5">
    <format dxfId="6">
      <pivotArea field="5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樞紐分析表9" cacheId="6" applyNumberFormats="0" applyBorderFormats="0" applyFontFormats="0" applyPatternFormats="0" applyAlignmentFormats="0" applyWidthHeightFormats="1" dataCaption="數值" updatedVersion="6" minRefreshableVersion="3" useAutoFormatting="1" itemPrintTitles="1" createdVersion="4" indent="0" outline="1" outlineData="1" multipleFieldFilters="0">
  <location ref="A3:G50" firstHeaderRow="0" firstDataRow="1" firstDataCol="1" rowPageCount="1" colPageCount="1"/>
  <pivotFields count="21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7">
        <item x="16"/>
        <item x="15"/>
        <item x="25"/>
        <item x="4"/>
        <item x="39"/>
        <item x="34"/>
        <item x="37"/>
        <item x="38"/>
        <item x="3"/>
        <item x="20"/>
        <item x="30"/>
        <item x="2"/>
        <item x="5"/>
        <item x="36"/>
        <item x="7"/>
        <item x="1"/>
        <item x="19"/>
        <item x="33"/>
        <item x="35"/>
        <item x="21"/>
        <item x="32"/>
        <item x="10"/>
        <item x="28"/>
        <item x="13"/>
        <item x="41"/>
        <item x="43"/>
        <item x="9"/>
        <item x="45"/>
        <item x="8"/>
        <item x="0"/>
        <item x="42"/>
        <item x="14"/>
        <item x="40"/>
        <item x="27"/>
        <item x="17"/>
        <item x="18"/>
        <item x="29"/>
        <item x="12"/>
        <item x="11"/>
        <item x="22"/>
        <item x="31"/>
        <item x="6"/>
        <item x="26"/>
        <item x="23"/>
        <item x="24"/>
        <item x="44"/>
        <item t="default"/>
      </items>
    </pivotField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9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-1"/>
  </pageFields>
  <dataFields count="6">
    <dataField name="加總 - 銷貨收入" fld="10" baseField="0" baseItem="0"/>
    <dataField name="加總 - 產品成本庫" fld="11" baseField="0" baseItem="0"/>
    <dataField name="加總 - 毛利率" fld="12" baseField="0" baseItem="0"/>
    <dataField name="加總 - 專案成本(Project)" fld="15" baseField="0" baseItem="0"/>
    <dataField name="加總 - 總銷貨成本" fld="16" baseField="0" baseItem="0"/>
    <dataField name="加總 - 淨利" fld="17" baseField="0" baseItem="0"/>
  </dataFields>
  <formats count="1">
    <format dxfId="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樞紐分析表10" cacheId="6" applyNumberFormats="0" applyBorderFormats="0" applyFontFormats="0" applyPatternFormats="0" applyAlignmentFormats="0" applyWidthHeightFormats="1" dataCaption="數值" updatedVersion="4" minRefreshableVersion="3" useAutoFormatting="1" itemPrintTitles="1" createdVersion="4" indent="0" outline="1" outlineData="1" multipleFieldFilters="0">
  <location ref="A3:D47" firstHeaderRow="0" firstDataRow="1" firstDataCol="1" rowPageCount="1" colPageCount="1"/>
  <pivotFields count="21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39">
        <item sd="0" x="3"/>
        <item sd="0" x="28"/>
        <item sd="0" x="4"/>
        <item sd="0" x="27"/>
        <item sd="0" x="1"/>
        <item sd="0" x="15"/>
        <item sd="0" x="31"/>
        <item sd="0" x="34"/>
        <item sd="0" x="25"/>
        <item sd="0" x="8"/>
        <item sd="0" x="29"/>
        <item sd="0" x="6"/>
        <item sd="0" x="14"/>
        <item sd="0" x="2"/>
        <item sd="0" x="13"/>
        <item sd="0" x="18"/>
        <item sd="0" x="26"/>
        <item sd="0" x="22"/>
        <item sd="0" x="17"/>
        <item sd="0" x="16"/>
        <item sd="0" x="35"/>
        <item sd="0" x="0"/>
        <item sd="0" x="37"/>
        <item sd="0" x="36"/>
        <item sd="0" x="12"/>
        <item sd="0" x="10"/>
        <item sd="0" x="24"/>
        <item sd="0" x="9"/>
        <item sd="0" x="19"/>
        <item sd="0" x="5"/>
        <item sd="0" x="7"/>
        <item sd="0" x="23"/>
        <item sd="0" x="20"/>
        <item sd="0" x="30"/>
        <item sd="0" x="21"/>
        <item sd="0" x="32"/>
        <item sd="0" x="33"/>
        <item sd="0" x="11"/>
        <item t="default" sd="0"/>
      </items>
    </pivotField>
    <pivotField showAll="0"/>
    <pivotField showAll="0"/>
    <pivotField showAll="0"/>
    <pivotField axis="axisRow" showAll="0">
      <items count="47">
        <item x="16"/>
        <item x="15"/>
        <item x="25"/>
        <item x="4"/>
        <item x="39"/>
        <item x="34"/>
        <item x="37"/>
        <item x="38"/>
        <item x="3"/>
        <item x="20"/>
        <item x="30"/>
        <item x="2"/>
        <item x="5"/>
        <item x="36"/>
        <item x="7"/>
        <item x="1"/>
        <item x="19"/>
        <item x="33"/>
        <item x="35"/>
        <item x="21"/>
        <item x="32"/>
        <item x="10"/>
        <item x="28"/>
        <item x="13"/>
        <item x="41"/>
        <item x="43"/>
        <item x="9"/>
        <item x="45"/>
        <item x="8"/>
        <item x="0"/>
        <item x="42"/>
        <item x="14"/>
        <item x="40"/>
        <item x="27"/>
        <item x="17"/>
        <item x="18"/>
        <item x="29"/>
        <item x="12"/>
        <item x="11"/>
        <item x="22"/>
        <item x="31"/>
        <item x="6"/>
        <item x="26"/>
        <item x="23"/>
        <item x="24"/>
        <item x="44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3">
    <field x="20"/>
    <field x="5"/>
    <field x="9"/>
  </rowFields>
  <rowItems count="44">
    <i>
      <x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3"/>
    </i>
    <i>
      <x v="1"/>
    </i>
    <i r="1">
      <x v="35"/>
    </i>
    <i>
      <x v="2"/>
    </i>
    <i r="1">
      <x v="7"/>
    </i>
    <i r="1">
      <x v="10"/>
    </i>
    <i r="1">
      <x v="15"/>
    </i>
    <i r="1">
      <x v="16"/>
    </i>
    <i r="1">
      <x v="17"/>
    </i>
    <i r="1">
      <x v="37"/>
    </i>
    <i>
      <x v="3"/>
    </i>
    <i r="1">
      <x v="21"/>
    </i>
    <i r="1">
      <x v="31"/>
    </i>
    <i r="1">
      <x v="3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加總 - 銷貨收入" fld="10" baseField="0" baseItem="0"/>
    <dataField name="加總 - 總銷貨成本" fld="16" baseField="0" baseItem="0"/>
    <dataField name="加總 - 淨利" fld="17" baseField="0" baseItem="0"/>
  </dataFields>
  <formats count="1">
    <format dxfId="0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4"/>
  <sheetViews>
    <sheetView topLeftCell="D1" zoomScale="55" zoomScaleNormal="55" workbookViewId="0">
      <selection activeCell="D41" activeCellId="3" sqref="A46:XFD50 A39:XFD39 A42:XFD43 A41:XFD41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7" width="26.42578125" style="1" bestFit="1" customWidth="1"/>
    <col min="8" max="8" width="24.42578125" style="1" bestFit="1" customWidth="1"/>
    <col min="9" max="9" width="27.7109375" style="1" bestFit="1" customWidth="1"/>
    <col min="10" max="10" width="37.7109375" style="1" bestFit="1" customWidth="1"/>
    <col min="11" max="12" width="11.28515625" style="1" bestFit="1" customWidth="1"/>
    <col min="13" max="13" width="14.85546875" style="1" bestFit="1" customWidth="1"/>
    <col min="14" max="14" width="9.7109375" style="1" bestFit="1" customWidth="1"/>
    <col min="15" max="15" width="20.7109375" style="1" bestFit="1" customWidth="1"/>
    <col min="16" max="16" width="12.85546875" style="1" bestFit="1" customWidth="1"/>
    <col min="17" max="17" width="13.85546875" style="1" bestFit="1" customWidth="1"/>
    <col min="18" max="18" width="26.42578125" style="1" bestFit="1" customWidth="1"/>
    <col min="19" max="19" width="21.28515625" style="1" bestFit="1" customWidth="1"/>
    <col min="20" max="20" width="38.28515625" style="1" bestFit="1" customWidth="1"/>
    <col min="21" max="21" width="16.42578125" style="1" bestFit="1" customWidth="1"/>
    <col min="22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>
        <v>130000</v>
      </c>
      <c r="O2" s="1" t="s">
        <v>30</v>
      </c>
      <c r="P2" s="1" t="s">
        <v>31</v>
      </c>
    </row>
    <row r="3" spans="1:21" hidden="1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32</v>
      </c>
      <c r="G3" s="1" t="s">
        <v>24</v>
      </c>
      <c r="H3" s="1" t="s">
        <v>32</v>
      </c>
      <c r="I3" s="1" t="s">
        <v>25</v>
      </c>
      <c r="J3" s="1" t="s">
        <v>26</v>
      </c>
      <c r="K3" s="1" t="s">
        <v>33</v>
      </c>
      <c r="L3" s="1" t="s">
        <v>28</v>
      </c>
      <c r="M3" s="1" t="s">
        <v>29</v>
      </c>
      <c r="N3" s="1">
        <v>40342</v>
      </c>
      <c r="O3" s="1" t="s">
        <v>30</v>
      </c>
      <c r="P3" s="1" t="s">
        <v>31</v>
      </c>
    </row>
    <row r="4" spans="1:21" hidden="1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34</v>
      </c>
      <c r="G4" s="1" t="s">
        <v>24</v>
      </c>
      <c r="H4" s="1" t="s">
        <v>34</v>
      </c>
      <c r="I4" s="1" t="s">
        <v>25</v>
      </c>
      <c r="J4" s="1" t="s">
        <v>26</v>
      </c>
      <c r="K4" s="1" t="s">
        <v>33</v>
      </c>
      <c r="L4" s="1" t="s">
        <v>28</v>
      </c>
      <c r="M4" s="1" t="s">
        <v>29</v>
      </c>
      <c r="N4" s="1">
        <v>61118</v>
      </c>
      <c r="O4" s="1" t="s">
        <v>30</v>
      </c>
      <c r="P4" s="1" t="s">
        <v>31</v>
      </c>
    </row>
    <row r="5" spans="1:21" hidden="1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32</v>
      </c>
      <c r="G5" s="1" t="s">
        <v>24</v>
      </c>
      <c r="H5" s="1" t="s">
        <v>32</v>
      </c>
      <c r="I5" s="1" t="s">
        <v>35</v>
      </c>
      <c r="J5" s="1" t="s">
        <v>36</v>
      </c>
      <c r="K5" s="1" t="s">
        <v>33</v>
      </c>
      <c r="L5" s="1" t="s">
        <v>37</v>
      </c>
      <c r="M5" s="1" t="s">
        <v>38</v>
      </c>
      <c r="N5" s="1">
        <v>218161</v>
      </c>
      <c r="O5" s="1" t="s">
        <v>39</v>
      </c>
      <c r="P5" s="1" t="s">
        <v>40</v>
      </c>
      <c r="Q5" s="1">
        <v>1</v>
      </c>
      <c r="R5" s="1" t="s">
        <v>41</v>
      </c>
      <c r="U5" s="1">
        <v>218161</v>
      </c>
    </row>
    <row r="6" spans="1:21" hidden="1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32</v>
      </c>
      <c r="G6" s="1" t="s">
        <v>24</v>
      </c>
      <c r="H6" s="1" t="s">
        <v>32</v>
      </c>
      <c r="I6" s="1" t="s">
        <v>35</v>
      </c>
      <c r="J6" s="1" t="s">
        <v>42</v>
      </c>
      <c r="K6" s="1" t="s">
        <v>33</v>
      </c>
      <c r="L6" s="1" t="s">
        <v>28</v>
      </c>
      <c r="M6" s="1" t="s">
        <v>29</v>
      </c>
      <c r="N6" s="1">
        <v>104000</v>
      </c>
      <c r="O6" s="1" t="s">
        <v>39</v>
      </c>
      <c r="P6" s="1" t="s">
        <v>40</v>
      </c>
      <c r="Q6" s="1">
        <v>0.8</v>
      </c>
      <c r="R6" s="1" t="s">
        <v>24</v>
      </c>
      <c r="U6" s="1">
        <v>130000</v>
      </c>
    </row>
    <row r="7" spans="1:21" hidden="1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34</v>
      </c>
      <c r="G7" s="1" t="s">
        <v>24</v>
      </c>
      <c r="H7" s="1" t="s">
        <v>34</v>
      </c>
      <c r="I7" s="1" t="s">
        <v>35</v>
      </c>
      <c r="J7" s="1" t="s">
        <v>42</v>
      </c>
      <c r="K7" s="1" t="s">
        <v>33</v>
      </c>
      <c r="L7" s="1" t="s">
        <v>28</v>
      </c>
      <c r="M7" s="1" t="s">
        <v>29</v>
      </c>
      <c r="N7" s="1">
        <v>26000</v>
      </c>
      <c r="O7" s="1" t="s">
        <v>39</v>
      </c>
      <c r="P7" s="1" t="s">
        <v>40</v>
      </c>
      <c r="Q7" s="1">
        <v>0.2</v>
      </c>
      <c r="R7" s="1" t="s">
        <v>24</v>
      </c>
      <c r="U7" s="1">
        <v>130000</v>
      </c>
    </row>
    <row r="8" spans="1:21" hidden="1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32</v>
      </c>
      <c r="G8" s="1" t="s">
        <v>24</v>
      </c>
      <c r="H8" s="1" t="s">
        <v>32</v>
      </c>
      <c r="I8" s="1" t="s">
        <v>25</v>
      </c>
      <c r="J8" s="1" t="s">
        <v>26</v>
      </c>
      <c r="K8" s="1" t="s">
        <v>33</v>
      </c>
      <c r="L8" s="1" t="s">
        <v>37</v>
      </c>
      <c r="M8" s="1" t="s">
        <v>38</v>
      </c>
      <c r="N8" s="1">
        <v>71367</v>
      </c>
      <c r="O8" s="1" t="s">
        <v>30</v>
      </c>
      <c r="P8" s="1" t="s">
        <v>31</v>
      </c>
    </row>
    <row r="9" spans="1:21" hidden="1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41</v>
      </c>
      <c r="G9" s="1" t="s">
        <v>24</v>
      </c>
      <c r="H9" s="1" t="s">
        <v>41</v>
      </c>
      <c r="I9" s="1" t="s">
        <v>25</v>
      </c>
      <c r="J9" s="1" t="s">
        <v>26</v>
      </c>
      <c r="K9" s="1" t="s">
        <v>27</v>
      </c>
      <c r="L9" s="1" t="s">
        <v>37</v>
      </c>
      <c r="M9" s="1" t="s">
        <v>38</v>
      </c>
      <c r="N9" s="1">
        <v>218161</v>
      </c>
      <c r="O9" s="1" t="s">
        <v>30</v>
      </c>
      <c r="P9" s="1" t="s">
        <v>31</v>
      </c>
    </row>
    <row r="10" spans="1:21" hidden="1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34</v>
      </c>
      <c r="G10" s="1" t="s">
        <v>24</v>
      </c>
      <c r="H10" s="1" t="s">
        <v>34</v>
      </c>
      <c r="I10" s="1" t="s">
        <v>25</v>
      </c>
      <c r="J10" s="1" t="s">
        <v>26</v>
      </c>
      <c r="K10" s="1" t="s">
        <v>33</v>
      </c>
      <c r="L10" s="1" t="s">
        <v>37</v>
      </c>
      <c r="M10" s="1" t="s">
        <v>38</v>
      </c>
      <c r="N10" s="1">
        <v>125323</v>
      </c>
      <c r="O10" s="1" t="s">
        <v>30</v>
      </c>
      <c r="P10" s="1" t="s">
        <v>31</v>
      </c>
    </row>
    <row r="11" spans="1:21" hidden="1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32</v>
      </c>
      <c r="G11" s="1" t="s">
        <v>24</v>
      </c>
      <c r="H11" s="1" t="s">
        <v>32</v>
      </c>
      <c r="I11" s="1" t="s">
        <v>25</v>
      </c>
      <c r="J11" s="1" t="s">
        <v>43</v>
      </c>
      <c r="K11" s="1" t="s">
        <v>33</v>
      </c>
      <c r="L11" s="1" t="s">
        <v>44</v>
      </c>
      <c r="M11" s="1" t="s">
        <v>45</v>
      </c>
      <c r="N11" s="1">
        <v>300</v>
      </c>
      <c r="O11" s="1" t="s">
        <v>30</v>
      </c>
      <c r="P11" s="1" t="s">
        <v>31</v>
      </c>
      <c r="S11" s="1" t="s">
        <v>46</v>
      </c>
      <c r="T11" s="1" t="s">
        <v>47</v>
      </c>
    </row>
    <row r="12" spans="1:21" hidden="1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32</v>
      </c>
      <c r="G12" s="1" t="s">
        <v>24</v>
      </c>
      <c r="H12" s="1" t="s">
        <v>32</v>
      </c>
      <c r="I12" s="1" t="s">
        <v>25</v>
      </c>
      <c r="J12" s="1" t="s">
        <v>43</v>
      </c>
      <c r="K12" s="1" t="s">
        <v>33</v>
      </c>
      <c r="L12" s="1" t="s">
        <v>48</v>
      </c>
      <c r="M12" s="1" t="s">
        <v>49</v>
      </c>
      <c r="N12" s="1">
        <v>6350</v>
      </c>
      <c r="O12" s="1" t="s">
        <v>30</v>
      </c>
      <c r="P12" s="1" t="s">
        <v>31</v>
      </c>
      <c r="S12" s="1" t="s">
        <v>46</v>
      </c>
      <c r="T12" s="1" t="s">
        <v>47</v>
      </c>
    </row>
    <row r="13" spans="1:21" hidden="1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32</v>
      </c>
      <c r="G13" s="1" t="s">
        <v>24</v>
      </c>
      <c r="H13" s="1" t="s">
        <v>32</v>
      </c>
      <c r="I13" s="1" t="s">
        <v>25</v>
      </c>
      <c r="J13" s="1" t="s">
        <v>43</v>
      </c>
      <c r="K13" s="1" t="s">
        <v>33</v>
      </c>
      <c r="L13" s="1" t="s">
        <v>48</v>
      </c>
      <c r="M13" s="1" t="s">
        <v>49</v>
      </c>
      <c r="N13" s="1">
        <v>3372</v>
      </c>
      <c r="O13" s="1" t="s">
        <v>30</v>
      </c>
      <c r="P13" s="1" t="s">
        <v>31</v>
      </c>
      <c r="S13" s="1" t="s">
        <v>46</v>
      </c>
      <c r="T13" s="1" t="s">
        <v>50</v>
      </c>
    </row>
    <row r="14" spans="1:21" hidden="1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34</v>
      </c>
      <c r="G14" s="1" t="s">
        <v>24</v>
      </c>
      <c r="H14" s="1" t="s">
        <v>34</v>
      </c>
      <c r="I14" s="1" t="s">
        <v>25</v>
      </c>
      <c r="J14" s="1" t="s">
        <v>43</v>
      </c>
      <c r="K14" s="1" t="s">
        <v>33</v>
      </c>
      <c r="L14" s="1" t="s">
        <v>44</v>
      </c>
      <c r="M14" s="1" t="s">
        <v>45</v>
      </c>
      <c r="N14" s="1">
        <v>1035</v>
      </c>
      <c r="O14" s="1" t="s">
        <v>30</v>
      </c>
      <c r="P14" s="1" t="s">
        <v>31</v>
      </c>
      <c r="S14" s="1" t="s">
        <v>46</v>
      </c>
      <c r="T14" s="1" t="s">
        <v>51</v>
      </c>
    </row>
    <row r="15" spans="1:21" hidden="1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34</v>
      </c>
      <c r="G15" s="1" t="s">
        <v>24</v>
      </c>
      <c r="H15" s="1" t="s">
        <v>34</v>
      </c>
      <c r="I15" s="1" t="s">
        <v>25</v>
      </c>
      <c r="J15" s="1" t="s">
        <v>43</v>
      </c>
      <c r="K15" s="1" t="s">
        <v>33</v>
      </c>
      <c r="L15" s="1" t="s">
        <v>44</v>
      </c>
      <c r="M15" s="1" t="s">
        <v>45</v>
      </c>
      <c r="N15" s="1">
        <v>3526</v>
      </c>
      <c r="O15" s="1" t="s">
        <v>30</v>
      </c>
      <c r="P15" s="1" t="s">
        <v>31</v>
      </c>
      <c r="S15" s="1" t="s">
        <v>46</v>
      </c>
      <c r="T15" s="1" t="s">
        <v>52</v>
      </c>
    </row>
    <row r="16" spans="1:21" hidden="1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34</v>
      </c>
      <c r="G16" s="1" t="s">
        <v>24</v>
      </c>
      <c r="H16" s="1" t="s">
        <v>34</v>
      </c>
      <c r="I16" s="1" t="s">
        <v>25</v>
      </c>
      <c r="J16" s="1" t="s">
        <v>43</v>
      </c>
      <c r="K16" s="1" t="s">
        <v>33</v>
      </c>
      <c r="L16" s="1" t="s">
        <v>44</v>
      </c>
      <c r="M16" s="1" t="s">
        <v>45</v>
      </c>
      <c r="N16" s="1">
        <v>8493</v>
      </c>
      <c r="O16" s="1" t="s">
        <v>30</v>
      </c>
      <c r="P16" s="1" t="s">
        <v>31</v>
      </c>
      <c r="S16" s="1" t="s">
        <v>46</v>
      </c>
      <c r="T16" s="1" t="s">
        <v>53</v>
      </c>
    </row>
    <row r="17" spans="1:21" hidden="1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32</v>
      </c>
      <c r="G17" s="1" t="s">
        <v>24</v>
      </c>
      <c r="H17" s="1" t="s">
        <v>32</v>
      </c>
      <c r="I17" s="1" t="s">
        <v>25</v>
      </c>
      <c r="J17" s="1" t="s">
        <v>43</v>
      </c>
      <c r="K17" s="1" t="s">
        <v>33</v>
      </c>
      <c r="L17" s="1" t="s">
        <v>54</v>
      </c>
      <c r="M17" s="1" t="s">
        <v>55</v>
      </c>
      <c r="N17" s="1">
        <v>24210</v>
      </c>
      <c r="O17" s="1" t="s">
        <v>30</v>
      </c>
      <c r="P17" s="1" t="s">
        <v>31</v>
      </c>
      <c r="S17" s="1" t="s">
        <v>46</v>
      </c>
      <c r="T17" s="1" t="s">
        <v>56</v>
      </c>
    </row>
    <row r="18" spans="1:21" hidden="1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24</v>
      </c>
      <c r="I18" s="1" t="s">
        <v>25</v>
      </c>
      <c r="J18" s="1" t="s">
        <v>43</v>
      </c>
      <c r="K18" s="1" t="s">
        <v>33</v>
      </c>
      <c r="L18" s="1" t="s">
        <v>54</v>
      </c>
      <c r="M18" s="1" t="s">
        <v>55</v>
      </c>
      <c r="N18" s="1">
        <v>3092</v>
      </c>
      <c r="O18" s="1" t="s">
        <v>30</v>
      </c>
      <c r="P18" s="1" t="s">
        <v>31</v>
      </c>
      <c r="S18" s="1" t="s">
        <v>46</v>
      </c>
      <c r="T18" s="1" t="s">
        <v>56</v>
      </c>
    </row>
    <row r="19" spans="1:21" hidden="1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34</v>
      </c>
      <c r="G19" s="1" t="s">
        <v>24</v>
      </c>
      <c r="H19" s="1" t="s">
        <v>34</v>
      </c>
      <c r="I19" s="1" t="s">
        <v>25</v>
      </c>
      <c r="J19" s="1" t="s">
        <v>43</v>
      </c>
      <c r="K19" s="1" t="s">
        <v>33</v>
      </c>
      <c r="L19" s="1" t="s">
        <v>54</v>
      </c>
      <c r="M19" s="1" t="s">
        <v>55</v>
      </c>
      <c r="N19" s="1">
        <v>16648</v>
      </c>
      <c r="O19" s="1" t="s">
        <v>30</v>
      </c>
      <c r="P19" s="1" t="s">
        <v>31</v>
      </c>
      <c r="S19" s="1" t="s">
        <v>46</v>
      </c>
      <c r="T19" s="1" t="s">
        <v>56</v>
      </c>
    </row>
    <row r="20" spans="1:21" hidden="1" x14ac:dyDescent="0.25">
      <c r="A20" s="1">
        <v>2018</v>
      </c>
      <c r="B20" s="1">
        <v>4</v>
      </c>
      <c r="C20" s="1" t="s">
        <v>57</v>
      </c>
      <c r="D20" s="1" t="s">
        <v>22</v>
      </c>
      <c r="E20" s="1" t="s">
        <v>23</v>
      </c>
      <c r="F20" s="1" t="s">
        <v>32</v>
      </c>
      <c r="G20" s="1" t="s">
        <v>24</v>
      </c>
      <c r="H20" s="1" t="s">
        <v>32</v>
      </c>
      <c r="I20" s="1" t="s">
        <v>25</v>
      </c>
      <c r="J20" s="1" t="s">
        <v>43</v>
      </c>
      <c r="K20" s="1" t="s">
        <v>33</v>
      </c>
      <c r="L20" s="1" t="s">
        <v>54</v>
      </c>
      <c r="M20" s="1" t="s">
        <v>55</v>
      </c>
      <c r="N20" s="1">
        <v>3500</v>
      </c>
      <c r="O20" s="1" t="s">
        <v>30</v>
      </c>
      <c r="P20" s="1" t="s">
        <v>31</v>
      </c>
      <c r="S20" s="1" t="s">
        <v>46</v>
      </c>
      <c r="T20" s="1" t="s">
        <v>58</v>
      </c>
    </row>
    <row r="21" spans="1:21" hidden="1" x14ac:dyDescent="0.25">
      <c r="A21" s="1">
        <v>2018</v>
      </c>
      <c r="B21" s="1">
        <v>4</v>
      </c>
      <c r="C21" s="1" t="s">
        <v>57</v>
      </c>
      <c r="D21" s="1" t="s">
        <v>22</v>
      </c>
      <c r="E21" s="1" t="s">
        <v>23</v>
      </c>
      <c r="F21" s="1" t="s">
        <v>32</v>
      </c>
      <c r="G21" s="1" t="s">
        <v>24</v>
      </c>
      <c r="H21" s="1" t="s">
        <v>32</v>
      </c>
      <c r="I21" s="1" t="s">
        <v>25</v>
      </c>
      <c r="J21" s="1" t="s">
        <v>43</v>
      </c>
      <c r="K21" s="1" t="s">
        <v>33</v>
      </c>
      <c r="L21" s="1" t="s">
        <v>54</v>
      </c>
      <c r="M21" s="1" t="s">
        <v>55</v>
      </c>
      <c r="N21" s="1">
        <v>1500</v>
      </c>
      <c r="O21" s="1" t="s">
        <v>30</v>
      </c>
      <c r="P21" s="1" t="s">
        <v>31</v>
      </c>
      <c r="S21" s="1" t="s">
        <v>46</v>
      </c>
      <c r="T21" s="1" t="s">
        <v>59</v>
      </c>
    </row>
    <row r="22" spans="1:21" hidden="1" x14ac:dyDescent="0.25">
      <c r="A22" s="1">
        <v>2018</v>
      </c>
      <c r="B22" s="1">
        <v>4</v>
      </c>
      <c r="C22" s="1" t="s">
        <v>57</v>
      </c>
      <c r="D22" s="1" t="s">
        <v>22</v>
      </c>
      <c r="E22" s="1" t="s">
        <v>23</v>
      </c>
      <c r="F22" s="1" t="s">
        <v>34</v>
      </c>
      <c r="G22" s="1" t="s">
        <v>24</v>
      </c>
      <c r="H22" s="1" t="s">
        <v>34</v>
      </c>
      <c r="I22" s="1" t="s">
        <v>25</v>
      </c>
      <c r="J22" s="1" t="s">
        <v>43</v>
      </c>
      <c r="K22" s="1" t="s">
        <v>33</v>
      </c>
      <c r="L22" s="1" t="s">
        <v>54</v>
      </c>
      <c r="M22" s="1" t="s">
        <v>55</v>
      </c>
      <c r="N22" s="1">
        <v>1600</v>
      </c>
      <c r="O22" s="1" t="s">
        <v>30</v>
      </c>
      <c r="P22" s="1" t="s">
        <v>31</v>
      </c>
      <c r="S22" s="1" t="s">
        <v>46</v>
      </c>
      <c r="T22" s="1" t="s">
        <v>52</v>
      </c>
    </row>
    <row r="23" spans="1:21" hidden="1" x14ac:dyDescent="0.25">
      <c r="A23" s="1">
        <v>2018</v>
      </c>
      <c r="B23" s="1">
        <v>4</v>
      </c>
      <c r="C23" s="1" t="s">
        <v>57</v>
      </c>
      <c r="D23" s="1" t="s">
        <v>22</v>
      </c>
      <c r="E23" s="1" t="s">
        <v>23</v>
      </c>
      <c r="F23" s="1" t="s">
        <v>34</v>
      </c>
      <c r="G23" s="1" t="s">
        <v>24</v>
      </c>
      <c r="H23" s="1" t="s">
        <v>34</v>
      </c>
      <c r="I23" s="1" t="s">
        <v>25</v>
      </c>
      <c r="J23" s="1" t="s">
        <v>43</v>
      </c>
      <c r="K23" s="1" t="s">
        <v>33</v>
      </c>
      <c r="L23" s="1" t="s">
        <v>44</v>
      </c>
      <c r="M23" s="1" t="s">
        <v>45</v>
      </c>
      <c r="N23" s="1">
        <v>535</v>
      </c>
      <c r="O23" s="1" t="s">
        <v>30</v>
      </c>
      <c r="P23" s="1" t="s">
        <v>31</v>
      </c>
      <c r="S23" s="1" t="s">
        <v>46</v>
      </c>
      <c r="T23" s="1" t="s">
        <v>60</v>
      </c>
    </row>
    <row r="24" spans="1:21" hidden="1" x14ac:dyDescent="0.25">
      <c r="A24" s="1">
        <v>2018</v>
      </c>
      <c r="B24" s="1">
        <v>4</v>
      </c>
      <c r="C24" s="1" t="s">
        <v>57</v>
      </c>
      <c r="D24" s="1" t="s">
        <v>22</v>
      </c>
      <c r="E24" s="1" t="s">
        <v>23</v>
      </c>
      <c r="F24" s="1" t="s">
        <v>34</v>
      </c>
      <c r="G24" s="1" t="s">
        <v>24</v>
      </c>
      <c r="H24" s="1" t="s">
        <v>34</v>
      </c>
      <c r="I24" s="1" t="s">
        <v>25</v>
      </c>
      <c r="J24" s="1" t="s">
        <v>43</v>
      </c>
      <c r="K24" s="1" t="s">
        <v>33</v>
      </c>
      <c r="L24" s="1" t="s">
        <v>54</v>
      </c>
      <c r="M24" s="1" t="s">
        <v>55</v>
      </c>
      <c r="N24" s="1">
        <v>3500</v>
      </c>
      <c r="O24" s="1" t="s">
        <v>30</v>
      </c>
      <c r="P24" s="1" t="s">
        <v>31</v>
      </c>
      <c r="S24" s="1" t="s">
        <v>46</v>
      </c>
      <c r="T24" s="1" t="s">
        <v>61</v>
      </c>
    </row>
    <row r="25" spans="1:21" hidden="1" x14ac:dyDescent="0.25">
      <c r="A25" s="1">
        <v>2018</v>
      </c>
      <c r="B25" s="1">
        <v>4</v>
      </c>
      <c r="C25" s="1" t="s">
        <v>57</v>
      </c>
      <c r="D25" s="1" t="s">
        <v>22</v>
      </c>
      <c r="E25" s="1" t="s">
        <v>23</v>
      </c>
      <c r="F25" s="1" t="s">
        <v>34</v>
      </c>
      <c r="G25" s="1" t="s">
        <v>24</v>
      </c>
      <c r="H25" s="1" t="s">
        <v>34</v>
      </c>
      <c r="I25" s="1" t="s">
        <v>25</v>
      </c>
      <c r="J25" s="1" t="s">
        <v>43</v>
      </c>
      <c r="K25" s="1" t="s">
        <v>33</v>
      </c>
      <c r="L25" s="1" t="s">
        <v>54</v>
      </c>
      <c r="M25" s="1" t="s">
        <v>55</v>
      </c>
      <c r="N25" s="1">
        <v>5409</v>
      </c>
      <c r="O25" s="1" t="s">
        <v>30</v>
      </c>
      <c r="P25" s="1" t="s">
        <v>31</v>
      </c>
      <c r="S25" s="1" t="s">
        <v>46</v>
      </c>
      <c r="T25" s="1" t="s">
        <v>56</v>
      </c>
    </row>
    <row r="26" spans="1:21" hidden="1" x14ac:dyDescent="0.25">
      <c r="A26" s="1">
        <v>2018</v>
      </c>
      <c r="B26" s="1">
        <v>4</v>
      </c>
      <c r="C26" s="1" t="s">
        <v>57</v>
      </c>
      <c r="D26" s="1" t="s">
        <v>22</v>
      </c>
      <c r="E26" s="1" t="s">
        <v>23</v>
      </c>
      <c r="F26" s="1" t="s">
        <v>24</v>
      </c>
      <c r="G26" s="1" t="s">
        <v>24</v>
      </c>
      <c r="I26" s="1" t="s">
        <v>25</v>
      </c>
      <c r="J26" s="1" t="s">
        <v>43</v>
      </c>
      <c r="K26" s="1" t="s">
        <v>33</v>
      </c>
      <c r="L26" s="1" t="s">
        <v>54</v>
      </c>
      <c r="M26" s="1" t="s">
        <v>55</v>
      </c>
      <c r="N26" s="1">
        <v>3991</v>
      </c>
      <c r="O26" s="1" t="s">
        <v>30</v>
      </c>
      <c r="P26" s="1" t="s">
        <v>31</v>
      </c>
      <c r="S26" s="1" t="s">
        <v>46</v>
      </c>
      <c r="T26" s="1" t="s">
        <v>56</v>
      </c>
    </row>
    <row r="27" spans="1:21" hidden="1" x14ac:dyDescent="0.25">
      <c r="A27" s="1">
        <v>2018</v>
      </c>
      <c r="B27" s="1">
        <v>4</v>
      </c>
      <c r="C27" s="1" t="s">
        <v>57</v>
      </c>
      <c r="D27" s="1" t="s">
        <v>22</v>
      </c>
      <c r="E27" s="1" t="s">
        <v>23</v>
      </c>
      <c r="F27" s="1" t="s">
        <v>32</v>
      </c>
      <c r="G27" s="1" t="s">
        <v>24</v>
      </c>
      <c r="H27" s="1" t="s">
        <v>32</v>
      </c>
      <c r="I27" s="1" t="s">
        <v>25</v>
      </c>
      <c r="J27" s="1" t="s">
        <v>43</v>
      </c>
      <c r="K27" s="1" t="s">
        <v>33</v>
      </c>
      <c r="L27" s="1" t="s">
        <v>54</v>
      </c>
      <c r="M27" s="1" t="s">
        <v>55</v>
      </c>
      <c r="N27" s="1">
        <v>11664</v>
      </c>
      <c r="O27" s="1" t="s">
        <v>30</v>
      </c>
      <c r="P27" s="1" t="s">
        <v>31</v>
      </c>
      <c r="S27" s="1" t="s">
        <v>46</v>
      </c>
      <c r="T27" s="1" t="s">
        <v>56</v>
      </c>
    </row>
    <row r="28" spans="1:21" hidden="1" x14ac:dyDescent="0.25">
      <c r="A28" s="1">
        <v>2018</v>
      </c>
      <c r="B28" s="1">
        <v>4</v>
      </c>
      <c r="C28" s="1" t="s">
        <v>57</v>
      </c>
      <c r="D28" s="1" t="s">
        <v>22</v>
      </c>
      <c r="E28" s="1" t="s">
        <v>23</v>
      </c>
      <c r="F28" s="1" t="s">
        <v>32</v>
      </c>
      <c r="G28" s="1" t="s">
        <v>24</v>
      </c>
      <c r="H28" s="1" t="s">
        <v>32</v>
      </c>
      <c r="I28" s="1" t="s">
        <v>25</v>
      </c>
      <c r="J28" s="1" t="s">
        <v>43</v>
      </c>
      <c r="K28" s="1" t="s">
        <v>33</v>
      </c>
      <c r="L28" s="1" t="s">
        <v>54</v>
      </c>
      <c r="M28" s="1" t="s">
        <v>55</v>
      </c>
      <c r="N28" s="1">
        <v>1467</v>
      </c>
      <c r="O28" s="1" t="s">
        <v>30</v>
      </c>
      <c r="P28" s="1" t="s">
        <v>31</v>
      </c>
      <c r="S28" s="1" t="s">
        <v>46</v>
      </c>
      <c r="T28" s="1" t="s">
        <v>62</v>
      </c>
    </row>
    <row r="29" spans="1:21" hidden="1" x14ac:dyDescent="0.25">
      <c r="A29" s="1">
        <v>2018</v>
      </c>
      <c r="B29" s="1">
        <v>4</v>
      </c>
      <c r="C29" s="1" t="s">
        <v>57</v>
      </c>
      <c r="D29" s="1" t="s">
        <v>22</v>
      </c>
      <c r="E29" s="1" t="s">
        <v>23</v>
      </c>
      <c r="F29" s="1" t="s">
        <v>32</v>
      </c>
      <c r="G29" s="1" t="s">
        <v>24</v>
      </c>
      <c r="H29" s="1" t="s">
        <v>32</v>
      </c>
      <c r="I29" s="1" t="s">
        <v>25</v>
      </c>
      <c r="J29" s="1" t="s">
        <v>26</v>
      </c>
      <c r="K29" s="1" t="s">
        <v>33</v>
      </c>
      <c r="L29" s="1" t="s">
        <v>37</v>
      </c>
      <c r="M29" s="1" t="s">
        <v>38</v>
      </c>
      <c r="N29" s="1">
        <v>106463</v>
      </c>
      <c r="O29" s="1" t="s">
        <v>30</v>
      </c>
      <c r="P29" s="1" t="s">
        <v>31</v>
      </c>
    </row>
    <row r="30" spans="1:21" hidden="1" x14ac:dyDescent="0.25">
      <c r="A30" s="1">
        <v>2018</v>
      </c>
      <c r="B30" s="1">
        <v>4</v>
      </c>
      <c r="C30" s="1" t="s">
        <v>57</v>
      </c>
      <c r="D30" s="1" t="s">
        <v>22</v>
      </c>
      <c r="E30" s="1" t="s">
        <v>23</v>
      </c>
      <c r="F30" s="1" t="s">
        <v>41</v>
      </c>
      <c r="G30" s="1" t="s">
        <v>24</v>
      </c>
      <c r="H30" s="1" t="s">
        <v>41</v>
      </c>
      <c r="I30" s="1" t="s">
        <v>25</v>
      </c>
      <c r="J30" s="1" t="s">
        <v>26</v>
      </c>
      <c r="K30" s="1" t="s">
        <v>27</v>
      </c>
      <c r="L30" s="1" t="s">
        <v>37</v>
      </c>
      <c r="M30" s="1" t="s">
        <v>38</v>
      </c>
      <c r="N30" s="1">
        <v>268081</v>
      </c>
      <c r="O30" s="1" t="s">
        <v>30</v>
      </c>
      <c r="P30" s="1" t="s">
        <v>31</v>
      </c>
    </row>
    <row r="31" spans="1:21" hidden="1" x14ac:dyDescent="0.25">
      <c r="A31" s="1">
        <v>2018</v>
      </c>
      <c r="B31" s="1">
        <v>4</v>
      </c>
      <c r="C31" s="1" t="s">
        <v>57</v>
      </c>
      <c r="D31" s="1" t="s">
        <v>22</v>
      </c>
      <c r="E31" s="1" t="s">
        <v>23</v>
      </c>
      <c r="F31" s="1" t="s">
        <v>34</v>
      </c>
      <c r="G31" s="1" t="s">
        <v>24</v>
      </c>
      <c r="H31" s="1" t="s">
        <v>34</v>
      </c>
      <c r="I31" s="1" t="s">
        <v>25</v>
      </c>
      <c r="J31" s="1" t="s">
        <v>26</v>
      </c>
      <c r="K31" s="1" t="s">
        <v>33</v>
      </c>
      <c r="L31" s="1" t="s">
        <v>37</v>
      </c>
      <c r="M31" s="1" t="s">
        <v>38</v>
      </c>
      <c r="N31" s="1">
        <v>135850</v>
      </c>
      <c r="O31" s="1" t="s">
        <v>30</v>
      </c>
      <c r="P31" s="1" t="s">
        <v>31</v>
      </c>
    </row>
    <row r="32" spans="1:21" hidden="1" x14ac:dyDescent="0.25">
      <c r="A32" s="1">
        <v>2018</v>
      </c>
      <c r="B32" s="1">
        <v>4</v>
      </c>
      <c r="C32" s="1" t="s">
        <v>57</v>
      </c>
      <c r="D32" s="1" t="s">
        <v>22</v>
      </c>
      <c r="E32" s="1" t="s">
        <v>23</v>
      </c>
      <c r="F32" s="1" t="s">
        <v>32</v>
      </c>
      <c r="G32" s="1" t="s">
        <v>24</v>
      </c>
      <c r="H32" s="1" t="s">
        <v>32</v>
      </c>
      <c r="I32" s="1" t="s">
        <v>35</v>
      </c>
      <c r="J32" s="1" t="s">
        <v>36</v>
      </c>
      <c r="K32" s="1" t="s">
        <v>33</v>
      </c>
      <c r="L32" s="1" t="s">
        <v>37</v>
      </c>
      <c r="M32" s="1" t="s">
        <v>38</v>
      </c>
      <c r="N32" s="1">
        <v>268081</v>
      </c>
      <c r="O32" s="1" t="s">
        <v>39</v>
      </c>
      <c r="P32" s="1" t="s">
        <v>40</v>
      </c>
      <c r="Q32" s="1">
        <v>1</v>
      </c>
      <c r="R32" s="1" t="s">
        <v>41</v>
      </c>
      <c r="U32" s="1">
        <v>268081</v>
      </c>
    </row>
    <row r="33" spans="1:21" hidden="1" x14ac:dyDescent="0.25">
      <c r="A33" s="1">
        <v>2018</v>
      </c>
      <c r="B33" s="1">
        <v>4</v>
      </c>
      <c r="C33" s="1" t="s">
        <v>57</v>
      </c>
      <c r="D33" s="1" t="s">
        <v>22</v>
      </c>
      <c r="E33" s="1" t="s">
        <v>23</v>
      </c>
      <c r="F33" s="1" t="s">
        <v>32</v>
      </c>
      <c r="G33" s="1" t="s">
        <v>24</v>
      </c>
      <c r="H33" s="1" t="s">
        <v>32</v>
      </c>
      <c r="I33" s="1" t="s">
        <v>35</v>
      </c>
      <c r="J33" s="1" t="s">
        <v>42</v>
      </c>
      <c r="K33" s="1" t="s">
        <v>33</v>
      </c>
      <c r="L33" s="1" t="s">
        <v>28</v>
      </c>
      <c r="M33" s="1" t="s">
        <v>29</v>
      </c>
      <c r="N33" s="1">
        <v>104000</v>
      </c>
      <c r="O33" s="1" t="s">
        <v>39</v>
      </c>
      <c r="P33" s="1" t="s">
        <v>40</v>
      </c>
      <c r="Q33" s="1">
        <v>0.8</v>
      </c>
      <c r="R33" s="1" t="s">
        <v>24</v>
      </c>
      <c r="U33" s="1">
        <v>130000</v>
      </c>
    </row>
    <row r="34" spans="1:21" hidden="1" x14ac:dyDescent="0.25">
      <c r="A34" s="1">
        <v>2018</v>
      </c>
      <c r="B34" s="1">
        <v>4</v>
      </c>
      <c r="C34" s="1" t="s">
        <v>57</v>
      </c>
      <c r="D34" s="1" t="s">
        <v>22</v>
      </c>
      <c r="E34" s="1" t="s">
        <v>23</v>
      </c>
      <c r="F34" s="1" t="s">
        <v>34</v>
      </c>
      <c r="G34" s="1" t="s">
        <v>24</v>
      </c>
      <c r="H34" s="1" t="s">
        <v>34</v>
      </c>
      <c r="I34" s="1" t="s">
        <v>35</v>
      </c>
      <c r="J34" s="1" t="s">
        <v>42</v>
      </c>
      <c r="K34" s="1" t="s">
        <v>33</v>
      </c>
      <c r="L34" s="1" t="s">
        <v>28</v>
      </c>
      <c r="M34" s="1" t="s">
        <v>29</v>
      </c>
      <c r="N34" s="1">
        <v>26000</v>
      </c>
      <c r="O34" s="1" t="s">
        <v>39</v>
      </c>
      <c r="P34" s="1" t="s">
        <v>40</v>
      </c>
      <c r="Q34" s="1">
        <v>0.2</v>
      </c>
      <c r="R34" s="1" t="s">
        <v>24</v>
      </c>
      <c r="U34" s="1">
        <v>130000</v>
      </c>
    </row>
    <row r="35" spans="1:21" hidden="1" x14ac:dyDescent="0.25">
      <c r="A35" s="1">
        <v>2018</v>
      </c>
      <c r="B35" s="1">
        <v>4</v>
      </c>
      <c r="C35" s="1" t="s">
        <v>57</v>
      </c>
      <c r="D35" s="1" t="s">
        <v>22</v>
      </c>
      <c r="E35" s="1" t="s">
        <v>23</v>
      </c>
      <c r="F35" s="1" t="s">
        <v>24</v>
      </c>
      <c r="G35" s="1" t="s">
        <v>24</v>
      </c>
      <c r="I35" s="1" t="s">
        <v>25</v>
      </c>
      <c r="J35" s="1" t="s">
        <v>26</v>
      </c>
      <c r="K35" s="1" t="s">
        <v>27</v>
      </c>
      <c r="L35" s="1" t="s">
        <v>28</v>
      </c>
      <c r="M35" s="1" t="s">
        <v>29</v>
      </c>
      <c r="N35" s="1">
        <v>130000</v>
      </c>
      <c r="O35" s="1" t="s">
        <v>30</v>
      </c>
      <c r="P35" s="1" t="s">
        <v>31</v>
      </c>
    </row>
    <row r="36" spans="1:21" hidden="1" x14ac:dyDescent="0.25">
      <c r="A36" s="1">
        <v>2018</v>
      </c>
      <c r="B36" s="1">
        <v>4</v>
      </c>
      <c r="C36" s="1" t="s">
        <v>57</v>
      </c>
      <c r="D36" s="1" t="s">
        <v>22</v>
      </c>
      <c r="E36" s="1" t="s">
        <v>23</v>
      </c>
      <c r="F36" s="1" t="s">
        <v>32</v>
      </c>
      <c r="G36" s="1" t="s">
        <v>24</v>
      </c>
      <c r="H36" s="1" t="s">
        <v>32</v>
      </c>
      <c r="I36" s="1" t="s">
        <v>25</v>
      </c>
      <c r="J36" s="1" t="s">
        <v>26</v>
      </c>
      <c r="K36" s="1" t="s">
        <v>33</v>
      </c>
      <c r="L36" s="1" t="s">
        <v>28</v>
      </c>
      <c r="M36" s="1" t="s">
        <v>29</v>
      </c>
      <c r="N36" s="1">
        <v>171828</v>
      </c>
      <c r="O36" s="1" t="s">
        <v>30</v>
      </c>
      <c r="P36" s="1" t="s">
        <v>31</v>
      </c>
    </row>
    <row r="37" spans="1:21" hidden="1" x14ac:dyDescent="0.25">
      <c r="A37" s="1">
        <v>2018</v>
      </c>
      <c r="B37" s="1">
        <v>4</v>
      </c>
      <c r="C37" s="1" t="s">
        <v>57</v>
      </c>
      <c r="D37" s="1" t="s">
        <v>22</v>
      </c>
      <c r="E37" s="1" t="s">
        <v>23</v>
      </c>
      <c r="F37" s="1" t="s">
        <v>34</v>
      </c>
      <c r="G37" s="1" t="s">
        <v>24</v>
      </c>
      <c r="H37" s="1" t="s">
        <v>34</v>
      </c>
      <c r="I37" s="1" t="s">
        <v>25</v>
      </c>
      <c r="J37" s="1" t="s">
        <v>26</v>
      </c>
      <c r="K37" s="1" t="s">
        <v>33</v>
      </c>
      <c r="L37" s="1" t="s">
        <v>28</v>
      </c>
      <c r="M37" s="1" t="s">
        <v>29</v>
      </c>
      <c r="N37" s="1">
        <v>39822</v>
      </c>
      <c r="O37" s="1" t="s">
        <v>30</v>
      </c>
      <c r="P37" s="1" t="s">
        <v>31</v>
      </c>
    </row>
    <row r="38" spans="1:21" x14ac:dyDescent="0.25">
      <c r="A38" s="1">
        <v>2018</v>
      </c>
      <c r="B38" s="1">
        <v>5</v>
      </c>
      <c r="C38" s="1" t="s">
        <v>63</v>
      </c>
      <c r="D38" s="1" t="s">
        <v>22</v>
      </c>
      <c r="E38" s="1" t="s">
        <v>23</v>
      </c>
      <c r="F38" s="1" t="s">
        <v>24</v>
      </c>
      <c r="G38" s="1" t="s">
        <v>24</v>
      </c>
      <c r="I38" s="1" t="s">
        <v>25</v>
      </c>
      <c r="J38" s="1" t="s">
        <v>26</v>
      </c>
      <c r="K38" s="1" t="s">
        <v>27</v>
      </c>
      <c r="L38" s="1" t="s">
        <v>28</v>
      </c>
      <c r="M38" s="1" t="s">
        <v>29</v>
      </c>
      <c r="N38" s="1">
        <v>130000</v>
      </c>
      <c r="O38" s="1" t="s">
        <v>30</v>
      </c>
      <c r="P38" s="1" t="s">
        <v>31</v>
      </c>
    </row>
    <row r="39" spans="1:21" s="96" customFormat="1" x14ac:dyDescent="0.25">
      <c r="A39" s="96">
        <v>2018</v>
      </c>
      <c r="B39" s="96">
        <v>5</v>
      </c>
      <c r="C39" s="96" t="s">
        <v>63</v>
      </c>
      <c r="D39" s="96" t="s">
        <v>22</v>
      </c>
      <c r="E39" s="96" t="s">
        <v>23</v>
      </c>
      <c r="F39" s="96" t="s">
        <v>32</v>
      </c>
      <c r="G39" s="96" t="s">
        <v>24</v>
      </c>
      <c r="H39" s="96" t="s">
        <v>32</v>
      </c>
      <c r="I39" s="96" t="s">
        <v>25</v>
      </c>
      <c r="J39" s="96" t="s">
        <v>26</v>
      </c>
      <c r="K39" s="96" t="s">
        <v>33</v>
      </c>
      <c r="L39" s="96" t="s">
        <v>28</v>
      </c>
      <c r="M39" s="96" t="s">
        <v>29</v>
      </c>
      <c r="N39" s="96">
        <v>86278</v>
      </c>
      <c r="O39" s="96" t="s">
        <v>30</v>
      </c>
      <c r="P39" s="96" t="s">
        <v>31</v>
      </c>
    </row>
    <row r="40" spans="1:21" x14ac:dyDescent="0.25">
      <c r="A40" s="1">
        <v>2018</v>
      </c>
      <c r="B40" s="1">
        <v>5</v>
      </c>
      <c r="C40" s="1" t="s">
        <v>63</v>
      </c>
      <c r="D40" s="1" t="s">
        <v>22</v>
      </c>
      <c r="E40" s="1" t="s">
        <v>23</v>
      </c>
      <c r="F40" s="1" t="s">
        <v>34</v>
      </c>
      <c r="G40" s="1" t="s">
        <v>24</v>
      </c>
      <c r="H40" s="1" t="s">
        <v>34</v>
      </c>
      <c r="I40" s="1" t="s">
        <v>35</v>
      </c>
      <c r="J40" s="1" t="s">
        <v>42</v>
      </c>
      <c r="K40" s="1" t="s">
        <v>33</v>
      </c>
      <c r="L40" s="1" t="s">
        <v>28</v>
      </c>
      <c r="M40" s="1" t="s">
        <v>29</v>
      </c>
      <c r="N40" s="1">
        <v>26000</v>
      </c>
      <c r="O40" s="1" t="s">
        <v>39</v>
      </c>
      <c r="P40" s="1" t="s">
        <v>40</v>
      </c>
      <c r="Q40" s="1">
        <v>0.2</v>
      </c>
      <c r="R40" s="1" t="s">
        <v>24</v>
      </c>
      <c r="U40" s="1">
        <v>130000</v>
      </c>
    </row>
    <row r="41" spans="1:21" s="96" customFormat="1" x14ac:dyDescent="0.25">
      <c r="A41" s="96">
        <v>2018</v>
      </c>
      <c r="B41" s="96">
        <v>5</v>
      </c>
      <c r="C41" s="96" t="s">
        <v>63</v>
      </c>
      <c r="D41" s="96" t="s">
        <v>22</v>
      </c>
      <c r="E41" s="96" t="s">
        <v>23</v>
      </c>
      <c r="F41" s="96" t="s">
        <v>32</v>
      </c>
      <c r="G41" s="96" t="s">
        <v>24</v>
      </c>
      <c r="H41" s="96" t="s">
        <v>32</v>
      </c>
      <c r="I41" s="96" t="s">
        <v>35</v>
      </c>
      <c r="J41" s="96" t="s">
        <v>42</v>
      </c>
      <c r="K41" s="96" t="s">
        <v>33</v>
      </c>
      <c r="L41" s="96" t="s">
        <v>28</v>
      </c>
      <c r="M41" s="96" t="s">
        <v>29</v>
      </c>
      <c r="N41" s="96">
        <v>104000</v>
      </c>
      <c r="O41" s="96" t="s">
        <v>39</v>
      </c>
      <c r="P41" s="96" t="s">
        <v>40</v>
      </c>
      <c r="Q41" s="96">
        <v>0.8</v>
      </c>
      <c r="R41" s="96" t="s">
        <v>24</v>
      </c>
      <c r="U41" s="96">
        <v>130000</v>
      </c>
    </row>
    <row r="42" spans="1:21" s="96" customFormat="1" x14ac:dyDescent="0.25">
      <c r="A42" s="96">
        <v>2018</v>
      </c>
      <c r="B42" s="96">
        <v>5</v>
      </c>
      <c r="C42" s="96" t="s">
        <v>63</v>
      </c>
      <c r="D42" s="96" t="s">
        <v>22</v>
      </c>
      <c r="E42" s="96" t="s">
        <v>23</v>
      </c>
      <c r="F42" s="96" t="s">
        <v>32</v>
      </c>
      <c r="G42" s="96" t="s">
        <v>24</v>
      </c>
      <c r="H42" s="96" t="s">
        <v>32</v>
      </c>
      <c r="I42" s="96" t="s">
        <v>35</v>
      </c>
      <c r="J42" s="96" t="s">
        <v>36</v>
      </c>
      <c r="K42" s="96" t="s">
        <v>33</v>
      </c>
      <c r="L42" s="96" t="s">
        <v>37</v>
      </c>
      <c r="M42" s="96" t="s">
        <v>38</v>
      </c>
      <c r="N42" s="96">
        <v>239124</v>
      </c>
      <c r="O42" s="96" t="s">
        <v>39</v>
      </c>
      <c r="P42" s="96" t="s">
        <v>40</v>
      </c>
      <c r="Q42" s="96">
        <v>1</v>
      </c>
      <c r="R42" s="96" t="s">
        <v>41</v>
      </c>
      <c r="U42" s="96">
        <v>239124</v>
      </c>
    </row>
    <row r="43" spans="1:21" s="96" customFormat="1" x14ac:dyDescent="0.25">
      <c r="A43" s="96">
        <v>2018</v>
      </c>
      <c r="B43" s="96">
        <v>5</v>
      </c>
      <c r="C43" s="96" t="s">
        <v>63</v>
      </c>
      <c r="D43" s="96" t="s">
        <v>22</v>
      </c>
      <c r="E43" s="96" t="s">
        <v>23</v>
      </c>
      <c r="F43" s="96" t="s">
        <v>32</v>
      </c>
      <c r="G43" s="96" t="s">
        <v>24</v>
      </c>
      <c r="H43" s="96" t="s">
        <v>32</v>
      </c>
      <c r="I43" s="96" t="s">
        <v>25</v>
      </c>
      <c r="J43" s="96" t="s">
        <v>26</v>
      </c>
      <c r="K43" s="96" t="s">
        <v>33</v>
      </c>
      <c r="L43" s="96" t="s">
        <v>37</v>
      </c>
      <c r="M43" s="96" t="s">
        <v>38</v>
      </c>
      <c r="N43" s="96">
        <v>95428</v>
      </c>
      <c r="O43" s="96" t="s">
        <v>30</v>
      </c>
      <c r="P43" s="96" t="s">
        <v>31</v>
      </c>
    </row>
    <row r="44" spans="1:21" x14ac:dyDescent="0.25">
      <c r="A44" s="1">
        <v>2018</v>
      </c>
      <c r="B44" s="1">
        <v>5</v>
      </c>
      <c r="C44" s="1" t="s">
        <v>63</v>
      </c>
      <c r="D44" s="1" t="s">
        <v>22</v>
      </c>
      <c r="E44" s="1" t="s">
        <v>23</v>
      </c>
      <c r="F44" s="1" t="s">
        <v>41</v>
      </c>
      <c r="G44" s="1" t="s">
        <v>24</v>
      </c>
      <c r="H44" s="1" t="s">
        <v>41</v>
      </c>
      <c r="I44" s="1" t="s">
        <v>25</v>
      </c>
      <c r="J44" s="1" t="s">
        <v>26</v>
      </c>
      <c r="K44" s="1" t="s">
        <v>27</v>
      </c>
      <c r="L44" s="1" t="s">
        <v>37</v>
      </c>
      <c r="M44" s="1" t="s">
        <v>38</v>
      </c>
      <c r="N44" s="1">
        <v>239124</v>
      </c>
      <c r="O44" s="1" t="s">
        <v>30</v>
      </c>
      <c r="P44" s="1" t="s">
        <v>31</v>
      </c>
    </row>
    <row r="45" spans="1:21" x14ac:dyDescent="0.25">
      <c r="A45" s="1">
        <v>2018</v>
      </c>
      <c r="B45" s="1">
        <v>5</v>
      </c>
      <c r="C45" s="1" t="s">
        <v>63</v>
      </c>
      <c r="D45" s="1" t="s">
        <v>22</v>
      </c>
      <c r="E45" s="1" t="s">
        <v>23</v>
      </c>
      <c r="F45" s="1" t="s">
        <v>34</v>
      </c>
      <c r="G45" s="1" t="s">
        <v>24</v>
      </c>
      <c r="H45" s="1" t="s">
        <v>34</v>
      </c>
      <c r="I45" s="1" t="s">
        <v>25</v>
      </c>
      <c r="J45" s="1" t="s">
        <v>26</v>
      </c>
      <c r="K45" s="1" t="s">
        <v>33</v>
      </c>
      <c r="L45" s="1" t="s">
        <v>37</v>
      </c>
      <c r="M45" s="1" t="s">
        <v>38</v>
      </c>
      <c r="N45" s="1">
        <v>136807</v>
      </c>
      <c r="O45" s="1" t="s">
        <v>30</v>
      </c>
      <c r="P45" s="1" t="s">
        <v>31</v>
      </c>
    </row>
    <row r="46" spans="1:21" s="96" customFormat="1" x14ac:dyDescent="0.25">
      <c r="A46" s="96">
        <v>2018</v>
      </c>
      <c r="B46" s="96">
        <v>5</v>
      </c>
      <c r="C46" s="96" t="s">
        <v>63</v>
      </c>
      <c r="D46" s="96" t="s">
        <v>22</v>
      </c>
      <c r="E46" s="96" t="s">
        <v>23</v>
      </c>
      <c r="F46" s="96" t="s">
        <v>32</v>
      </c>
      <c r="G46" s="96" t="s">
        <v>24</v>
      </c>
      <c r="H46" s="96" t="s">
        <v>32</v>
      </c>
      <c r="I46" s="96" t="s">
        <v>25</v>
      </c>
      <c r="J46" s="96" t="s">
        <v>43</v>
      </c>
      <c r="K46" s="96" t="s">
        <v>33</v>
      </c>
      <c r="L46" s="96" t="s">
        <v>54</v>
      </c>
      <c r="M46" s="96" t="s">
        <v>55</v>
      </c>
      <c r="N46" s="96">
        <v>4000</v>
      </c>
      <c r="O46" s="96" t="s">
        <v>30</v>
      </c>
      <c r="P46" s="96" t="s">
        <v>31</v>
      </c>
      <c r="S46" s="96" t="s">
        <v>46</v>
      </c>
      <c r="T46" s="96" t="s">
        <v>58</v>
      </c>
    </row>
    <row r="47" spans="1:21" s="96" customFormat="1" x14ac:dyDescent="0.25">
      <c r="A47" s="96">
        <v>2018</v>
      </c>
      <c r="B47" s="96">
        <v>5</v>
      </c>
      <c r="C47" s="96" t="s">
        <v>63</v>
      </c>
      <c r="D47" s="96" t="s">
        <v>22</v>
      </c>
      <c r="E47" s="96" t="s">
        <v>23</v>
      </c>
      <c r="F47" s="96" t="s">
        <v>32</v>
      </c>
      <c r="G47" s="96" t="s">
        <v>24</v>
      </c>
      <c r="H47" s="96" t="s">
        <v>32</v>
      </c>
      <c r="I47" s="96" t="s">
        <v>25</v>
      </c>
      <c r="J47" s="96" t="s">
        <v>43</v>
      </c>
      <c r="K47" s="96" t="s">
        <v>33</v>
      </c>
      <c r="L47" s="96" t="s">
        <v>48</v>
      </c>
      <c r="M47" s="96" t="s">
        <v>49</v>
      </c>
      <c r="N47" s="96">
        <v>4408</v>
      </c>
      <c r="O47" s="96" t="s">
        <v>30</v>
      </c>
      <c r="P47" s="96" t="s">
        <v>31</v>
      </c>
      <c r="S47" s="96" t="s">
        <v>46</v>
      </c>
      <c r="T47" s="96" t="s">
        <v>47</v>
      </c>
    </row>
    <row r="48" spans="1:21" s="96" customFormat="1" x14ac:dyDescent="0.25">
      <c r="A48" s="96">
        <v>2018</v>
      </c>
      <c r="B48" s="96">
        <v>5</v>
      </c>
      <c r="C48" s="96" t="s">
        <v>63</v>
      </c>
      <c r="D48" s="96" t="s">
        <v>22</v>
      </c>
      <c r="E48" s="96" t="s">
        <v>23</v>
      </c>
      <c r="F48" s="96" t="s">
        <v>32</v>
      </c>
      <c r="G48" s="96" t="s">
        <v>24</v>
      </c>
      <c r="H48" s="96" t="s">
        <v>32</v>
      </c>
      <c r="I48" s="96" t="s">
        <v>25</v>
      </c>
      <c r="J48" s="96" t="s">
        <v>43</v>
      </c>
      <c r="K48" s="96" t="s">
        <v>33</v>
      </c>
      <c r="L48" s="96" t="s">
        <v>48</v>
      </c>
      <c r="M48" s="96" t="s">
        <v>49</v>
      </c>
      <c r="N48" s="96">
        <v>2828</v>
      </c>
      <c r="O48" s="96" t="s">
        <v>30</v>
      </c>
      <c r="P48" s="96" t="s">
        <v>31</v>
      </c>
      <c r="S48" s="96" t="s">
        <v>46</v>
      </c>
      <c r="T48" s="96" t="s">
        <v>50</v>
      </c>
    </row>
    <row r="49" spans="1:20" s="96" customFormat="1" x14ac:dyDescent="0.25">
      <c r="A49" s="96">
        <v>2018</v>
      </c>
      <c r="B49" s="96">
        <v>5</v>
      </c>
      <c r="C49" s="96" t="s">
        <v>63</v>
      </c>
      <c r="D49" s="96" t="s">
        <v>22</v>
      </c>
      <c r="E49" s="96" t="s">
        <v>23</v>
      </c>
      <c r="F49" s="96" t="s">
        <v>32</v>
      </c>
      <c r="G49" s="96" t="s">
        <v>24</v>
      </c>
      <c r="H49" s="96" t="s">
        <v>32</v>
      </c>
      <c r="I49" s="96" t="s">
        <v>25</v>
      </c>
      <c r="J49" s="96" t="s">
        <v>43</v>
      </c>
      <c r="K49" s="96" t="s">
        <v>33</v>
      </c>
      <c r="L49" s="96" t="s">
        <v>54</v>
      </c>
      <c r="M49" s="96" t="s">
        <v>55</v>
      </c>
      <c r="N49" s="96">
        <v>1500</v>
      </c>
      <c r="O49" s="96" t="s">
        <v>30</v>
      </c>
      <c r="P49" s="96" t="s">
        <v>31</v>
      </c>
      <c r="S49" s="96" t="s">
        <v>46</v>
      </c>
      <c r="T49" s="96" t="s">
        <v>64</v>
      </c>
    </row>
    <row r="50" spans="1:20" s="96" customFormat="1" x14ac:dyDescent="0.25">
      <c r="A50" s="96">
        <v>2018</v>
      </c>
      <c r="B50" s="96">
        <v>5</v>
      </c>
      <c r="C50" s="96" t="s">
        <v>63</v>
      </c>
      <c r="D50" s="96" t="s">
        <v>22</v>
      </c>
      <c r="E50" s="96" t="s">
        <v>23</v>
      </c>
      <c r="F50" s="96" t="s">
        <v>32</v>
      </c>
      <c r="G50" s="96" t="s">
        <v>24</v>
      </c>
      <c r="H50" s="96" t="s">
        <v>32</v>
      </c>
      <c r="I50" s="96" t="s">
        <v>25</v>
      </c>
      <c r="J50" s="96" t="s">
        <v>43</v>
      </c>
      <c r="K50" s="96" t="s">
        <v>33</v>
      </c>
      <c r="L50" s="96" t="s">
        <v>54</v>
      </c>
      <c r="M50" s="96" t="s">
        <v>55</v>
      </c>
      <c r="N50" s="96">
        <v>7974</v>
      </c>
      <c r="O50" s="96" t="s">
        <v>30</v>
      </c>
      <c r="P50" s="96" t="s">
        <v>31</v>
      </c>
      <c r="S50" s="96" t="s">
        <v>46</v>
      </c>
      <c r="T50" s="96" t="s">
        <v>56</v>
      </c>
    </row>
    <row r="51" spans="1:20" x14ac:dyDescent="0.25">
      <c r="A51" s="1">
        <v>2018</v>
      </c>
      <c r="B51" s="1">
        <v>5</v>
      </c>
      <c r="C51" s="1" t="s">
        <v>63</v>
      </c>
      <c r="D51" s="1" t="s">
        <v>22</v>
      </c>
      <c r="E51" s="1" t="s">
        <v>23</v>
      </c>
      <c r="F51" s="1" t="s">
        <v>24</v>
      </c>
      <c r="G51" s="1" t="s">
        <v>24</v>
      </c>
      <c r="I51" s="1" t="s">
        <v>25</v>
      </c>
      <c r="J51" s="1" t="s">
        <v>43</v>
      </c>
      <c r="K51" s="1" t="s">
        <v>33</v>
      </c>
      <c r="L51" s="1" t="s">
        <v>54</v>
      </c>
      <c r="M51" s="1" t="s">
        <v>55</v>
      </c>
      <c r="N51" s="1">
        <v>366</v>
      </c>
      <c r="O51" s="1" t="s">
        <v>30</v>
      </c>
      <c r="P51" s="1" t="s">
        <v>31</v>
      </c>
      <c r="S51" s="1" t="s">
        <v>46</v>
      </c>
      <c r="T51" s="1" t="s">
        <v>56</v>
      </c>
    </row>
    <row r="52" spans="1:20" x14ac:dyDescent="0.25">
      <c r="A52" s="1">
        <v>2018</v>
      </c>
      <c r="B52" s="1">
        <v>5</v>
      </c>
      <c r="C52" s="1" t="s">
        <v>63</v>
      </c>
      <c r="D52" s="1" t="s">
        <v>22</v>
      </c>
      <c r="E52" s="1" t="s">
        <v>23</v>
      </c>
      <c r="F52" s="1" t="s">
        <v>34</v>
      </c>
      <c r="G52" s="1" t="s">
        <v>24</v>
      </c>
      <c r="H52" s="1" t="s">
        <v>34</v>
      </c>
      <c r="I52" s="1" t="s">
        <v>25</v>
      </c>
      <c r="J52" s="1" t="s">
        <v>43</v>
      </c>
      <c r="K52" s="1" t="s">
        <v>33</v>
      </c>
      <c r="L52" s="1" t="s">
        <v>54</v>
      </c>
      <c r="M52" s="1" t="s">
        <v>55</v>
      </c>
      <c r="N52" s="1">
        <v>18177</v>
      </c>
      <c r="O52" s="1" t="s">
        <v>30</v>
      </c>
      <c r="P52" s="1" t="s">
        <v>31</v>
      </c>
      <c r="S52" s="1" t="s">
        <v>46</v>
      </c>
      <c r="T52" s="1" t="s">
        <v>56</v>
      </c>
    </row>
    <row r="53" spans="1:20" x14ac:dyDescent="0.25">
      <c r="A53" s="1">
        <v>2018</v>
      </c>
      <c r="B53" s="1">
        <v>5</v>
      </c>
      <c r="C53" s="1" t="s">
        <v>63</v>
      </c>
      <c r="D53" s="1" t="s">
        <v>22</v>
      </c>
      <c r="E53" s="1" t="s">
        <v>23</v>
      </c>
      <c r="F53" s="1" t="s">
        <v>24</v>
      </c>
      <c r="G53" s="1" t="s">
        <v>24</v>
      </c>
      <c r="I53" s="1" t="s">
        <v>25</v>
      </c>
      <c r="J53" s="1" t="s">
        <v>43</v>
      </c>
      <c r="K53" s="1" t="s">
        <v>33</v>
      </c>
      <c r="L53" s="1" t="s">
        <v>54</v>
      </c>
      <c r="M53" s="1" t="s">
        <v>55</v>
      </c>
      <c r="N53" s="1">
        <v>1541</v>
      </c>
      <c r="O53" s="1" t="s">
        <v>30</v>
      </c>
      <c r="P53" s="1" t="s">
        <v>31</v>
      </c>
      <c r="S53" s="1" t="s">
        <v>46</v>
      </c>
      <c r="T53" s="1" t="s">
        <v>65</v>
      </c>
    </row>
    <row r="54" spans="1:20" x14ac:dyDescent="0.25">
      <c r="A54" s="1">
        <v>2018</v>
      </c>
      <c r="B54" s="1">
        <v>5</v>
      </c>
      <c r="C54" s="1" t="s">
        <v>63</v>
      </c>
      <c r="D54" s="1" t="s">
        <v>22</v>
      </c>
      <c r="E54" s="1" t="s">
        <v>23</v>
      </c>
      <c r="F54" s="1" t="s">
        <v>24</v>
      </c>
      <c r="G54" s="1" t="s">
        <v>24</v>
      </c>
      <c r="I54" s="1" t="s">
        <v>25</v>
      </c>
      <c r="J54" s="1" t="s">
        <v>43</v>
      </c>
      <c r="K54" s="1" t="s">
        <v>33</v>
      </c>
      <c r="L54" s="1" t="s">
        <v>54</v>
      </c>
      <c r="M54" s="1" t="s">
        <v>55</v>
      </c>
      <c r="N54" s="1">
        <v>599</v>
      </c>
      <c r="O54" s="1" t="s">
        <v>30</v>
      </c>
      <c r="P54" s="1" t="s">
        <v>31</v>
      </c>
      <c r="S54" s="1" t="s">
        <v>46</v>
      </c>
      <c r="T54" s="1" t="s">
        <v>65</v>
      </c>
    </row>
  </sheetData>
  <autoFilter ref="A1:U54" xr:uid="{03825E7E-3B2B-48C5-AC2C-71219D189877}">
    <filterColumn colId="1">
      <filters>
        <filter val="5"/>
      </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0"/>
  <sheetViews>
    <sheetView workbookViewId="0">
      <selection activeCell="I7" sqref="I7"/>
    </sheetView>
  </sheetViews>
  <sheetFormatPr defaultRowHeight="12.75" x14ac:dyDescent="0.2"/>
  <cols>
    <col min="1" max="1" width="22.7109375" customWidth="1"/>
    <col min="2" max="2" width="24.5703125" bestFit="1" customWidth="1"/>
    <col min="3" max="5" width="9.42578125" bestFit="1" customWidth="1"/>
    <col min="6" max="6" width="11.28515625" bestFit="1" customWidth="1"/>
  </cols>
  <sheetData>
    <row r="1" spans="1:6" x14ac:dyDescent="0.2">
      <c r="A1" s="75" t="s">
        <v>10</v>
      </c>
      <c r="B1" s="76" t="s">
        <v>33</v>
      </c>
    </row>
    <row r="3" spans="1:6" x14ac:dyDescent="0.2">
      <c r="A3" s="45" t="s">
        <v>967</v>
      </c>
      <c r="B3" s="46"/>
      <c r="C3" s="45" t="s">
        <v>1</v>
      </c>
      <c r="D3" s="46"/>
      <c r="E3" s="46"/>
      <c r="F3" s="47"/>
    </row>
    <row r="4" spans="1:6" x14ac:dyDescent="0.2">
      <c r="A4" s="45" t="s">
        <v>5</v>
      </c>
      <c r="B4" s="45" t="s">
        <v>8</v>
      </c>
      <c r="C4" s="44">
        <v>3</v>
      </c>
      <c r="D4" s="50">
        <v>4</v>
      </c>
      <c r="E4" s="50">
        <v>5</v>
      </c>
      <c r="F4" s="49" t="s">
        <v>992</v>
      </c>
    </row>
    <row r="5" spans="1:6" x14ac:dyDescent="0.2">
      <c r="A5" s="44" t="s">
        <v>24</v>
      </c>
      <c r="B5" s="44" t="s">
        <v>25</v>
      </c>
      <c r="C5" s="66">
        <v>3092</v>
      </c>
      <c r="D5" s="67">
        <v>3991</v>
      </c>
      <c r="E5" s="67">
        <v>2506</v>
      </c>
      <c r="F5" s="85">
        <v>9589</v>
      </c>
    </row>
    <row r="6" spans="1:6" x14ac:dyDescent="0.2">
      <c r="A6" s="44" t="s">
        <v>32</v>
      </c>
      <c r="B6" s="44" t="s">
        <v>35</v>
      </c>
      <c r="C6" s="66">
        <v>322161</v>
      </c>
      <c r="D6" s="67">
        <v>372081</v>
      </c>
      <c r="E6" s="67">
        <v>343124</v>
      </c>
      <c r="F6" s="85">
        <v>1037366</v>
      </c>
    </row>
    <row r="7" spans="1:6" x14ac:dyDescent="0.2">
      <c r="A7" s="48"/>
      <c r="B7" s="86" t="s">
        <v>25</v>
      </c>
      <c r="C7" s="87">
        <v>145941</v>
      </c>
      <c r="D7" s="28">
        <v>296422</v>
      </c>
      <c r="E7" s="28">
        <v>202416</v>
      </c>
      <c r="F7" s="88">
        <v>644779</v>
      </c>
    </row>
    <row r="8" spans="1:6" x14ac:dyDescent="0.2">
      <c r="A8" s="44" t="s">
        <v>34</v>
      </c>
      <c r="B8" s="44" t="s">
        <v>35</v>
      </c>
      <c r="C8" s="66">
        <v>26000</v>
      </c>
      <c r="D8" s="67">
        <v>26000</v>
      </c>
      <c r="E8" s="67">
        <v>26000</v>
      </c>
      <c r="F8" s="85">
        <v>78000</v>
      </c>
    </row>
    <row r="9" spans="1:6" x14ac:dyDescent="0.2">
      <c r="A9" s="48"/>
      <c r="B9" s="86" t="s">
        <v>25</v>
      </c>
      <c r="C9" s="87">
        <v>216143</v>
      </c>
      <c r="D9" s="28">
        <v>186716</v>
      </c>
      <c r="E9" s="28">
        <v>154984</v>
      </c>
      <c r="F9" s="88">
        <v>557843</v>
      </c>
    </row>
    <row r="10" spans="1:6" x14ac:dyDescent="0.2">
      <c r="A10" s="89" t="s">
        <v>992</v>
      </c>
      <c r="B10" s="90"/>
      <c r="C10" s="72">
        <v>713337</v>
      </c>
      <c r="D10" s="73">
        <v>885210</v>
      </c>
      <c r="E10" s="73">
        <v>729030</v>
      </c>
      <c r="F10" s="91">
        <v>2327577</v>
      </c>
    </row>
  </sheetData>
  <phoneticPr fontId="1" type="noConversion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A798-014E-4C68-B9A1-E531BC71A092}">
  <sheetPr>
    <tabColor rgb="FFFFFF00"/>
  </sheetPr>
  <dimension ref="A1:I17"/>
  <sheetViews>
    <sheetView workbookViewId="0">
      <selection activeCell="K16" sqref="K16"/>
    </sheetView>
  </sheetViews>
  <sheetFormatPr defaultRowHeight="12.75" x14ac:dyDescent="0.2"/>
  <cols>
    <col min="1" max="1" width="22.7109375" customWidth="1"/>
    <col min="2" max="2" width="24.5703125" bestFit="1" customWidth="1"/>
    <col min="3" max="3" width="14" bestFit="1" customWidth="1"/>
    <col min="4" max="6" width="9.42578125" bestFit="1" customWidth="1"/>
    <col min="7" max="7" width="11.28515625" bestFit="1" customWidth="1"/>
    <col min="8" max="15" width="14" bestFit="1" customWidth="1"/>
    <col min="16" max="16" width="11.28515625" bestFit="1" customWidth="1"/>
  </cols>
  <sheetData>
    <row r="1" spans="1:9" x14ac:dyDescent="0.2">
      <c r="A1" s="75" t="s">
        <v>10</v>
      </c>
      <c r="B1" s="76" t="s">
        <v>33</v>
      </c>
    </row>
    <row r="3" spans="1:9" x14ac:dyDescent="0.2">
      <c r="A3" s="45" t="s">
        <v>967</v>
      </c>
      <c r="B3" s="46"/>
      <c r="C3" s="46"/>
      <c r="D3" s="45" t="s">
        <v>1</v>
      </c>
      <c r="E3" s="46"/>
      <c r="F3" s="46"/>
      <c r="G3" s="47"/>
      <c r="I3" s="95"/>
    </row>
    <row r="4" spans="1:9" x14ac:dyDescent="0.2">
      <c r="A4" s="45" t="s">
        <v>5</v>
      </c>
      <c r="B4" s="45" t="s">
        <v>8</v>
      </c>
      <c r="C4" s="45" t="s">
        <v>12</v>
      </c>
      <c r="D4" s="44">
        <v>3</v>
      </c>
      <c r="E4" s="50">
        <v>4</v>
      </c>
      <c r="F4" s="50">
        <v>5</v>
      </c>
      <c r="G4" s="49" t="s">
        <v>992</v>
      </c>
    </row>
    <row r="5" spans="1:9" x14ac:dyDescent="0.2">
      <c r="A5" s="44" t="s">
        <v>24</v>
      </c>
      <c r="B5" s="44" t="s">
        <v>25</v>
      </c>
      <c r="C5" s="44" t="s">
        <v>55</v>
      </c>
      <c r="D5" s="66">
        <v>3092</v>
      </c>
      <c r="E5" s="67">
        <v>3991</v>
      </c>
      <c r="F5" s="67">
        <v>2506</v>
      </c>
      <c r="G5" s="85">
        <v>9589</v>
      </c>
    </row>
    <row r="6" spans="1:9" x14ac:dyDescent="0.2">
      <c r="A6" s="44" t="s">
        <v>32</v>
      </c>
      <c r="B6" s="97" t="s">
        <v>35</v>
      </c>
      <c r="C6" s="46"/>
      <c r="D6" s="98">
        <v>322161</v>
      </c>
      <c r="E6" s="99">
        <v>372081</v>
      </c>
      <c r="F6" s="99">
        <v>343124</v>
      </c>
      <c r="G6" s="100">
        <v>1037366</v>
      </c>
    </row>
    <row r="7" spans="1:9" x14ac:dyDescent="0.2">
      <c r="A7" s="48"/>
      <c r="B7" s="44" t="s">
        <v>25</v>
      </c>
      <c r="C7" s="44" t="s">
        <v>45</v>
      </c>
      <c r="D7" s="66">
        <v>300</v>
      </c>
      <c r="E7" s="67"/>
      <c r="F7" s="67"/>
      <c r="G7" s="85">
        <v>300</v>
      </c>
    </row>
    <row r="8" spans="1:9" x14ac:dyDescent="0.2">
      <c r="A8" s="48"/>
      <c r="B8" s="48"/>
      <c r="C8" s="86" t="s">
        <v>55</v>
      </c>
      <c r="D8" s="87">
        <v>24210</v>
      </c>
      <c r="E8" s="28">
        <v>18131</v>
      </c>
      <c r="F8" s="28">
        <v>13474</v>
      </c>
      <c r="G8" s="88">
        <v>55815</v>
      </c>
    </row>
    <row r="9" spans="1:9" x14ac:dyDescent="0.2">
      <c r="A9" s="48"/>
      <c r="B9" s="48"/>
      <c r="C9" s="92" t="s">
        <v>29</v>
      </c>
      <c r="D9" s="93">
        <v>40342</v>
      </c>
      <c r="E9" s="94">
        <v>171828</v>
      </c>
      <c r="F9" s="94">
        <v>86278</v>
      </c>
      <c r="G9" s="88">
        <v>298448</v>
      </c>
    </row>
    <row r="10" spans="1:9" x14ac:dyDescent="0.2">
      <c r="A10" s="48"/>
      <c r="B10" s="48"/>
      <c r="C10" s="92" t="s">
        <v>49</v>
      </c>
      <c r="D10" s="93">
        <v>9722</v>
      </c>
      <c r="E10" s="94"/>
      <c r="F10" s="94">
        <v>7236</v>
      </c>
      <c r="G10" s="88">
        <v>16958</v>
      </c>
      <c r="I10" s="101"/>
    </row>
    <row r="11" spans="1:9" x14ac:dyDescent="0.2">
      <c r="A11" s="48"/>
      <c r="B11" s="48"/>
      <c r="C11" s="86" t="s">
        <v>38</v>
      </c>
      <c r="D11" s="87">
        <v>71367</v>
      </c>
      <c r="E11" s="28">
        <v>106463</v>
      </c>
      <c r="F11" s="28">
        <v>95428</v>
      </c>
      <c r="G11" s="88">
        <v>273258</v>
      </c>
    </row>
    <row r="12" spans="1:9" x14ac:dyDescent="0.2">
      <c r="A12" s="44" t="s">
        <v>34</v>
      </c>
      <c r="B12" s="97" t="s">
        <v>35</v>
      </c>
      <c r="C12" s="46"/>
      <c r="D12" s="98">
        <v>26000</v>
      </c>
      <c r="E12" s="99">
        <v>26000</v>
      </c>
      <c r="F12" s="99">
        <v>26000</v>
      </c>
      <c r="G12" s="100">
        <v>78000</v>
      </c>
    </row>
    <row r="13" spans="1:9" x14ac:dyDescent="0.2">
      <c r="A13" s="48"/>
      <c r="B13" s="44" t="s">
        <v>25</v>
      </c>
      <c r="C13" s="44" t="s">
        <v>45</v>
      </c>
      <c r="D13" s="66">
        <v>13054</v>
      </c>
      <c r="E13" s="67">
        <v>535</v>
      </c>
      <c r="F13" s="67"/>
      <c r="G13" s="85">
        <v>13589</v>
      </c>
    </row>
    <row r="14" spans="1:9" x14ac:dyDescent="0.2">
      <c r="A14" s="48"/>
      <c r="B14" s="48"/>
      <c r="C14" s="86" t="s">
        <v>55</v>
      </c>
      <c r="D14" s="87">
        <v>16648</v>
      </c>
      <c r="E14" s="28">
        <v>10509</v>
      </c>
      <c r="F14" s="28">
        <v>18177</v>
      </c>
      <c r="G14" s="88">
        <v>45334</v>
      </c>
    </row>
    <row r="15" spans="1:9" x14ac:dyDescent="0.2">
      <c r="A15" s="48"/>
      <c r="B15" s="48"/>
      <c r="C15" s="86" t="s">
        <v>29</v>
      </c>
      <c r="D15" s="93">
        <v>61118</v>
      </c>
      <c r="E15" s="94">
        <v>39822</v>
      </c>
      <c r="F15" s="28"/>
      <c r="G15" s="88">
        <v>100940</v>
      </c>
    </row>
    <row r="16" spans="1:9" x14ac:dyDescent="0.2">
      <c r="A16" s="48"/>
      <c r="B16" s="48"/>
      <c r="C16" s="86" t="s">
        <v>38</v>
      </c>
      <c r="D16" s="87">
        <v>125323</v>
      </c>
      <c r="E16" s="28">
        <v>135850</v>
      </c>
      <c r="F16" s="28">
        <v>136807</v>
      </c>
      <c r="G16" s="88">
        <v>397980</v>
      </c>
    </row>
    <row r="17" spans="1:7" x14ac:dyDescent="0.2">
      <c r="A17" s="89" t="s">
        <v>992</v>
      </c>
      <c r="B17" s="90"/>
      <c r="C17" s="90"/>
      <c r="D17" s="72">
        <v>713337</v>
      </c>
      <c r="E17" s="73">
        <v>885210</v>
      </c>
      <c r="F17" s="73">
        <v>729030</v>
      </c>
      <c r="G17" s="91">
        <v>2327577</v>
      </c>
    </row>
  </sheetData>
  <phoneticPr fontId="1" type="noConversion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9"/>
  <sheetViews>
    <sheetView workbookViewId="0">
      <selection activeCell="E20" sqref="E20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26.42578125" style="1" bestFit="1" customWidth="1"/>
    <col min="7" max="7" width="23.85546875" style="1" bestFit="1" customWidth="1"/>
    <col min="8" max="8" width="32.5703125" style="1" bestFit="1" customWidth="1"/>
    <col min="9" max="9" width="16.85546875" style="1" bestFit="1" customWidth="1"/>
    <col min="10" max="10" width="21.5703125" style="1" bestFit="1" customWidth="1"/>
    <col min="11" max="11" width="19" style="1" bestFit="1" customWidth="1"/>
    <col min="12" max="12" width="22" style="1" bestFit="1" customWidth="1"/>
    <col min="13" max="13" width="23.85546875" style="1" bestFit="1" customWidth="1"/>
    <col min="14" max="15" width="16.42578125" style="1" bestFit="1" customWidth="1"/>
    <col min="16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13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</row>
    <row r="2" spans="1:15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32</v>
      </c>
      <c r="H2" s="1" t="s">
        <v>72</v>
      </c>
      <c r="I2" s="1">
        <v>173548</v>
      </c>
      <c r="J2" s="1">
        <v>39.299818840599997</v>
      </c>
      <c r="K2" s="1">
        <v>4416</v>
      </c>
      <c r="L2" s="1" t="s">
        <v>73</v>
      </c>
    </row>
    <row r="3" spans="1:15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34</v>
      </c>
      <c r="H3" s="1" t="s">
        <v>72</v>
      </c>
      <c r="I3" s="1">
        <v>106220.49999900001</v>
      </c>
      <c r="J3" s="1">
        <v>9.6214221014000003</v>
      </c>
      <c r="K3" s="1">
        <v>11040</v>
      </c>
      <c r="L3" s="1" t="s">
        <v>73</v>
      </c>
    </row>
    <row r="4" spans="1:15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32</v>
      </c>
      <c r="H4" s="1" t="s">
        <v>72</v>
      </c>
      <c r="I4" s="1">
        <v>86773.999999000007</v>
      </c>
      <c r="J4" s="1">
        <v>39.299818840599997</v>
      </c>
      <c r="K4" s="1">
        <v>2208</v>
      </c>
      <c r="L4" s="1" t="s">
        <v>74</v>
      </c>
    </row>
    <row r="5" spans="1:15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34</v>
      </c>
      <c r="H5" s="1" t="s">
        <v>72</v>
      </c>
      <c r="I5" s="1">
        <v>33990.559998999997</v>
      </c>
      <c r="J5" s="1">
        <v>9.6214221014000003</v>
      </c>
      <c r="K5" s="1">
        <v>3532.8</v>
      </c>
      <c r="L5" s="1" t="s">
        <v>74</v>
      </c>
    </row>
    <row r="6" spans="1:15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32</v>
      </c>
      <c r="H6" s="1" t="s">
        <v>72</v>
      </c>
      <c r="I6" s="1">
        <v>130161</v>
      </c>
      <c r="J6" s="1">
        <v>39.299818840599997</v>
      </c>
      <c r="K6" s="1">
        <v>3312</v>
      </c>
      <c r="L6" s="1" t="s">
        <v>75</v>
      </c>
    </row>
    <row r="7" spans="1:15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34</v>
      </c>
      <c r="H7" s="1" t="s">
        <v>72</v>
      </c>
      <c r="I7" s="1">
        <v>33990.559999999998</v>
      </c>
      <c r="J7" s="1">
        <v>9.6214221014000003</v>
      </c>
      <c r="K7" s="1">
        <v>3532.8</v>
      </c>
      <c r="L7" s="1" t="s">
        <v>75</v>
      </c>
    </row>
    <row r="8" spans="1:15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32</v>
      </c>
      <c r="H8" s="1" t="s">
        <v>72</v>
      </c>
      <c r="I8" s="1">
        <v>43387</v>
      </c>
      <c r="J8" s="1">
        <v>39.299818840599997</v>
      </c>
      <c r="K8" s="1">
        <v>1104</v>
      </c>
      <c r="L8" s="1" t="s">
        <v>76</v>
      </c>
    </row>
    <row r="9" spans="1:15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34</v>
      </c>
      <c r="H9" s="1" t="s">
        <v>72</v>
      </c>
      <c r="I9" s="1">
        <v>38239.379998999997</v>
      </c>
      <c r="J9" s="1">
        <v>9.6214221014000003</v>
      </c>
      <c r="K9" s="1">
        <v>3974.4</v>
      </c>
      <c r="L9" s="1" t="s">
        <v>76</v>
      </c>
    </row>
    <row r="10" spans="1:15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32</v>
      </c>
      <c r="H10" s="1" t="s">
        <v>77</v>
      </c>
      <c r="I10" s="1">
        <v>8174.3623180000004</v>
      </c>
      <c r="J10" s="1">
        <v>39.299818840500002</v>
      </c>
      <c r="K10" s="1">
        <v>208</v>
      </c>
      <c r="L10" s="1" t="s">
        <v>74</v>
      </c>
      <c r="M10" s="1" t="s">
        <v>78</v>
      </c>
      <c r="N10" s="1" t="s">
        <v>79</v>
      </c>
      <c r="O10" s="1" t="s">
        <v>80</v>
      </c>
    </row>
    <row r="11" spans="1:15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32</v>
      </c>
      <c r="H11" s="1" t="s">
        <v>81</v>
      </c>
      <c r="I11" s="1">
        <v>8174.3623180000004</v>
      </c>
      <c r="J11" s="1">
        <v>39.299818840599997</v>
      </c>
      <c r="K11" s="1">
        <v>208</v>
      </c>
      <c r="L11" s="1" t="s">
        <v>74</v>
      </c>
      <c r="M11" s="1" t="s">
        <v>78</v>
      </c>
      <c r="N11" s="1" t="s">
        <v>79</v>
      </c>
      <c r="O11" s="1" t="s">
        <v>80</v>
      </c>
    </row>
    <row r="12" spans="1:15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34</v>
      </c>
      <c r="H12" s="1" t="s">
        <v>77</v>
      </c>
      <c r="I12" s="1">
        <v>5328.7876249999999</v>
      </c>
      <c r="J12" s="1">
        <v>9.6014191447999995</v>
      </c>
      <c r="K12" s="1">
        <v>555</v>
      </c>
      <c r="L12" s="1" t="s">
        <v>74</v>
      </c>
      <c r="M12" s="1" t="s">
        <v>78</v>
      </c>
      <c r="N12" s="1" t="s">
        <v>79</v>
      </c>
      <c r="O12" s="1" t="s">
        <v>80</v>
      </c>
    </row>
    <row r="13" spans="1:15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34</v>
      </c>
      <c r="H13" s="1" t="s">
        <v>81</v>
      </c>
      <c r="I13" s="1">
        <v>5339.8892660000001</v>
      </c>
      <c r="J13" s="1">
        <v>9.6214221014000003</v>
      </c>
      <c r="K13" s="1">
        <v>555</v>
      </c>
      <c r="L13" s="1" t="s">
        <v>74</v>
      </c>
      <c r="M13" s="1" t="s">
        <v>78</v>
      </c>
      <c r="N13" s="1" t="s">
        <v>79</v>
      </c>
      <c r="O13" s="1" t="s">
        <v>80</v>
      </c>
    </row>
    <row r="14" spans="1:15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32</v>
      </c>
      <c r="H14" s="1" t="s">
        <v>77</v>
      </c>
      <c r="I14" s="1">
        <v>8174.3623180000004</v>
      </c>
      <c r="J14" s="1">
        <v>39.299818840500002</v>
      </c>
      <c r="K14" s="1">
        <v>208</v>
      </c>
      <c r="L14" s="1" t="s">
        <v>73</v>
      </c>
      <c r="M14" s="1" t="s">
        <v>82</v>
      </c>
      <c r="N14" s="1" t="s">
        <v>79</v>
      </c>
      <c r="O14" s="1" t="s">
        <v>83</v>
      </c>
    </row>
    <row r="15" spans="1:15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32</v>
      </c>
      <c r="H15" s="1" t="s">
        <v>81</v>
      </c>
      <c r="I15" s="1">
        <v>8174.3623180000004</v>
      </c>
      <c r="J15" s="1">
        <v>39.299818840599997</v>
      </c>
      <c r="K15" s="1">
        <v>208</v>
      </c>
      <c r="L15" s="1" t="s">
        <v>73</v>
      </c>
      <c r="M15" s="1" t="s">
        <v>82</v>
      </c>
      <c r="N15" s="1" t="s">
        <v>79</v>
      </c>
      <c r="O15" s="1" t="s">
        <v>83</v>
      </c>
    </row>
    <row r="16" spans="1:15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34</v>
      </c>
      <c r="H16" s="1" t="s">
        <v>77</v>
      </c>
      <c r="I16" s="1">
        <v>8425.2452990000002</v>
      </c>
      <c r="J16" s="1">
        <v>9.6014191447999995</v>
      </c>
      <c r="K16" s="1">
        <v>877.5</v>
      </c>
      <c r="L16" s="1" t="s">
        <v>73</v>
      </c>
      <c r="M16" s="1" t="s">
        <v>82</v>
      </c>
      <c r="N16" s="1" t="s">
        <v>79</v>
      </c>
      <c r="O16" s="1" t="s">
        <v>83</v>
      </c>
    </row>
    <row r="17" spans="1:15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34</v>
      </c>
      <c r="H17" s="1" t="s">
        <v>81</v>
      </c>
      <c r="I17" s="1">
        <v>8442.7978930000008</v>
      </c>
      <c r="J17" s="1">
        <v>9.6214221014000003</v>
      </c>
      <c r="K17" s="1">
        <v>877.5</v>
      </c>
      <c r="L17" s="1" t="s">
        <v>73</v>
      </c>
      <c r="M17" s="1" t="s">
        <v>82</v>
      </c>
      <c r="N17" s="1" t="s">
        <v>79</v>
      </c>
      <c r="O17" s="1" t="s">
        <v>83</v>
      </c>
    </row>
    <row r="18" spans="1:15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32</v>
      </c>
      <c r="H18" s="1" t="s">
        <v>81</v>
      </c>
      <c r="I18" s="1">
        <v>0</v>
      </c>
      <c r="J18" s="1">
        <v>39.299818840599997</v>
      </c>
      <c r="K18" s="1">
        <v>0</v>
      </c>
      <c r="L18" s="1" t="s">
        <v>73</v>
      </c>
      <c r="M18" s="1" t="s">
        <v>84</v>
      </c>
      <c r="N18" s="1" t="s">
        <v>79</v>
      </c>
      <c r="O18" s="1" t="s">
        <v>83</v>
      </c>
    </row>
    <row r="19" spans="1:15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34</v>
      </c>
      <c r="H19" s="1" t="s">
        <v>77</v>
      </c>
      <c r="I19" s="1">
        <v>39101.779467</v>
      </c>
      <c r="J19" s="1">
        <v>9.6014191447999995</v>
      </c>
      <c r="K19" s="1">
        <v>4072.5</v>
      </c>
      <c r="L19" s="1" t="s">
        <v>73</v>
      </c>
      <c r="M19" s="1" t="s">
        <v>84</v>
      </c>
      <c r="N19" s="1" t="s">
        <v>79</v>
      </c>
      <c r="O19" s="1" t="s">
        <v>83</v>
      </c>
    </row>
    <row r="20" spans="1:15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34</v>
      </c>
      <c r="H20" s="1" t="s">
        <v>81</v>
      </c>
      <c r="I20" s="1">
        <v>39183.241506999999</v>
      </c>
      <c r="J20" s="1">
        <v>9.6214221014000003</v>
      </c>
      <c r="K20" s="1">
        <v>4072.5</v>
      </c>
      <c r="L20" s="1" t="s">
        <v>73</v>
      </c>
      <c r="M20" s="1" t="s">
        <v>84</v>
      </c>
      <c r="N20" s="1" t="s">
        <v>79</v>
      </c>
      <c r="O20" s="1" t="s">
        <v>83</v>
      </c>
    </row>
    <row r="21" spans="1:15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32</v>
      </c>
      <c r="H21" s="1" t="s">
        <v>77</v>
      </c>
      <c r="I21" s="1">
        <v>0</v>
      </c>
      <c r="J21" s="1">
        <v>39.299818840500002</v>
      </c>
      <c r="K21" s="1">
        <v>0</v>
      </c>
      <c r="L21" s="1" t="s">
        <v>73</v>
      </c>
      <c r="M21" s="1" t="s">
        <v>85</v>
      </c>
      <c r="N21" s="1" t="s">
        <v>79</v>
      </c>
      <c r="O21" s="1" t="s">
        <v>83</v>
      </c>
    </row>
    <row r="22" spans="1:15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32</v>
      </c>
      <c r="H22" s="1" t="s">
        <v>81</v>
      </c>
      <c r="I22" s="1">
        <v>0</v>
      </c>
      <c r="J22" s="1">
        <v>39.299818840599997</v>
      </c>
      <c r="K22" s="1">
        <v>0</v>
      </c>
      <c r="L22" s="1" t="s">
        <v>73</v>
      </c>
      <c r="M22" s="1" t="s">
        <v>85</v>
      </c>
      <c r="N22" s="1" t="s">
        <v>79</v>
      </c>
      <c r="O22" s="1" t="s">
        <v>83</v>
      </c>
    </row>
    <row r="23" spans="1:15" x14ac:dyDescent="0.25">
      <c r="A23" s="1">
        <v>2018</v>
      </c>
      <c r="B23" s="1">
        <v>3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34</v>
      </c>
      <c r="H23" s="1" t="s">
        <v>77</v>
      </c>
      <c r="I23" s="1">
        <v>31185.409382000002</v>
      </c>
      <c r="J23" s="1">
        <v>9.6014191447999995</v>
      </c>
      <c r="K23" s="1">
        <v>3248</v>
      </c>
      <c r="L23" s="1" t="s">
        <v>73</v>
      </c>
      <c r="M23" s="1" t="s">
        <v>85</v>
      </c>
      <c r="N23" s="1" t="s">
        <v>79</v>
      </c>
      <c r="O23" s="1" t="s">
        <v>83</v>
      </c>
    </row>
    <row r="24" spans="1:15" x14ac:dyDescent="0.25">
      <c r="A24" s="1">
        <v>2018</v>
      </c>
      <c r="B24" s="1">
        <v>3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34</v>
      </c>
      <c r="H24" s="1" t="s">
        <v>81</v>
      </c>
      <c r="I24" s="1">
        <v>31250.378984999999</v>
      </c>
      <c r="J24" s="1">
        <v>9.6214221014000003</v>
      </c>
      <c r="K24" s="1">
        <v>3248</v>
      </c>
      <c r="L24" s="1" t="s">
        <v>73</v>
      </c>
      <c r="M24" s="1" t="s">
        <v>85</v>
      </c>
      <c r="N24" s="1" t="s">
        <v>79</v>
      </c>
      <c r="O24" s="1" t="s">
        <v>83</v>
      </c>
    </row>
    <row r="25" spans="1:15" x14ac:dyDescent="0.25">
      <c r="A25" s="1">
        <v>2018</v>
      </c>
      <c r="B25" s="1">
        <v>3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32</v>
      </c>
      <c r="H25" s="1" t="s">
        <v>77</v>
      </c>
      <c r="I25" s="1">
        <v>94791.163042999993</v>
      </c>
      <c r="J25" s="1">
        <v>39.299818840500002</v>
      </c>
      <c r="K25" s="1">
        <v>2412</v>
      </c>
      <c r="L25" s="1" t="s">
        <v>73</v>
      </c>
      <c r="M25" s="1" t="s">
        <v>86</v>
      </c>
      <c r="N25" s="1" t="s">
        <v>79</v>
      </c>
      <c r="O25" s="1" t="s">
        <v>83</v>
      </c>
    </row>
    <row r="26" spans="1:15" x14ac:dyDescent="0.25">
      <c r="A26" s="1">
        <v>2018</v>
      </c>
      <c r="B26" s="1">
        <v>3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32</v>
      </c>
      <c r="H26" s="1" t="s">
        <v>81</v>
      </c>
      <c r="I26" s="1">
        <v>94791.163042999993</v>
      </c>
      <c r="J26" s="1">
        <v>39.299818840599997</v>
      </c>
      <c r="K26" s="1">
        <v>2412</v>
      </c>
      <c r="L26" s="1" t="s">
        <v>73</v>
      </c>
      <c r="M26" s="1" t="s">
        <v>86</v>
      </c>
      <c r="N26" s="1" t="s">
        <v>79</v>
      </c>
      <c r="O26" s="1" t="s">
        <v>83</v>
      </c>
    </row>
    <row r="27" spans="1:15" x14ac:dyDescent="0.25">
      <c r="A27" s="1">
        <v>2018</v>
      </c>
      <c r="B27" s="1">
        <v>3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34</v>
      </c>
      <c r="H27" s="1" t="s">
        <v>77</v>
      </c>
      <c r="I27" s="1">
        <v>15698.320301</v>
      </c>
      <c r="J27" s="1">
        <v>9.6014191447999995</v>
      </c>
      <c r="K27" s="1">
        <v>1635</v>
      </c>
      <c r="L27" s="1" t="s">
        <v>73</v>
      </c>
      <c r="M27" s="1" t="s">
        <v>86</v>
      </c>
      <c r="N27" s="1" t="s">
        <v>79</v>
      </c>
      <c r="O27" s="1" t="s">
        <v>83</v>
      </c>
    </row>
    <row r="28" spans="1:15" x14ac:dyDescent="0.25">
      <c r="A28" s="1">
        <v>2018</v>
      </c>
      <c r="B28" s="1">
        <v>3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34</v>
      </c>
      <c r="H28" s="1" t="s">
        <v>81</v>
      </c>
      <c r="I28" s="1">
        <v>15731.025135</v>
      </c>
      <c r="J28" s="1">
        <v>9.6214221014000003</v>
      </c>
      <c r="K28" s="1">
        <v>1635</v>
      </c>
      <c r="L28" s="1" t="s">
        <v>73</v>
      </c>
      <c r="M28" s="1" t="s">
        <v>86</v>
      </c>
      <c r="N28" s="1" t="s">
        <v>79</v>
      </c>
      <c r="O28" s="1" t="s">
        <v>83</v>
      </c>
    </row>
    <row r="29" spans="1:15" x14ac:dyDescent="0.25">
      <c r="A29" s="1">
        <v>2018</v>
      </c>
      <c r="B29" s="1">
        <v>3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32</v>
      </c>
      <c r="H29" s="1" t="s">
        <v>77</v>
      </c>
      <c r="I29" s="1">
        <v>18863.913043</v>
      </c>
      <c r="J29" s="1">
        <v>39.299818840500002</v>
      </c>
      <c r="K29" s="1">
        <v>480</v>
      </c>
      <c r="L29" s="1" t="s">
        <v>73</v>
      </c>
      <c r="M29" s="1" t="s">
        <v>87</v>
      </c>
      <c r="N29" s="1" t="s">
        <v>79</v>
      </c>
      <c r="O29" s="1" t="s">
        <v>83</v>
      </c>
    </row>
    <row r="30" spans="1:15" x14ac:dyDescent="0.25">
      <c r="A30" s="1">
        <v>2018</v>
      </c>
      <c r="B30" s="1">
        <v>3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32</v>
      </c>
      <c r="H30" s="1" t="s">
        <v>81</v>
      </c>
      <c r="I30" s="1">
        <v>18863.913043</v>
      </c>
      <c r="J30" s="1">
        <v>39.299818840599997</v>
      </c>
      <c r="K30" s="1">
        <v>480</v>
      </c>
      <c r="L30" s="1" t="s">
        <v>73</v>
      </c>
      <c r="M30" s="1" t="s">
        <v>87</v>
      </c>
      <c r="N30" s="1" t="s">
        <v>79</v>
      </c>
      <c r="O30" s="1" t="s">
        <v>83</v>
      </c>
    </row>
    <row r="31" spans="1:15" x14ac:dyDescent="0.25">
      <c r="A31" s="1">
        <v>2018</v>
      </c>
      <c r="B31" s="1">
        <v>3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34</v>
      </c>
      <c r="H31" s="1" t="s">
        <v>77</v>
      </c>
      <c r="I31" s="1">
        <v>4992.7379549999996</v>
      </c>
      <c r="J31" s="1">
        <v>9.6014191447999995</v>
      </c>
      <c r="K31" s="1">
        <v>520</v>
      </c>
      <c r="L31" s="1" t="s">
        <v>73</v>
      </c>
      <c r="M31" s="1" t="s">
        <v>87</v>
      </c>
      <c r="N31" s="1" t="s">
        <v>79</v>
      </c>
      <c r="O31" s="1" t="s">
        <v>83</v>
      </c>
    </row>
    <row r="32" spans="1:15" x14ac:dyDescent="0.25">
      <c r="A32" s="1">
        <v>2018</v>
      </c>
      <c r="B32" s="1">
        <v>3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34</v>
      </c>
      <c r="H32" s="1" t="s">
        <v>81</v>
      </c>
      <c r="I32" s="1">
        <v>5003.1394920000002</v>
      </c>
      <c r="J32" s="1">
        <v>9.6214221014000003</v>
      </c>
      <c r="K32" s="1">
        <v>520</v>
      </c>
      <c r="L32" s="1" t="s">
        <v>73</v>
      </c>
      <c r="M32" s="1" t="s">
        <v>87</v>
      </c>
      <c r="N32" s="1" t="s">
        <v>79</v>
      </c>
      <c r="O32" s="1" t="s">
        <v>83</v>
      </c>
    </row>
    <row r="33" spans="1:15" x14ac:dyDescent="0.25">
      <c r="A33" s="1">
        <v>2018</v>
      </c>
      <c r="B33" s="1">
        <v>3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32</v>
      </c>
      <c r="H33" s="1" t="s">
        <v>81</v>
      </c>
      <c r="I33" s="1">
        <v>0</v>
      </c>
      <c r="J33" s="1">
        <v>39.299818840599997</v>
      </c>
      <c r="K33" s="1">
        <v>0</v>
      </c>
      <c r="L33" s="1" t="s">
        <v>75</v>
      </c>
      <c r="M33" s="1" t="s">
        <v>88</v>
      </c>
      <c r="N33" s="1" t="s">
        <v>79</v>
      </c>
      <c r="O33" s="1" t="s">
        <v>89</v>
      </c>
    </row>
    <row r="34" spans="1:15" x14ac:dyDescent="0.25">
      <c r="A34" s="1">
        <v>2018</v>
      </c>
      <c r="B34" s="1">
        <v>3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34</v>
      </c>
      <c r="H34" s="1" t="s">
        <v>77</v>
      </c>
      <c r="I34" s="1">
        <v>1276.988746</v>
      </c>
      <c r="J34" s="1">
        <v>9.6014191447999995</v>
      </c>
      <c r="K34" s="1">
        <v>133</v>
      </c>
      <c r="L34" s="1" t="s">
        <v>75</v>
      </c>
      <c r="M34" s="1" t="s">
        <v>88</v>
      </c>
      <c r="N34" s="1" t="s">
        <v>79</v>
      </c>
      <c r="O34" s="1" t="s">
        <v>89</v>
      </c>
    </row>
    <row r="35" spans="1:15" x14ac:dyDescent="0.25">
      <c r="A35" s="1">
        <v>2018</v>
      </c>
      <c r="B35" s="1">
        <v>3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34</v>
      </c>
      <c r="H35" s="1" t="s">
        <v>81</v>
      </c>
      <c r="I35" s="1">
        <v>1279.6491390000001</v>
      </c>
      <c r="J35" s="1">
        <v>9.6214221014000003</v>
      </c>
      <c r="K35" s="1">
        <v>133</v>
      </c>
      <c r="L35" s="1" t="s">
        <v>75</v>
      </c>
      <c r="M35" s="1" t="s">
        <v>88</v>
      </c>
      <c r="N35" s="1" t="s">
        <v>79</v>
      </c>
      <c r="O35" s="1" t="s">
        <v>89</v>
      </c>
    </row>
    <row r="36" spans="1:15" x14ac:dyDescent="0.25">
      <c r="A36" s="1">
        <v>2018</v>
      </c>
      <c r="B36" s="1">
        <v>3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32</v>
      </c>
      <c r="H36" s="1" t="s">
        <v>77</v>
      </c>
      <c r="I36" s="1">
        <v>36823.930252999999</v>
      </c>
      <c r="J36" s="1">
        <v>39.299818840500002</v>
      </c>
      <c r="K36" s="1">
        <v>937</v>
      </c>
      <c r="L36" s="1" t="s">
        <v>73</v>
      </c>
      <c r="M36" s="1" t="s">
        <v>90</v>
      </c>
      <c r="N36" s="1" t="s">
        <v>79</v>
      </c>
      <c r="O36" s="1" t="s">
        <v>83</v>
      </c>
    </row>
    <row r="37" spans="1:15" x14ac:dyDescent="0.25">
      <c r="A37" s="1">
        <v>2018</v>
      </c>
      <c r="B37" s="1">
        <v>3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32</v>
      </c>
      <c r="H37" s="1" t="s">
        <v>81</v>
      </c>
      <c r="I37" s="1">
        <v>36823.930252999999</v>
      </c>
      <c r="J37" s="1">
        <v>39.299818840599997</v>
      </c>
      <c r="K37" s="1">
        <v>937</v>
      </c>
      <c r="L37" s="1" t="s">
        <v>73</v>
      </c>
      <c r="M37" s="1" t="s">
        <v>90</v>
      </c>
      <c r="N37" s="1" t="s">
        <v>79</v>
      </c>
      <c r="O37" s="1" t="s">
        <v>83</v>
      </c>
    </row>
    <row r="38" spans="1:15" x14ac:dyDescent="0.25">
      <c r="A38" s="1">
        <v>2018</v>
      </c>
      <c r="B38" s="1">
        <v>3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34</v>
      </c>
      <c r="H38" s="1" t="s">
        <v>77</v>
      </c>
      <c r="I38" s="1">
        <v>2304.3405939999998</v>
      </c>
      <c r="J38" s="1">
        <v>9.6014191447999995</v>
      </c>
      <c r="K38" s="1">
        <v>240</v>
      </c>
      <c r="L38" s="1" t="s">
        <v>73</v>
      </c>
      <c r="M38" s="1" t="s">
        <v>90</v>
      </c>
      <c r="N38" s="1" t="s">
        <v>79</v>
      </c>
      <c r="O38" s="1" t="s">
        <v>83</v>
      </c>
    </row>
    <row r="39" spans="1:15" x14ac:dyDescent="0.25">
      <c r="A39" s="1">
        <v>2018</v>
      </c>
      <c r="B39" s="1">
        <v>3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34</v>
      </c>
      <c r="H39" s="1" t="s">
        <v>81</v>
      </c>
      <c r="I39" s="1">
        <v>2309.1413040000002</v>
      </c>
      <c r="J39" s="1">
        <v>9.6214221014000003</v>
      </c>
      <c r="K39" s="1">
        <v>240</v>
      </c>
      <c r="L39" s="1" t="s">
        <v>73</v>
      </c>
      <c r="M39" s="1" t="s">
        <v>90</v>
      </c>
      <c r="N39" s="1" t="s">
        <v>79</v>
      </c>
      <c r="O39" s="1" t="s">
        <v>83</v>
      </c>
    </row>
    <row r="40" spans="1:15" x14ac:dyDescent="0.25">
      <c r="A40" s="1">
        <v>2018</v>
      </c>
      <c r="B40" s="1">
        <v>3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32</v>
      </c>
      <c r="H40" s="1" t="s">
        <v>81</v>
      </c>
      <c r="I40" s="1">
        <v>0</v>
      </c>
      <c r="J40" s="1">
        <v>39.299818840599997</v>
      </c>
      <c r="K40" s="1">
        <v>0</v>
      </c>
      <c r="L40" s="1" t="s">
        <v>73</v>
      </c>
      <c r="M40" s="1" t="s">
        <v>91</v>
      </c>
      <c r="N40" s="1" t="s">
        <v>79</v>
      </c>
      <c r="O40" s="1" t="s">
        <v>83</v>
      </c>
    </row>
    <row r="41" spans="1:15" x14ac:dyDescent="0.25">
      <c r="A41" s="1">
        <v>2018</v>
      </c>
      <c r="B41" s="1">
        <v>3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34</v>
      </c>
      <c r="H41" s="1" t="s">
        <v>81</v>
      </c>
      <c r="I41" s="1">
        <v>0</v>
      </c>
      <c r="J41" s="1">
        <v>9.6214221014000003</v>
      </c>
      <c r="K41" s="1">
        <v>0</v>
      </c>
      <c r="L41" s="1" t="s">
        <v>73</v>
      </c>
      <c r="M41" s="1" t="s">
        <v>91</v>
      </c>
      <c r="N41" s="1" t="s">
        <v>79</v>
      </c>
      <c r="O41" s="1" t="s">
        <v>83</v>
      </c>
    </row>
    <row r="42" spans="1:15" x14ac:dyDescent="0.25">
      <c r="A42" s="1">
        <v>2018</v>
      </c>
      <c r="B42" s="1">
        <v>3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32</v>
      </c>
      <c r="H42" s="1" t="s">
        <v>81</v>
      </c>
      <c r="I42" s="1">
        <v>0</v>
      </c>
      <c r="J42" s="1">
        <v>39.299818840599997</v>
      </c>
      <c r="K42" s="1">
        <v>0</v>
      </c>
      <c r="L42" s="1" t="s">
        <v>74</v>
      </c>
      <c r="M42" s="1" t="s">
        <v>92</v>
      </c>
      <c r="N42" s="1" t="s">
        <v>79</v>
      </c>
      <c r="O42" s="1" t="s">
        <v>80</v>
      </c>
    </row>
    <row r="43" spans="1:15" x14ac:dyDescent="0.25">
      <c r="A43" s="1">
        <v>2018</v>
      </c>
      <c r="B43" s="1">
        <v>3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34</v>
      </c>
      <c r="H43" s="1" t="s">
        <v>77</v>
      </c>
      <c r="I43" s="1">
        <v>16130.384163000001</v>
      </c>
      <c r="J43" s="1">
        <v>9.6014191447999995</v>
      </c>
      <c r="K43" s="1">
        <v>1680</v>
      </c>
      <c r="L43" s="1" t="s">
        <v>74</v>
      </c>
      <c r="M43" s="1" t="s">
        <v>92</v>
      </c>
      <c r="N43" s="1" t="s">
        <v>79</v>
      </c>
      <c r="O43" s="1" t="s">
        <v>80</v>
      </c>
    </row>
    <row r="44" spans="1:15" x14ac:dyDescent="0.25">
      <c r="A44" s="1">
        <v>2018</v>
      </c>
      <c r="B44" s="1">
        <v>3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34</v>
      </c>
      <c r="H44" s="1" t="s">
        <v>81</v>
      </c>
      <c r="I44" s="1">
        <v>16163.98913</v>
      </c>
      <c r="J44" s="1">
        <v>9.6214221014000003</v>
      </c>
      <c r="K44" s="1">
        <v>1680</v>
      </c>
      <c r="L44" s="1" t="s">
        <v>74</v>
      </c>
      <c r="M44" s="1" t="s">
        <v>92</v>
      </c>
      <c r="N44" s="1" t="s">
        <v>79</v>
      </c>
      <c r="O44" s="1" t="s">
        <v>80</v>
      </c>
    </row>
    <row r="45" spans="1:15" x14ac:dyDescent="0.25">
      <c r="A45" s="1">
        <v>2018</v>
      </c>
      <c r="B45" s="1">
        <v>3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32</v>
      </c>
      <c r="H45" s="1" t="s">
        <v>77</v>
      </c>
      <c r="I45" s="1">
        <v>40675.3125</v>
      </c>
      <c r="J45" s="1">
        <v>39.299818840500002</v>
      </c>
      <c r="K45" s="1">
        <v>1035</v>
      </c>
      <c r="L45" s="1" t="s">
        <v>73</v>
      </c>
      <c r="M45" s="1" t="s">
        <v>93</v>
      </c>
      <c r="N45" s="1" t="s">
        <v>79</v>
      </c>
      <c r="O45" s="1" t="s">
        <v>83</v>
      </c>
    </row>
    <row r="46" spans="1:15" x14ac:dyDescent="0.25">
      <c r="A46" s="1">
        <v>2018</v>
      </c>
      <c r="B46" s="1">
        <v>3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32</v>
      </c>
      <c r="H46" s="1" t="s">
        <v>81</v>
      </c>
      <c r="I46" s="1">
        <v>40675.3125</v>
      </c>
      <c r="J46" s="1">
        <v>39.299818840599997</v>
      </c>
      <c r="K46" s="1">
        <v>1035</v>
      </c>
      <c r="L46" s="1" t="s">
        <v>73</v>
      </c>
      <c r="M46" s="1" t="s">
        <v>93</v>
      </c>
      <c r="N46" s="1" t="s">
        <v>79</v>
      </c>
      <c r="O46" s="1" t="s">
        <v>83</v>
      </c>
    </row>
    <row r="47" spans="1:15" x14ac:dyDescent="0.25">
      <c r="A47" s="1">
        <v>2018</v>
      </c>
      <c r="B47" s="1">
        <v>3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34</v>
      </c>
      <c r="H47" s="1" t="s">
        <v>77</v>
      </c>
      <c r="I47" s="1">
        <v>432.06386099999997</v>
      </c>
      <c r="J47" s="1">
        <v>9.6014191447999995</v>
      </c>
      <c r="K47" s="1">
        <v>45</v>
      </c>
      <c r="L47" s="1" t="s">
        <v>73</v>
      </c>
      <c r="M47" s="1" t="s">
        <v>93</v>
      </c>
      <c r="N47" s="1" t="s">
        <v>79</v>
      </c>
      <c r="O47" s="1" t="s">
        <v>83</v>
      </c>
    </row>
    <row r="48" spans="1:15" x14ac:dyDescent="0.25">
      <c r="A48" s="1">
        <v>2018</v>
      </c>
      <c r="B48" s="1">
        <v>3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34</v>
      </c>
      <c r="H48" s="1" t="s">
        <v>81</v>
      </c>
      <c r="I48" s="1">
        <v>432.96399400000001</v>
      </c>
      <c r="J48" s="1">
        <v>9.6214221014000003</v>
      </c>
      <c r="K48" s="1">
        <v>45</v>
      </c>
      <c r="L48" s="1" t="s">
        <v>73</v>
      </c>
      <c r="M48" s="1" t="s">
        <v>93</v>
      </c>
      <c r="N48" s="1" t="s">
        <v>79</v>
      </c>
      <c r="O48" s="1" t="s">
        <v>83</v>
      </c>
    </row>
    <row r="49" spans="1:15" x14ac:dyDescent="0.25">
      <c r="A49" s="1">
        <v>2018</v>
      </c>
      <c r="B49" s="1">
        <v>3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32</v>
      </c>
      <c r="H49" s="1" t="s">
        <v>81</v>
      </c>
      <c r="I49" s="1">
        <v>0</v>
      </c>
      <c r="J49" s="1">
        <v>39.299818840599997</v>
      </c>
      <c r="K49" s="1">
        <v>0</v>
      </c>
      <c r="L49" s="1" t="s">
        <v>75</v>
      </c>
      <c r="M49" s="1" t="s">
        <v>94</v>
      </c>
      <c r="N49" s="1" t="s">
        <v>79</v>
      </c>
      <c r="O49" s="1" t="s">
        <v>89</v>
      </c>
    </row>
    <row r="50" spans="1:15" x14ac:dyDescent="0.25">
      <c r="A50" s="1">
        <v>2018</v>
      </c>
      <c r="B50" s="1">
        <v>3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34</v>
      </c>
      <c r="H50" s="1" t="s">
        <v>77</v>
      </c>
      <c r="I50" s="1">
        <v>4608.6811889999999</v>
      </c>
      <c r="J50" s="1">
        <v>9.6014191447999995</v>
      </c>
      <c r="K50" s="1">
        <v>480</v>
      </c>
      <c r="L50" s="1" t="s">
        <v>75</v>
      </c>
      <c r="M50" s="1" t="s">
        <v>94</v>
      </c>
      <c r="N50" s="1" t="s">
        <v>79</v>
      </c>
      <c r="O50" s="1" t="s">
        <v>89</v>
      </c>
    </row>
    <row r="51" spans="1:15" x14ac:dyDescent="0.25">
      <c r="A51" s="1">
        <v>2018</v>
      </c>
      <c r="B51" s="1">
        <v>3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34</v>
      </c>
      <c r="H51" s="1" t="s">
        <v>81</v>
      </c>
      <c r="I51" s="1">
        <v>4618.2826080000004</v>
      </c>
      <c r="J51" s="1">
        <v>9.6214221014000003</v>
      </c>
      <c r="K51" s="1">
        <v>480</v>
      </c>
      <c r="L51" s="1" t="s">
        <v>75</v>
      </c>
      <c r="M51" s="1" t="s">
        <v>94</v>
      </c>
      <c r="N51" s="1" t="s">
        <v>79</v>
      </c>
      <c r="O51" s="1" t="s">
        <v>89</v>
      </c>
    </row>
    <row r="52" spans="1:15" x14ac:dyDescent="0.25">
      <c r="A52" s="1">
        <v>2018</v>
      </c>
      <c r="B52" s="1">
        <v>3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32</v>
      </c>
      <c r="H52" s="1" t="s">
        <v>81</v>
      </c>
      <c r="I52" s="1">
        <v>0</v>
      </c>
      <c r="J52" s="1">
        <v>39.299818840599997</v>
      </c>
      <c r="K52" s="1">
        <v>0</v>
      </c>
      <c r="L52" s="1" t="s">
        <v>75</v>
      </c>
      <c r="M52" s="1" t="s">
        <v>95</v>
      </c>
      <c r="N52" s="1" t="s">
        <v>96</v>
      </c>
      <c r="O52" s="1" t="s">
        <v>89</v>
      </c>
    </row>
    <row r="53" spans="1:15" x14ac:dyDescent="0.25">
      <c r="A53" s="1">
        <v>2018</v>
      </c>
      <c r="B53" s="1">
        <v>3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34</v>
      </c>
      <c r="H53" s="1" t="s">
        <v>81</v>
      </c>
      <c r="I53" s="1">
        <v>0</v>
      </c>
      <c r="J53" s="1">
        <v>9.6214221014000003</v>
      </c>
      <c r="K53" s="1">
        <v>0</v>
      </c>
      <c r="L53" s="1" t="s">
        <v>75</v>
      </c>
      <c r="M53" s="1" t="s">
        <v>95</v>
      </c>
      <c r="N53" s="1" t="s">
        <v>96</v>
      </c>
      <c r="O53" s="1" t="s">
        <v>89</v>
      </c>
    </row>
    <row r="54" spans="1:15" x14ac:dyDescent="0.25">
      <c r="A54" s="1">
        <v>2018</v>
      </c>
      <c r="B54" s="1">
        <v>3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32</v>
      </c>
      <c r="H54" s="1" t="s">
        <v>81</v>
      </c>
      <c r="I54" s="1">
        <v>0</v>
      </c>
      <c r="J54" s="1">
        <v>39.299818840599997</v>
      </c>
      <c r="K54" s="1">
        <v>0</v>
      </c>
      <c r="L54" s="1" t="s">
        <v>75</v>
      </c>
      <c r="M54" s="1" t="s">
        <v>97</v>
      </c>
      <c r="N54" s="1" t="s">
        <v>96</v>
      </c>
      <c r="O54" s="1" t="s">
        <v>89</v>
      </c>
    </row>
    <row r="55" spans="1:15" x14ac:dyDescent="0.25">
      <c r="A55" s="1">
        <v>2018</v>
      </c>
      <c r="B55" s="1">
        <v>3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34</v>
      </c>
      <c r="H55" s="1" t="s">
        <v>81</v>
      </c>
      <c r="I55" s="1">
        <v>0</v>
      </c>
      <c r="J55" s="1">
        <v>9.6214221014000003</v>
      </c>
      <c r="K55" s="1">
        <v>0</v>
      </c>
      <c r="L55" s="1" t="s">
        <v>75</v>
      </c>
      <c r="M55" s="1" t="s">
        <v>97</v>
      </c>
      <c r="N55" s="1" t="s">
        <v>96</v>
      </c>
      <c r="O55" s="1" t="s">
        <v>89</v>
      </c>
    </row>
    <row r="56" spans="1:15" x14ac:dyDescent="0.25">
      <c r="A56" s="1">
        <v>2018</v>
      </c>
      <c r="B56" s="1">
        <v>3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32</v>
      </c>
      <c r="H56" s="1" t="s">
        <v>81</v>
      </c>
      <c r="I56" s="1">
        <v>0</v>
      </c>
      <c r="J56" s="1">
        <v>39.299818840599997</v>
      </c>
      <c r="K56" s="1">
        <v>0</v>
      </c>
      <c r="L56" s="1" t="s">
        <v>73</v>
      </c>
      <c r="M56" s="1" t="s">
        <v>98</v>
      </c>
      <c r="N56" s="1" t="s">
        <v>79</v>
      </c>
      <c r="O56" s="1" t="s">
        <v>83</v>
      </c>
    </row>
    <row r="57" spans="1:15" x14ac:dyDescent="0.25">
      <c r="A57" s="1">
        <v>2018</v>
      </c>
      <c r="B57" s="1">
        <v>3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34</v>
      </c>
      <c r="H57" s="1" t="s">
        <v>81</v>
      </c>
      <c r="I57" s="1">
        <v>0</v>
      </c>
      <c r="J57" s="1">
        <v>9.6214221014000003</v>
      </c>
      <c r="K57" s="1">
        <v>0</v>
      </c>
      <c r="L57" s="1" t="s">
        <v>73</v>
      </c>
      <c r="M57" s="1" t="s">
        <v>98</v>
      </c>
      <c r="N57" s="1" t="s">
        <v>79</v>
      </c>
      <c r="O57" s="1" t="s">
        <v>83</v>
      </c>
    </row>
    <row r="58" spans="1:15" x14ac:dyDescent="0.25">
      <c r="A58" s="1">
        <v>2018</v>
      </c>
      <c r="B58" s="1">
        <v>3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32</v>
      </c>
      <c r="H58" s="1" t="s">
        <v>81</v>
      </c>
      <c r="I58" s="1">
        <v>0</v>
      </c>
      <c r="J58" s="1">
        <v>39.299818840599997</v>
      </c>
      <c r="K58" s="1">
        <v>0</v>
      </c>
      <c r="L58" s="1" t="s">
        <v>73</v>
      </c>
      <c r="M58" s="1" t="s">
        <v>99</v>
      </c>
      <c r="N58" s="1" t="s">
        <v>79</v>
      </c>
      <c r="O58" s="1" t="s">
        <v>83</v>
      </c>
    </row>
    <row r="59" spans="1:15" x14ac:dyDescent="0.25">
      <c r="A59" s="1">
        <v>2018</v>
      </c>
      <c r="B59" s="1">
        <v>3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34</v>
      </c>
      <c r="H59" s="1" t="s">
        <v>81</v>
      </c>
      <c r="I59" s="1">
        <v>0</v>
      </c>
      <c r="J59" s="1">
        <v>9.6214221014000003</v>
      </c>
      <c r="K59" s="1">
        <v>0</v>
      </c>
      <c r="L59" s="1" t="s">
        <v>73</v>
      </c>
      <c r="M59" s="1" t="s">
        <v>99</v>
      </c>
      <c r="N59" s="1" t="s">
        <v>79</v>
      </c>
      <c r="O59" s="1" t="s">
        <v>83</v>
      </c>
    </row>
    <row r="60" spans="1:15" x14ac:dyDescent="0.25">
      <c r="A60" s="1">
        <v>2018</v>
      </c>
      <c r="B60" s="1">
        <v>3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32</v>
      </c>
      <c r="H60" s="1" t="s">
        <v>81</v>
      </c>
      <c r="I60" s="1">
        <v>0</v>
      </c>
      <c r="J60" s="1">
        <v>39.299818840599997</v>
      </c>
      <c r="K60" s="1">
        <v>0</v>
      </c>
      <c r="L60" s="1" t="s">
        <v>75</v>
      </c>
      <c r="M60" s="1" t="s">
        <v>100</v>
      </c>
      <c r="N60" s="1" t="s">
        <v>79</v>
      </c>
      <c r="O60" s="1" t="s">
        <v>89</v>
      </c>
    </row>
    <row r="61" spans="1:15" x14ac:dyDescent="0.25">
      <c r="A61" s="1">
        <v>2018</v>
      </c>
      <c r="B61" s="1">
        <v>3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34</v>
      </c>
      <c r="H61" s="1" t="s">
        <v>81</v>
      </c>
      <c r="I61" s="1">
        <v>0</v>
      </c>
      <c r="J61" s="1">
        <v>9.6214221014000003</v>
      </c>
      <c r="K61" s="1">
        <v>0</v>
      </c>
      <c r="L61" s="1" t="s">
        <v>75</v>
      </c>
      <c r="M61" s="1" t="s">
        <v>100</v>
      </c>
      <c r="N61" s="1" t="s">
        <v>79</v>
      </c>
      <c r="O61" s="1" t="s">
        <v>89</v>
      </c>
    </row>
    <row r="62" spans="1:15" x14ac:dyDescent="0.25">
      <c r="A62" s="1">
        <v>2018</v>
      </c>
      <c r="B62" s="1">
        <v>3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32</v>
      </c>
      <c r="H62" s="1" t="s">
        <v>77</v>
      </c>
      <c r="I62" s="1">
        <v>226366.95652099999</v>
      </c>
      <c r="J62" s="1">
        <v>39.299818840500002</v>
      </c>
      <c r="K62" s="1">
        <v>5760</v>
      </c>
      <c r="L62" s="1" t="s">
        <v>76</v>
      </c>
      <c r="M62" s="1" t="s">
        <v>101</v>
      </c>
      <c r="N62" s="1" t="s">
        <v>79</v>
      </c>
      <c r="O62" s="1" t="s">
        <v>102</v>
      </c>
    </row>
    <row r="63" spans="1:15" x14ac:dyDescent="0.25">
      <c r="A63" s="1">
        <v>2018</v>
      </c>
      <c r="B63" s="1">
        <v>3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32</v>
      </c>
      <c r="H63" s="1" t="s">
        <v>81</v>
      </c>
      <c r="I63" s="1">
        <v>226366.95652099999</v>
      </c>
      <c r="J63" s="1">
        <v>39.299818840599997</v>
      </c>
      <c r="K63" s="1">
        <v>5760</v>
      </c>
      <c r="L63" s="1" t="s">
        <v>76</v>
      </c>
      <c r="M63" s="1" t="s">
        <v>101</v>
      </c>
      <c r="N63" s="1" t="s">
        <v>79</v>
      </c>
      <c r="O63" s="1" t="s">
        <v>102</v>
      </c>
    </row>
    <row r="64" spans="1:15" x14ac:dyDescent="0.25">
      <c r="A64" s="1">
        <v>2018</v>
      </c>
      <c r="B64" s="1">
        <v>3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34</v>
      </c>
      <c r="H64" s="1" t="s">
        <v>77</v>
      </c>
      <c r="I64" s="1">
        <v>82956.261410999999</v>
      </c>
      <c r="J64" s="1">
        <v>9.6014191447999995</v>
      </c>
      <c r="K64" s="1">
        <v>8640</v>
      </c>
      <c r="L64" s="1" t="s">
        <v>76</v>
      </c>
      <c r="M64" s="1" t="s">
        <v>101</v>
      </c>
      <c r="N64" s="1" t="s">
        <v>79</v>
      </c>
      <c r="O64" s="1" t="s">
        <v>102</v>
      </c>
    </row>
    <row r="65" spans="1:15" x14ac:dyDescent="0.25">
      <c r="A65" s="1">
        <v>2018</v>
      </c>
      <c r="B65" s="1">
        <v>3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34</v>
      </c>
      <c r="H65" s="1" t="s">
        <v>81</v>
      </c>
      <c r="I65" s="1">
        <v>83129.086955999999</v>
      </c>
      <c r="J65" s="1">
        <v>9.6214221014000003</v>
      </c>
      <c r="K65" s="1">
        <v>8640</v>
      </c>
      <c r="L65" s="1" t="s">
        <v>76</v>
      </c>
      <c r="M65" s="1" t="s">
        <v>101</v>
      </c>
      <c r="N65" s="1" t="s">
        <v>79</v>
      </c>
      <c r="O65" s="1" t="s">
        <v>102</v>
      </c>
    </row>
    <row r="66" spans="1:15" x14ac:dyDescent="0.25">
      <c r="A66" s="1">
        <v>2018</v>
      </c>
      <c r="B66" s="1">
        <v>3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32</v>
      </c>
      <c r="H66" s="1" t="s">
        <v>81</v>
      </c>
      <c r="I66" s="1">
        <v>0</v>
      </c>
      <c r="J66" s="1">
        <v>39.299818840599997</v>
      </c>
      <c r="K66" s="1">
        <v>0</v>
      </c>
      <c r="L66" s="1" t="s">
        <v>73</v>
      </c>
      <c r="M66" s="1" t="s">
        <v>103</v>
      </c>
      <c r="N66" s="1" t="s">
        <v>79</v>
      </c>
      <c r="O66" s="1" t="s">
        <v>83</v>
      </c>
    </row>
    <row r="67" spans="1:15" x14ac:dyDescent="0.25">
      <c r="A67" s="1">
        <v>2018</v>
      </c>
      <c r="B67" s="1">
        <v>3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34</v>
      </c>
      <c r="H67" s="1" t="s">
        <v>81</v>
      </c>
      <c r="I67" s="1">
        <v>0</v>
      </c>
      <c r="J67" s="1">
        <v>9.6214221014000003</v>
      </c>
      <c r="K67" s="1">
        <v>0</v>
      </c>
      <c r="L67" s="1" t="s">
        <v>73</v>
      </c>
      <c r="M67" s="1" t="s">
        <v>103</v>
      </c>
      <c r="N67" s="1" t="s">
        <v>79</v>
      </c>
      <c r="O67" s="1" t="s">
        <v>83</v>
      </c>
    </row>
    <row r="68" spans="1:15" x14ac:dyDescent="0.25">
      <c r="A68" s="1">
        <v>2018</v>
      </c>
      <c r="B68" s="1">
        <v>3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32</v>
      </c>
      <c r="H68" s="1" t="s">
        <v>81</v>
      </c>
      <c r="I68" s="1">
        <v>0</v>
      </c>
      <c r="J68" s="1">
        <v>39.299818840599997</v>
      </c>
      <c r="K68" s="1">
        <v>0</v>
      </c>
      <c r="L68" s="1" t="s">
        <v>76</v>
      </c>
      <c r="M68" s="1" t="s">
        <v>104</v>
      </c>
      <c r="N68" s="1" t="s">
        <v>79</v>
      </c>
      <c r="O68" s="1" t="s">
        <v>102</v>
      </c>
    </row>
    <row r="69" spans="1:15" x14ac:dyDescent="0.25">
      <c r="A69" s="1">
        <v>2018</v>
      </c>
      <c r="B69" s="1">
        <v>3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34</v>
      </c>
      <c r="H69" s="1" t="s">
        <v>81</v>
      </c>
      <c r="I69" s="1">
        <v>0</v>
      </c>
      <c r="J69" s="1">
        <v>9.6214221014000003</v>
      </c>
      <c r="K69" s="1">
        <v>0</v>
      </c>
      <c r="L69" s="1" t="s">
        <v>76</v>
      </c>
      <c r="M69" s="1" t="s">
        <v>104</v>
      </c>
      <c r="N69" s="1" t="s">
        <v>79</v>
      </c>
      <c r="O69" s="1" t="s">
        <v>102</v>
      </c>
    </row>
    <row r="70" spans="1:15" x14ac:dyDescent="0.25">
      <c r="A70" s="1">
        <v>2018</v>
      </c>
      <c r="B70" s="1">
        <v>3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32</v>
      </c>
      <c r="H70" s="1" t="s">
        <v>81</v>
      </c>
      <c r="I70" s="1">
        <v>0</v>
      </c>
      <c r="J70" s="1">
        <v>39.299818840599997</v>
      </c>
      <c r="K70" s="1">
        <v>0</v>
      </c>
      <c r="L70" s="1" t="s">
        <v>73</v>
      </c>
      <c r="M70" s="1" t="s">
        <v>105</v>
      </c>
      <c r="N70" s="1" t="s">
        <v>79</v>
      </c>
      <c r="O70" s="1" t="s">
        <v>83</v>
      </c>
    </row>
    <row r="71" spans="1:15" x14ac:dyDescent="0.25">
      <c r="A71" s="1">
        <v>2018</v>
      </c>
      <c r="B71" s="1">
        <v>3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34</v>
      </c>
      <c r="H71" s="1" t="s">
        <v>81</v>
      </c>
      <c r="I71" s="1">
        <v>0</v>
      </c>
      <c r="J71" s="1">
        <v>9.6214221014000003</v>
      </c>
      <c r="K71" s="1">
        <v>0</v>
      </c>
      <c r="L71" s="1" t="s">
        <v>73</v>
      </c>
      <c r="M71" s="1" t="s">
        <v>105</v>
      </c>
      <c r="N71" s="1" t="s">
        <v>79</v>
      </c>
      <c r="O71" s="1" t="s">
        <v>83</v>
      </c>
    </row>
    <row r="72" spans="1:15" x14ac:dyDescent="0.25">
      <c r="A72" s="1">
        <v>2018</v>
      </c>
      <c r="B72" s="1">
        <v>3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32</v>
      </c>
      <c r="H72" s="1" t="s">
        <v>81</v>
      </c>
      <c r="I72" s="1">
        <v>0</v>
      </c>
      <c r="J72" s="1">
        <v>39.299818840599997</v>
      </c>
      <c r="K72" s="1">
        <v>0</v>
      </c>
      <c r="L72" s="1" t="s">
        <v>75</v>
      </c>
      <c r="M72" s="1" t="s">
        <v>106</v>
      </c>
      <c r="N72" s="1" t="s">
        <v>79</v>
      </c>
      <c r="O72" s="1" t="s">
        <v>89</v>
      </c>
    </row>
    <row r="73" spans="1:15" x14ac:dyDescent="0.25">
      <c r="A73" s="1">
        <v>2018</v>
      </c>
      <c r="B73" s="1">
        <v>3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34</v>
      </c>
      <c r="H73" s="1" t="s">
        <v>81</v>
      </c>
      <c r="I73" s="1">
        <v>0</v>
      </c>
      <c r="J73" s="1">
        <v>9.6214221014000003</v>
      </c>
      <c r="K73" s="1">
        <v>0</v>
      </c>
      <c r="L73" s="1" t="s">
        <v>75</v>
      </c>
      <c r="M73" s="1" t="s">
        <v>106</v>
      </c>
      <c r="N73" s="1" t="s">
        <v>79</v>
      </c>
      <c r="O73" s="1" t="s">
        <v>89</v>
      </c>
    </row>
    <row r="74" spans="1:15" x14ac:dyDescent="0.25">
      <c r="A74" s="1">
        <v>2018</v>
      </c>
      <c r="B74" s="1">
        <v>4</v>
      </c>
      <c r="C74" s="1" t="s">
        <v>57</v>
      </c>
      <c r="D74" s="1" t="s">
        <v>22</v>
      </c>
      <c r="E74" s="1" t="s">
        <v>23</v>
      </c>
      <c r="F74" s="1" t="s">
        <v>24</v>
      </c>
      <c r="G74" s="1" t="s">
        <v>32</v>
      </c>
      <c r="H74" s="1" t="s">
        <v>77</v>
      </c>
      <c r="I74" s="1">
        <v>0</v>
      </c>
      <c r="J74" s="1">
        <v>75.274537037000002</v>
      </c>
      <c r="K74" s="1">
        <v>0</v>
      </c>
      <c r="L74" s="1" t="s">
        <v>75</v>
      </c>
      <c r="M74" s="1" t="s">
        <v>106</v>
      </c>
      <c r="N74" s="1" t="s">
        <v>79</v>
      </c>
      <c r="O74" s="1" t="s">
        <v>89</v>
      </c>
    </row>
    <row r="75" spans="1:15" x14ac:dyDescent="0.25">
      <c r="A75" s="1">
        <v>2018</v>
      </c>
      <c r="B75" s="1">
        <v>4</v>
      </c>
      <c r="C75" s="1" t="s">
        <v>57</v>
      </c>
      <c r="D75" s="1" t="s">
        <v>22</v>
      </c>
      <c r="E75" s="1" t="s">
        <v>23</v>
      </c>
      <c r="F75" s="1" t="s">
        <v>24</v>
      </c>
      <c r="G75" s="1" t="s">
        <v>32</v>
      </c>
      <c r="H75" s="1" t="s">
        <v>81</v>
      </c>
      <c r="I75" s="1">
        <v>0</v>
      </c>
      <c r="J75" s="1">
        <v>75.274537037000002</v>
      </c>
      <c r="K75" s="1">
        <v>0</v>
      </c>
      <c r="L75" s="1" t="s">
        <v>75</v>
      </c>
      <c r="M75" s="1" t="s">
        <v>106</v>
      </c>
      <c r="N75" s="1" t="s">
        <v>79</v>
      </c>
      <c r="O75" s="1" t="s">
        <v>89</v>
      </c>
    </row>
    <row r="76" spans="1:15" x14ac:dyDescent="0.25">
      <c r="A76" s="1">
        <v>2018</v>
      </c>
      <c r="B76" s="1">
        <v>4</v>
      </c>
      <c r="C76" s="1" t="s">
        <v>57</v>
      </c>
      <c r="D76" s="1" t="s">
        <v>22</v>
      </c>
      <c r="E76" s="1" t="s">
        <v>23</v>
      </c>
      <c r="F76" s="1" t="s">
        <v>24</v>
      </c>
      <c r="G76" s="1" t="s">
        <v>34</v>
      </c>
      <c r="H76" s="1" t="s">
        <v>77</v>
      </c>
      <c r="I76" s="1">
        <v>802.10454500000003</v>
      </c>
      <c r="J76" s="1">
        <v>12.7318181818</v>
      </c>
      <c r="K76" s="1">
        <v>63</v>
      </c>
      <c r="L76" s="1" t="s">
        <v>75</v>
      </c>
      <c r="M76" s="1" t="s">
        <v>106</v>
      </c>
      <c r="N76" s="1" t="s">
        <v>79</v>
      </c>
      <c r="O76" s="1" t="s">
        <v>89</v>
      </c>
    </row>
    <row r="77" spans="1:15" x14ac:dyDescent="0.25">
      <c r="A77" s="1">
        <v>2018</v>
      </c>
      <c r="B77" s="1">
        <v>4</v>
      </c>
      <c r="C77" s="1" t="s">
        <v>57</v>
      </c>
      <c r="D77" s="1" t="s">
        <v>22</v>
      </c>
      <c r="E77" s="1" t="s">
        <v>23</v>
      </c>
      <c r="F77" s="1" t="s">
        <v>24</v>
      </c>
      <c r="G77" s="1" t="s">
        <v>34</v>
      </c>
      <c r="H77" s="1" t="s">
        <v>81</v>
      </c>
      <c r="I77" s="1">
        <v>802.10454500000003</v>
      </c>
      <c r="J77" s="1">
        <v>12.7318181818</v>
      </c>
      <c r="K77" s="1">
        <v>63</v>
      </c>
      <c r="L77" s="1" t="s">
        <v>75</v>
      </c>
      <c r="M77" s="1" t="s">
        <v>106</v>
      </c>
      <c r="N77" s="1" t="s">
        <v>79</v>
      </c>
      <c r="O77" s="1" t="s">
        <v>89</v>
      </c>
    </row>
    <row r="78" spans="1:15" x14ac:dyDescent="0.25">
      <c r="A78" s="1">
        <v>2018</v>
      </c>
      <c r="B78" s="1">
        <v>4</v>
      </c>
      <c r="C78" s="1" t="s">
        <v>57</v>
      </c>
      <c r="D78" s="1" t="s">
        <v>22</v>
      </c>
      <c r="E78" s="1" t="s">
        <v>23</v>
      </c>
      <c r="F78" s="1" t="s">
        <v>24</v>
      </c>
      <c r="G78" s="1" t="s">
        <v>32</v>
      </c>
      <c r="H78" s="1" t="s">
        <v>81</v>
      </c>
      <c r="I78" s="1">
        <v>0</v>
      </c>
      <c r="J78" s="1">
        <v>75.274537037000002</v>
      </c>
      <c r="K78" s="1">
        <v>0</v>
      </c>
      <c r="L78" s="1" t="s">
        <v>73</v>
      </c>
      <c r="M78" s="1" t="s">
        <v>105</v>
      </c>
      <c r="N78" s="1" t="s">
        <v>79</v>
      </c>
      <c r="O78" s="1" t="s">
        <v>83</v>
      </c>
    </row>
    <row r="79" spans="1:15" x14ac:dyDescent="0.25">
      <c r="A79" s="1">
        <v>2018</v>
      </c>
      <c r="B79" s="1">
        <v>4</v>
      </c>
      <c r="C79" s="1" t="s">
        <v>57</v>
      </c>
      <c r="D79" s="1" t="s">
        <v>22</v>
      </c>
      <c r="E79" s="1" t="s">
        <v>23</v>
      </c>
      <c r="F79" s="1" t="s">
        <v>24</v>
      </c>
      <c r="G79" s="1" t="s">
        <v>34</v>
      </c>
      <c r="H79" s="1" t="s">
        <v>81</v>
      </c>
      <c r="I79" s="1">
        <v>0</v>
      </c>
      <c r="J79" s="1">
        <v>12.7318181818</v>
      </c>
      <c r="K79" s="1">
        <v>0</v>
      </c>
      <c r="L79" s="1" t="s">
        <v>73</v>
      </c>
      <c r="M79" s="1" t="s">
        <v>105</v>
      </c>
      <c r="N79" s="1" t="s">
        <v>79</v>
      </c>
      <c r="O79" s="1" t="s">
        <v>83</v>
      </c>
    </row>
    <row r="80" spans="1:15" x14ac:dyDescent="0.25">
      <c r="A80" s="1">
        <v>2018</v>
      </c>
      <c r="B80" s="1">
        <v>4</v>
      </c>
      <c r="C80" s="1" t="s">
        <v>57</v>
      </c>
      <c r="D80" s="1" t="s">
        <v>22</v>
      </c>
      <c r="E80" s="1" t="s">
        <v>23</v>
      </c>
      <c r="F80" s="1" t="s">
        <v>24</v>
      </c>
      <c r="G80" s="1" t="s">
        <v>32</v>
      </c>
      <c r="H80" s="1" t="s">
        <v>77</v>
      </c>
      <c r="I80" s="1">
        <v>10312.611574</v>
      </c>
      <c r="J80" s="1">
        <v>75.274537037000002</v>
      </c>
      <c r="K80" s="1">
        <v>137</v>
      </c>
      <c r="L80" s="1" t="s">
        <v>76</v>
      </c>
      <c r="M80" s="1" t="s">
        <v>104</v>
      </c>
      <c r="N80" s="1" t="s">
        <v>79</v>
      </c>
      <c r="O80" s="1" t="s">
        <v>102</v>
      </c>
    </row>
    <row r="81" spans="1:15" x14ac:dyDescent="0.25">
      <c r="A81" s="1">
        <v>2018</v>
      </c>
      <c r="B81" s="1">
        <v>4</v>
      </c>
      <c r="C81" s="1" t="s">
        <v>57</v>
      </c>
      <c r="D81" s="1" t="s">
        <v>22</v>
      </c>
      <c r="E81" s="1" t="s">
        <v>23</v>
      </c>
      <c r="F81" s="1" t="s">
        <v>24</v>
      </c>
      <c r="G81" s="1" t="s">
        <v>32</v>
      </c>
      <c r="H81" s="1" t="s">
        <v>81</v>
      </c>
      <c r="I81" s="1">
        <v>10312.611574</v>
      </c>
      <c r="J81" s="1">
        <v>75.274537037000002</v>
      </c>
      <c r="K81" s="1">
        <v>137</v>
      </c>
      <c r="L81" s="1" t="s">
        <v>76</v>
      </c>
      <c r="M81" s="1" t="s">
        <v>104</v>
      </c>
      <c r="N81" s="1" t="s">
        <v>79</v>
      </c>
      <c r="O81" s="1" t="s">
        <v>102</v>
      </c>
    </row>
    <row r="82" spans="1:15" x14ac:dyDescent="0.25">
      <c r="A82" s="1">
        <v>2018</v>
      </c>
      <c r="B82" s="1">
        <v>4</v>
      </c>
      <c r="C82" s="1" t="s">
        <v>57</v>
      </c>
      <c r="D82" s="1" t="s">
        <v>22</v>
      </c>
      <c r="E82" s="1" t="s">
        <v>23</v>
      </c>
      <c r="F82" s="1" t="s">
        <v>24</v>
      </c>
      <c r="G82" s="1" t="s">
        <v>34</v>
      </c>
      <c r="H82" s="1" t="s">
        <v>81</v>
      </c>
      <c r="I82" s="1">
        <v>0</v>
      </c>
      <c r="J82" s="1">
        <v>12.7318181818</v>
      </c>
      <c r="K82" s="1">
        <v>0</v>
      </c>
      <c r="L82" s="1" t="s">
        <v>76</v>
      </c>
      <c r="M82" s="1" t="s">
        <v>104</v>
      </c>
      <c r="N82" s="1" t="s">
        <v>79</v>
      </c>
      <c r="O82" s="1" t="s">
        <v>102</v>
      </c>
    </row>
    <row r="83" spans="1:15" x14ac:dyDescent="0.25">
      <c r="A83" s="1">
        <v>2018</v>
      </c>
      <c r="B83" s="1">
        <v>4</v>
      </c>
      <c r="C83" s="1" t="s">
        <v>57</v>
      </c>
      <c r="D83" s="1" t="s">
        <v>22</v>
      </c>
      <c r="E83" s="1" t="s">
        <v>23</v>
      </c>
      <c r="F83" s="1" t="s">
        <v>24</v>
      </c>
      <c r="G83" s="1" t="s">
        <v>32</v>
      </c>
      <c r="H83" s="1" t="s">
        <v>77</v>
      </c>
      <c r="I83" s="1">
        <v>4140.0995370000001</v>
      </c>
      <c r="J83" s="1">
        <v>75.274537037000002</v>
      </c>
      <c r="K83" s="1">
        <v>55</v>
      </c>
      <c r="L83" s="1" t="s">
        <v>73</v>
      </c>
      <c r="M83" s="1" t="s">
        <v>103</v>
      </c>
      <c r="N83" s="1" t="s">
        <v>79</v>
      </c>
      <c r="O83" s="1" t="s">
        <v>83</v>
      </c>
    </row>
    <row r="84" spans="1:15" x14ac:dyDescent="0.25">
      <c r="A84" s="1">
        <v>2018</v>
      </c>
      <c r="B84" s="1">
        <v>4</v>
      </c>
      <c r="C84" s="1" t="s">
        <v>57</v>
      </c>
      <c r="D84" s="1" t="s">
        <v>22</v>
      </c>
      <c r="E84" s="1" t="s">
        <v>23</v>
      </c>
      <c r="F84" s="1" t="s">
        <v>24</v>
      </c>
      <c r="G84" s="1" t="s">
        <v>32</v>
      </c>
      <c r="H84" s="1" t="s">
        <v>81</v>
      </c>
      <c r="I84" s="1">
        <v>4140.0995370000001</v>
      </c>
      <c r="J84" s="1">
        <v>75.274537037000002</v>
      </c>
      <c r="K84" s="1">
        <v>55</v>
      </c>
      <c r="L84" s="1" t="s">
        <v>73</v>
      </c>
      <c r="M84" s="1" t="s">
        <v>103</v>
      </c>
      <c r="N84" s="1" t="s">
        <v>79</v>
      </c>
      <c r="O84" s="1" t="s">
        <v>83</v>
      </c>
    </row>
    <row r="85" spans="1:15" x14ac:dyDescent="0.25">
      <c r="A85" s="1">
        <v>2018</v>
      </c>
      <c r="B85" s="1">
        <v>4</v>
      </c>
      <c r="C85" s="1" t="s">
        <v>57</v>
      </c>
      <c r="D85" s="1" t="s">
        <v>22</v>
      </c>
      <c r="E85" s="1" t="s">
        <v>23</v>
      </c>
      <c r="F85" s="1" t="s">
        <v>24</v>
      </c>
      <c r="G85" s="1" t="s">
        <v>34</v>
      </c>
      <c r="H85" s="1" t="s">
        <v>77</v>
      </c>
      <c r="I85" s="1">
        <v>4456.1363629999996</v>
      </c>
      <c r="J85" s="1">
        <v>12.7318181818</v>
      </c>
      <c r="K85" s="1">
        <v>350</v>
      </c>
      <c r="L85" s="1" t="s">
        <v>73</v>
      </c>
      <c r="M85" s="1" t="s">
        <v>103</v>
      </c>
      <c r="N85" s="1" t="s">
        <v>79</v>
      </c>
      <c r="O85" s="1" t="s">
        <v>83</v>
      </c>
    </row>
    <row r="86" spans="1:15" x14ac:dyDescent="0.25">
      <c r="A86" s="1">
        <v>2018</v>
      </c>
      <c r="B86" s="1">
        <v>4</v>
      </c>
      <c r="C86" s="1" t="s">
        <v>57</v>
      </c>
      <c r="D86" s="1" t="s">
        <v>22</v>
      </c>
      <c r="E86" s="1" t="s">
        <v>23</v>
      </c>
      <c r="F86" s="1" t="s">
        <v>24</v>
      </c>
      <c r="G86" s="1" t="s">
        <v>34</v>
      </c>
      <c r="H86" s="1" t="s">
        <v>81</v>
      </c>
      <c r="I86" s="1">
        <v>4456.1363629999996</v>
      </c>
      <c r="J86" s="1">
        <v>12.7318181818</v>
      </c>
      <c r="K86" s="1">
        <v>350</v>
      </c>
      <c r="L86" s="1" t="s">
        <v>73</v>
      </c>
      <c r="M86" s="1" t="s">
        <v>103</v>
      </c>
      <c r="N86" s="1" t="s">
        <v>79</v>
      </c>
      <c r="O86" s="1" t="s">
        <v>83</v>
      </c>
    </row>
    <row r="87" spans="1:15" x14ac:dyDescent="0.25">
      <c r="A87" s="1">
        <v>2018</v>
      </c>
      <c r="B87" s="1">
        <v>4</v>
      </c>
      <c r="C87" s="1" t="s">
        <v>57</v>
      </c>
      <c r="D87" s="1" t="s">
        <v>22</v>
      </c>
      <c r="E87" s="1" t="s">
        <v>23</v>
      </c>
      <c r="F87" s="1" t="s">
        <v>24</v>
      </c>
      <c r="G87" s="1" t="s">
        <v>32</v>
      </c>
      <c r="H87" s="1" t="s">
        <v>77</v>
      </c>
      <c r="I87" s="1">
        <v>361317.77777699998</v>
      </c>
      <c r="J87" s="1">
        <v>75.274537037000002</v>
      </c>
      <c r="K87" s="1">
        <v>4800</v>
      </c>
      <c r="L87" s="1" t="s">
        <v>76</v>
      </c>
      <c r="M87" s="1" t="s">
        <v>101</v>
      </c>
      <c r="N87" s="1" t="s">
        <v>79</v>
      </c>
      <c r="O87" s="1" t="s">
        <v>102</v>
      </c>
    </row>
    <row r="88" spans="1:15" x14ac:dyDescent="0.25">
      <c r="A88" s="1">
        <v>2018</v>
      </c>
      <c r="B88" s="1">
        <v>4</v>
      </c>
      <c r="C88" s="1" t="s">
        <v>57</v>
      </c>
      <c r="D88" s="1" t="s">
        <v>22</v>
      </c>
      <c r="E88" s="1" t="s">
        <v>23</v>
      </c>
      <c r="F88" s="1" t="s">
        <v>24</v>
      </c>
      <c r="G88" s="1" t="s">
        <v>32</v>
      </c>
      <c r="H88" s="1" t="s">
        <v>81</v>
      </c>
      <c r="I88" s="1">
        <v>361317.77777699998</v>
      </c>
      <c r="J88" s="1">
        <v>75.274537037000002</v>
      </c>
      <c r="K88" s="1">
        <v>4800</v>
      </c>
      <c r="L88" s="1" t="s">
        <v>76</v>
      </c>
      <c r="M88" s="1" t="s">
        <v>101</v>
      </c>
      <c r="N88" s="1" t="s">
        <v>79</v>
      </c>
      <c r="O88" s="1" t="s">
        <v>102</v>
      </c>
    </row>
    <row r="89" spans="1:15" x14ac:dyDescent="0.25">
      <c r="A89" s="1">
        <v>2018</v>
      </c>
      <c r="B89" s="1">
        <v>4</v>
      </c>
      <c r="C89" s="1" t="s">
        <v>57</v>
      </c>
      <c r="D89" s="1" t="s">
        <v>22</v>
      </c>
      <c r="E89" s="1" t="s">
        <v>23</v>
      </c>
      <c r="F89" s="1" t="s">
        <v>24</v>
      </c>
      <c r="G89" s="1" t="s">
        <v>34</v>
      </c>
      <c r="H89" s="1" t="s">
        <v>77</v>
      </c>
      <c r="I89" s="1">
        <v>97780.363635999995</v>
      </c>
      <c r="J89" s="1">
        <v>12.7318181818</v>
      </c>
      <c r="K89" s="1">
        <v>7680</v>
      </c>
      <c r="L89" s="1" t="s">
        <v>76</v>
      </c>
      <c r="M89" s="1" t="s">
        <v>101</v>
      </c>
      <c r="N89" s="1" t="s">
        <v>79</v>
      </c>
      <c r="O89" s="1" t="s">
        <v>102</v>
      </c>
    </row>
    <row r="90" spans="1:15" x14ac:dyDescent="0.25">
      <c r="A90" s="1">
        <v>2018</v>
      </c>
      <c r="B90" s="1">
        <v>4</v>
      </c>
      <c r="C90" s="1" t="s">
        <v>57</v>
      </c>
      <c r="D90" s="1" t="s">
        <v>22</v>
      </c>
      <c r="E90" s="1" t="s">
        <v>23</v>
      </c>
      <c r="F90" s="1" t="s">
        <v>24</v>
      </c>
      <c r="G90" s="1" t="s">
        <v>34</v>
      </c>
      <c r="H90" s="1" t="s">
        <v>81</v>
      </c>
      <c r="I90" s="1">
        <v>97780.363635999995</v>
      </c>
      <c r="J90" s="1">
        <v>12.7318181818</v>
      </c>
      <c r="K90" s="1">
        <v>7680</v>
      </c>
      <c r="L90" s="1" t="s">
        <v>76</v>
      </c>
      <c r="M90" s="1" t="s">
        <v>101</v>
      </c>
      <c r="N90" s="1" t="s">
        <v>79</v>
      </c>
      <c r="O90" s="1" t="s">
        <v>102</v>
      </c>
    </row>
    <row r="91" spans="1:15" x14ac:dyDescent="0.25">
      <c r="A91" s="1">
        <v>2018</v>
      </c>
      <c r="B91" s="1">
        <v>4</v>
      </c>
      <c r="C91" s="1" t="s">
        <v>57</v>
      </c>
      <c r="D91" s="1" t="s">
        <v>22</v>
      </c>
      <c r="E91" s="1" t="s">
        <v>23</v>
      </c>
      <c r="F91" s="1" t="s">
        <v>24</v>
      </c>
      <c r="G91" s="1" t="s">
        <v>32</v>
      </c>
      <c r="H91" s="1" t="s">
        <v>81</v>
      </c>
      <c r="I91" s="1">
        <v>0</v>
      </c>
      <c r="J91" s="1">
        <v>75.274537037000002</v>
      </c>
      <c r="K91" s="1">
        <v>0</v>
      </c>
      <c r="L91" s="1" t="s">
        <v>75</v>
      </c>
      <c r="M91" s="1" t="s">
        <v>100</v>
      </c>
      <c r="N91" s="1" t="s">
        <v>79</v>
      </c>
      <c r="O91" s="1" t="s">
        <v>89</v>
      </c>
    </row>
    <row r="92" spans="1:15" x14ac:dyDescent="0.25">
      <c r="A92" s="1">
        <v>2018</v>
      </c>
      <c r="B92" s="1">
        <v>4</v>
      </c>
      <c r="C92" s="1" t="s">
        <v>57</v>
      </c>
      <c r="D92" s="1" t="s">
        <v>22</v>
      </c>
      <c r="E92" s="1" t="s">
        <v>23</v>
      </c>
      <c r="F92" s="1" t="s">
        <v>24</v>
      </c>
      <c r="G92" s="1" t="s">
        <v>34</v>
      </c>
      <c r="H92" s="1" t="s">
        <v>81</v>
      </c>
      <c r="I92" s="1">
        <v>0</v>
      </c>
      <c r="J92" s="1">
        <v>12.7318181818</v>
      </c>
      <c r="K92" s="1">
        <v>0</v>
      </c>
      <c r="L92" s="1" t="s">
        <v>75</v>
      </c>
      <c r="M92" s="1" t="s">
        <v>100</v>
      </c>
      <c r="N92" s="1" t="s">
        <v>79</v>
      </c>
      <c r="O92" s="1" t="s">
        <v>89</v>
      </c>
    </row>
    <row r="93" spans="1:15" x14ac:dyDescent="0.25">
      <c r="A93" s="1">
        <v>2018</v>
      </c>
      <c r="B93" s="1">
        <v>4</v>
      </c>
      <c r="C93" s="1" t="s">
        <v>57</v>
      </c>
      <c r="D93" s="1" t="s">
        <v>22</v>
      </c>
      <c r="E93" s="1" t="s">
        <v>23</v>
      </c>
      <c r="F93" s="1" t="s">
        <v>24</v>
      </c>
      <c r="G93" s="1" t="s">
        <v>32</v>
      </c>
      <c r="H93" s="1" t="s">
        <v>81</v>
      </c>
      <c r="I93" s="1">
        <v>0</v>
      </c>
      <c r="J93" s="1">
        <v>75.274537037000002</v>
      </c>
      <c r="K93" s="1">
        <v>0</v>
      </c>
      <c r="L93" s="1" t="s">
        <v>73</v>
      </c>
      <c r="M93" s="1" t="s">
        <v>99</v>
      </c>
      <c r="N93" s="1" t="s">
        <v>79</v>
      </c>
      <c r="O93" s="1" t="s">
        <v>83</v>
      </c>
    </row>
    <row r="94" spans="1:15" x14ac:dyDescent="0.25">
      <c r="A94" s="1">
        <v>2018</v>
      </c>
      <c r="B94" s="1">
        <v>4</v>
      </c>
      <c r="C94" s="1" t="s">
        <v>57</v>
      </c>
      <c r="D94" s="1" t="s">
        <v>22</v>
      </c>
      <c r="E94" s="1" t="s">
        <v>23</v>
      </c>
      <c r="F94" s="1" t="s">
        <v>24</v>
      </c>
      <c r="G94" s="1" t="s">
        <v>34</v>
      </c>
      <c r="H94" s="1" t="s">
        <v>81</v>
      </c>
      <c r="I94" s="1">
        <v>0</v>
      </c>
      <c r="J94" s="1">
        <v>12.7318181818</v>
      </c>
      <c r="K94" s="1">
        <v>0</v>
      </c>
      <c r="L94" s="1" t="s">
        <v>73</v>
      </c>
      <c r="M94" s="1" t="s">
        <v>99</v>
      </c>
      <c r="N94" s="1" t="s">
        <v>79</v>
      </c>
      <c r="O94" s="1" t="s">
        <v>83</v>
      </c>
    </row>
    <row r="95" spans="1:15" x14ac:dyDescent="0.25">
      <c r="A95" s="1">
        <v>2018</v>
      </c>
      <c r="B95" s="1">
        <v>4</v>
      </c>
      <c r="C95" s="1" t="s">
        <v>57</v>
      </c>
      <c r="D95" s="1" t="s">
        <v>22</v>
      </c>
      <c r="E95" s="1" t="s">
        <v>23</v>
      </c>
      <c r="F95" s="1" t="s">
        <v>24</v>
      </c>
      <c r="G95" s="1" t="s">
        <v>32</v>
      </c>
      <c r="H95" s="1" t="s">
        <v>81</v>
      </c>
      <c r="I95" s="1">
        <v>0</v>
      </c>
      <c r="J95" s="1">
        <v>75.274537037000002</v>
      </c>
      <c r="K95" s="1">
        <v>0</v>
      </c>
      <c r="L95" s="1" t="s">
        <v>73</v>
      </c>
      <c r="M95" s="1" t="s">
        <v>98</v>
      </c>
      <c r="N95" s="1" t="s">
        <v>79</v>
      </c>
      <c r="O95" s="1" t="s">
        <v>83</v>
      </c>
    </row>
    <row r="96" spans="1:15" x14ac:dyDescent="0.25">
      <c r="A96" s="1">
        <v>2018</v>
      </c>
      <c r="B96" s="1">
        <v>4</v>
      </c>
      <c r="C96" s="1" t="s">
        <v>57</v>
      </c>
      <c r="D96" s="1" t="s">
        <v>22</v>
      </c>
      <c r="E96" s="1" t="s">
        <v>23</v>
      </c>
      <c r="F96" s="1" t="s">
        <v>24</v>
      </c>
      <c r="G96" s="1" t="s">
        <v>34</v>
      </c>
      <c r="H96" s="1" t="s">
        <v>81</v>
      </c>
      <c r="I96" s="1">
        <v>0</v>
      </c>
      <c r="J96" s="1">
        <v>12.7318181818</v>
      </c>
      <c r="K96" s="1">
        <v>0</v>
      </c>
      <c r="L96" s="1" t="s">
        <v>73</v>
      </c>
      <c r="M96" s="1" t="s">
        <v>98</v>
      </c>
      <c r="N96" s="1" t="s">
        <v>79</v>
      </c>
      <c r="O96" s="1" t="s">
        <v>83</v>
      </c>
    </row>
    <row r="97" spans="1:15" x14ac:dyDescent="0.25">
      <c r="A97" s="1">
        <v>2018</v>
      </c>
      <c r="B97" s="1">
        <v>4</v>
      </c>
      <c r="C97" s="1" t="s">
        <v>57</v>
      </c>
      <c r="D97" s="1" t="s">
        <v>22</v>
      </c>
      <c r="E97" s="1" t="s">
        <v>23</v>
      </c>
      <c r="F97" s="1" t="s">
        <v>24</v>
      </c>
      <c r="G97" s="1" t="s">
        <v>32</v>
      </c>
      <c r="H97" s="1" t="s">
        <v>81</v>
      </c>
      <c r="I97" s="1">
        <v>0</v>
      </c>
      <c r="J97" s="1">
        <v>75.274537037000002</v>
      </c>
      <c r="K97" s="1">
        <v>0</v>
      </c>
      <c r="L97" s="1" t="s">
        <v>75</v>
      </c>
      <c r="M97" s="1" t="s">
        <v>97</v>
      </c>
      <c r="N97" s="1" t="s">
        <v>96</v>
      </c>
      <c r="O97" s="1" t="s">
        <v>89</v>
      </c>
    </row>
    <row r="98" spans="1:15" x14ac:dyDescent="0.25">
      <c r="A98" s="1">
        <v>2018</v>
      </c>
      <c r="B98" s="1">
        <v>4</v>
      </c>
      <c r="C98" s="1" t="s">
        <v>57</v>
      </c>
      <c r="D98" s="1" t="s">
        <v>22</v>
      </c>
      <c r="E98" s="1" t="s">
        <v>23</v>
      </c>
      <c r="F98" s="1" t="s">
        <v>24</v>
      </c>
      <c r="G98" s="1" t="s">
        <v>34</v>
      </c>
      <c r="H98" s="1" t="s">
        <v>81</v>
      </c>
      <c r="I98" s="1">
        <v>0</v>
      </c>
      <c r="J98" s="1">
        <v>12.7318181818</v>
      </c>
      <c r="K98" s="1">
        <v>0</v>
      </c>
      <c r="L98" s="1" t="s">
        <v>75</v>
      </c>
      <c r="M98" s="1" t="s">
        <v>97</v>
      </c>
      <c r="N98" s="1" t="s">
        <v>96</v>
      </c>
      <c r="O98" s="1" t="s">
        <v>89</v>
      </c>
    </row>
    <row r="99" spans="1:15" x14ac:dyDescent="0.25">
      <c r="A99" s="1">
        <v>2018</v>
      </c>
      <c r="B99" s="1">
        <v>4</v>
      </c>
      <c r="C99" s="1" t="s">
        <v>57</v>
      </c>
      <c r="D99" s="1" t="s">
        <v>22</v>
      </c>
      <c r="E99" s="1" t="s">
        <v>23</v>
      </c>
      <c r="F99" s="1" t="s">
        <v>24</v>
      </c>
      <c r="G99" s="1" t="s">
        <v>32</v>
      </c>
      <c r="H99" s="1" t="s">
        <v>81</v>
      </c>
      <c r="I99" s="1">
        <v>0</v>
      </c>
      <c r="J99" s="1">
        <v>75.274537037000002</v>
      </c>
      <c r="K99" s="1">
        <v>0</v>
      </c>
      <c r="L99" s="1" t="s">
        <v>75</v>
      </c>
      <c r="M99" s="1" t="s">
        <v>95</v>
      </c>
      <c r="N99" s="1" t="s">
        <v>96</v>
      </c>
      <c r="O99" s="1" t="s">
        <v>89</v>
      </c>
    </row>
    <row r="100" spans="1:15" x14ac:dyDescent="0.25">
      <c r="A100" s="1">
        <v>2018</v>
      </c>
      <c r="B100" s="1">
        <v>4</v>
      </c>
      <c r="C100" s="1" t="s">
        <v>57</v>
      </c>
      <c r="D100" s="1" t="s">
        <v>22</v>
      </c>
      <c r="E100" s="1" t="s">
        <v>23</v>
      </c>
      <c r="F100" s="1" t="s">
        <v>24</v>
      </c>
      <c r="G100" s="1" t="s">
        <v>34</v>
      </c>
      <c r="H100" s="1" t="s">
        <v>77</v>
      </c>
      <c r="I100" s="1">
        <v>3666.7636360000001</v>
      </c>
      <c r="J100" s="1">
        <v>12.7318181818</v>
      </c>
      <c r="K100" s="1">
        <v>288</v>
      </c>
      <c r="L100" s="1" t="s">
        <v>75</v>
      </c>
      <c r="M100" s="1" t="s">
        <v>95</v>
      </c>
      <c r="N100" s="1" t="s">
        <v>96</v>
      </c>
      <c r="O100" s="1" t="s">
        <v>89</v>
      </c>
    </row>
    <row r="101" spans="1:15" x14ac:dyDescent="0.25">
      <c r="A101" s="1">
        <v>2018</v>
      </c>
      <c r="B101" s="1">
        <v>4</v>
      </c>
      <c r="C101" s="1" t="s">
        <v>57</v>
      </c>
      <c r="D101" s="1" t="s">
        <v>22</v>
      </c>
      <c r="E101" s="1" t="s">
        <v>23</v>
      </c>
      <c r="F101" s="1" t="s">
        <v>24</v>
      </c>
      <c r="G101" s="1" t="s">
        <v>34</v>
      </c>
      <c r="H101" s="1" t="s">
        <v>81</v>
      </c>
      <c r="I101" s="1">
        <v>3666.7636360000001</v>
      </c>
      <c r="J101" s="1">
        <v>12.7318181818</v>
      </c>
      <c r="K101" s="1">
        <v>288</v>
      </c>
      <c r="L101" s="1" t="s">
        <v>75</v>
      </c>
      <c r="M101" s="1" t="s">
        <v>95</v>
      </c>
      <c r="N101" s="1" t="s">
        <v>96</v>
      </c>
      <c r="O101" s="1" t="s">
        <v>89</v>
      </c>
    </row>
    <row r="102" spans="1:15" x14ac:dyDescent="0.25">
      <c r="A102" s="1">
        <v>2018</v>
      </c>
      <c r="B102" s="1">
        <v>4</v>
      </c>
      <c r="C102" s="1" t="s">
        <v>57</v>
      </c>
      <c r="D102" s="1" t="s">
        <v>22</v>
      </c>
      <c r="E102" s="1" t="s">
        <v>23</v>
      </c>
      <c r="F102" s="1" t="s">
        <v>24</v>
      </c>
      <c r="G102" s="1" t="s">
        <v>32</v>
      </c>
      <c r="H102" s="1" t="s">
        <v>81</v>
      </c>
      <c r="I102" s="1">
        <v>0</v>
      </c>
      <c r="J102" s="1">
        <v>75.274537037000002</v>
      </c>
      <c r="K102" s="1">
        <v>0</v>
      </c>
      <c r="L102" s="1" t="s">
        <v>75</v>
      </c>
      <c r="M102" s="1" t="s">
        <v>94</v>
      </c>
      <c r="N102" s="1" t="s">
        <v>79</v>
      </c>
      <c r="O102" s="1" t="s">
        <v>89</v>
      </c>
    </row>
    <row r="103" spans="1:15" x14ac:dyDescent="0.25">
      <c r="A103" s="1">
        <v>2018</v>
      </c>
      <c r="B103" s="1">
        <v>4</v>
      </c>
      <c r="C103" s="1" t="s">
        <v>57</v>
      </c>
      <c r="D103" s="1" t="s">
        <v>22</v>
      </c>
      <c r="E103" s="1" t="s">
        <v>23</v>
      </c>
      <c r="F103" s="1" t="s">
        <v>24</v>
      </c>
      <c r="G103" s="1" t="s">
        <v>34</v>
      </c>
      <c r="H103" s="1" t="s">
        <v>81</v>
      </c>
      <c r="I103" s="1">
        <v>0</v>
      </c>
      <c r="J103" s="1">
        <v>12.7318181818</v>
      </c>
      <c r="K103" s="1">
        <v>0</v>
      </c>
      <c r="L103" s="1" t="s">
        <v>75</v>
      </c>
      <c r="M103" s="1" t="s">
        <v>94</v>
      </c>
      <c r="N103" s="1" t="s">
        <v>79</v>
      </c>
      <c r="O103" s="1" t="s">
        <v>89</v>
      </c>
    </row>
    <row r="104" spans="1:15" x14ac:dyDescent="0.25">
      <c r="A104" s="1">
        <v>2018</v>
      </c>
      <c r="B104" s="1">
        <v>4</v>
      </c>
      <c r="C104" s="1" t="s">
        <v>57</v>
      </c>
      <c r="D104" s="1" t="s">
        <v>22</v>
      </c>
      <c r="E104" s="1" t="s">
        <v>23</v>
      </c>
      <c r="F104" s="1" t="s">
        <v>24</v>
      </c>
      <c r="G104" s="1" t="s">
        <v>32</v>
      </c>
      <c r="H104" s="1" t="s">
        <v>77</v>
      </c>
      <c r="I104" s="1">
        <v>21076.870370000001</v>
      </c>
      <c r="J104" s="1">
        <v>75.274537037000002</v>
      </c>
      <c r="K104" s="1">
        <v>280</v>
      </c>
      <c r="L104" s="1" t="s">
        <v>73</v>
      </c>
      <c r="M104" s="1" t="s">
        <v>93</v>
      </c>
      <c r="N104" s="1" t="s">
        <v>79</v>
      </c>
      <c r="O104" s="1" t="s">
        <v>83</v>
      </c>
    </row>
    <row r="105" spans="1:15" x14ac:dyDescent="0.25">
      <c r="A105" s="1">
        <v>2018</v>
      </c>
      <c r="B105" s="1">
        <v>4</v>
      </c>
      <c r="C105" s="1" t="s">
        <v>57</v>
      </c>
      <c r="D105" s="1" t="s">
        <v>22</v>
      </c>
      <c r="E105" s="1" t="s">
        <v>23</v>
      </c>
      <c r="F105" s="1" t="s">
        <v>24</v>
      </c>
      <c r="G105" s="1" t="s">
        <v>32</v>
      </c>
      <c r="H105" s="1" t="s">
        <v>81</v>
      </c>
      <c r="I105" s="1">
        <v>21076.870370000001</v>
      </c>
      <c r="J105" s="1">
        <v>75.274537037000002</v>
      </c>
      <c r="K105" s="1">
        <v>280</v>
      </c>
      <c r="L105" s="1" t="s">
        <v>73</v>
      </c>
      <c r="M105" s="1" t="s">
        <v>93</v>
      </c>
      <c r="N105" s="1" t="s">
        <v>79</v>
      </c>
      <c r="O105" s="1" t="s">
        <v>83</v>
      </c>
    </row>
    <row r="106" spans="1:15" x14ac:dyDescent="0.25">
      <c r="A106" s="1">
        <v>2018</v>
      </c>
      <c r="B106" s="1">
        <v>4</v>
      </c>
      <c r="C106" s="1" t="s">
        <v>57</v>
      </c>
      <c r="D106" s="1" t="s">
        <v>22</v>
      </c>
      <c r="E106" s="1" t="s">
        <v>23</v>
      </c>
      <c r="F106" s="1" t="s">
        <v>24</v>
      </c>
      <c r="G106" s="1" t="s">
        <v>34</v>
      </c>
      <c r="H106" s="1" t="s">
        <v>81</v>
      </c>
      <c r="I106" s="1">
        <v>0</v>
      </c>
      <c r="J106" s="1">
        <v>12.7318181818</v>
      </c>
      <c r="K106" s="1">
        <v>0</v>
      </c>
      <c r="L106" s="1" t="s">
        <v>73</v>
      </c>
      <c r="M106" s="1" t="s">
        <v>93</v>
      </c>
      <c r="N106" s="1" t="s">
        <v>79</v>
      </c>
      <c r="O106" s="1" t="s">
        <v>83</v>
      </c>
    </row>
    <row r="107" spans="1:15" x14ac:dyDescent="0.25">
      <c r="A107" s="1">
        <v>2018</v>
      </c>
      <c r="B107" s="1">
        <v>4</v>
      </c>
      <c r="C107" s="1" t="s">
        <v>57</v>
      </c>
      <c r="D107" s="1" t="s">
        <v>22</v>
      </c>
      <c r="E107" s="1" t="s">
        <v>23</v>
      </c>
      <c r="F107" s="1" t="s">
        <v>24</v>
      </c>
      <c r="G107" s="1" t="s">
        <v>32</v>
      </c>
      <c r="H107" s="1" t="s">
        <v>81</v>
      </c>
      <c r="I107" s="1">
        <v>0</v>
      </c>
      <c r="J107" s="1">
        <v>75.274537037000002</v>
      </c>
      <c r="K107" s="1">
        <v>0</v>
      </c>
      <c r="L107" s="1" t="s">
        <v>74</v>
      </c>
      <c r="M107" s="1" t="s">
        <v>92</v>
      </c>
      <c r="N107" s="1" t="s">
        <v>79</v>
      </c>
      <c r="O107" s="1" t="s">
        <v>80</v>
      </c>
    </row>
    <row r="108" spans="1:15" x14ac:dyDescent="0.25">
      <c r="A108" s="1">
        <v>2018</v>
      </c>
      <c r="B108" s="1">
        <v>4</v>
      </c>
      <c r="C108" s="1" t="s">
        <v>57</v>
      </c>
      <c r="D108" s="1" t="s">
        <v>22</v>
      </c>
      <c r="E108" s="1" t="s">
        <v>23</v>
      </c>
      <c r="F108" s="1" t="s">
        <v>24</v>
      </c>
      <c r="G108" s="1" t="s">
        <v>34</v>
      </c>
      <c r="H108" s="1" t="s">
        <v>81</v>
      </c>
      <c r="I108" s="1">
        <v>0</v>
      </c>
      <c r="J108" s="1">
        <v>12.7318181818</v>
      </c>
      <c r="K108" s="1">
        <v>0</v>
      </c>
      <c r="L108" s="1" t="s">
        <v>74</v>
      </c>
      <c r="M108" s="1" t="s">
        <v>92</v>
      </c>
      <c r="N108" s="1" t="s">
        <v>79</v>
      </c>
      <c r="O108" s="1" t="s">
        <v>80</v>
      </c>
    </row>
    <row r="109" spans="1:15" x14ac:dyDescent="0.25">
      <c r="A109" s="1">
        <v>2018</v>
      </c>
      <c r="B109" s="1">
        <v>4</v>
      </c>
      <c r="C109" s="1" t="s">
        <v>57</v>
      </c>
      <c r="D109" s="1" t="s">
        <v>22</v>
      </c>
      <c r="E109" s="1" t="s">
        <v>23</v>
      </c>
      <c r="F109" s="1" t="s">
        <v>24</v>
      </c>
      <c r="G109" s="1" t="s">
        <v>32</v>
      </c>
      <c r="H109" s="1" t="s">
        <v>81</v>
      </c>
      <c r="I109" s="1">
        <v>0</v>
      </c>
      <c r="J109" s="1">
        <v>75.274537037000002</v>
      </c>
      <c r="K109" s="1">
        <v>0</v>
      </c>
      <c r="L109" s="1" t="s">
        <v>73</v>
      </c>
      <c r="M109" s="1" t="s">
        <v>91</v>
      </c>
      <c r="N109" s="1" t="s">
        <v>79</v>
      </c>
      <c r="O109" s="1" t="s">
        <v>83</v>
      </c>
    </row>
    <row r="110" spans="1:15" x14ac:dyDescent="0.25">
      <c r="A110" s="1">
        <v>2018</v>
      </c>
      <c r="B110" s="1">
        <v>4</v>
      </c>
      <c r="C110" s="1" t="s">
        <v>57</v>
      </c>
      <c r="D110" s="1" t="s">
        <v>22</v>
      </c>
      <c r="E110" s="1" t="s">
        <v>23</v>
      </c>
      <c r="F110" s="1" t="s">
        <v>24</v>
      </c>
      <c r="G110" s="1" t="s">
        <v>34</v>
      </c>
      <c r="H110" s="1" t="s">
        <v>81</v>
      </c>
      <c r="I110" s="1">
        <v>0</v>
      </c>
      <c r="J110" s="1">
        <v>12.7318181818</v>
      </c>
      <c r="K110" s="1">
        <v>0</v>
      </c>
      <c r="L110" s="1" t="s">
        <v>73</v>
      </c>
      <c r="M110" s="1" t="s">
        <v>91</v>
      </c>
      <c r="N110" s="1" t="s">
        <v>79</v>
      </c>
      <c r="O110" s="1" t="s">
        <v>83</v>
      </c>
    </row>
    <row r="111" spans="1:15" x14ac:dyDescent="0.25">
      <c r="A111" s="1">
        <v>2018</v>
      </c>
      <c r="B111" s="1">
        <v>4</v>
      </c>
      <c r="C111" s="1" t="s">
        <v>57</v>
      </c>
      <c r="D111" s="1" t="s">
        <v>22</v>
      </c>
      <c r="E111" s="1" t="s">
        <v>23</v>
      </c>
      <c r="F111" s="1" t="s">
        <v>24</v>
      </c>
      <c r="G111" s="1" t="s">
        <v>32</v>
      </c>
      <c r="H111" s="1" t="s">
        <v>77</v>
      </c>
      <c r="I111" s="1">
        <v>87318.462962000005</v>
      </c>
      <c r="J111" s="1">
        <v>75.274537037000002</v>
      </c>
      <c r="K111" s="1">
        <v>1160</v>
      </c>
      <c r="L111" s="1" t="s">
        <v>73</v>
      </c>
      <c r="M111" s="1" t="s">
        <v>90</v>
      </c>
      <c r="N111" s="1" t="s">
        <v>79</v>
      </c>
      <c r="O111" s="1" t="s">
        <v>83</v>
      </c>
    </row>
    <row r="112" spans="1:15" x14ac:dyDescent="0.25">
      <c r="A112" s="1">
        <v>2018</v>
      </c>
      <c r="B112" s="1">
        <v>4</v>
      </c>
      <c r="C112" s="1" t="s">
        <v>57</v>
      </c>
      <c r="D112" s="1" t="s">
        <v>22</v>
      </c>
      <c r="E112" s="1" t="s">
        <v>23</v>
      </c>
      <c r="F112" s="1" t="s">
        <v>24</v>
      </c>
      <c r="G112" s="1" t="s">
        <v>32</v>
      </c>
      <c r="H112" s="1" t="s">
        <v>81</v>
      </c>
      <c r="I112" s="1">
        <v>87318.462962000005</v>
      </c>
      <c r="J112" s="1">
        <v>75.274537037000002</v>
      </c>
      <c r="K112" s="1">
        <v>1160</v>
      </c>
      <c r="L112" s="1" t="s">
        <v>73</v>
      </c>
      <c r="M112" s="1" t="s">
        <v>90</v>
      </c>
      <c r="N112" s="1" t="s">
        <v>79</v>
      </c>
      <c r="O112" s="1" t="s">
        <v>83</v>
      </c>
    </row>
    <row r="113" spans="1:15" x14ac:dyDescent="0.25">
      <c r="A113" s="1">
        <v>2018</v>
      </c>
      <c r="B113" s="1">
        <v>4</v>
      </c>
      <c r="C113" s="1" t="s">
        <v>57</v>
      </c>
      <c r="D113" s="1" t="s">
        <v>22</v>
      </c>
      <c r="E113" s="1" t="s">
        <v>23</v>
      </c>
      <c r="F113" s="1" t="s">
        <v>24</v>
      </c>
      <c r="G113" s="1" t="s">
        <v>34</v>
      </c>
      <c r="H113" s="1" t="s">
        <v>81</v>
      </c>
      <c r="I113" s="1">
        <v>0</v>
      </c>
      <c r="J113" s="1">
        <v>12.7318181818</v>
      </c>
      <c r="K113" s="1">
        <v>0</v>
      </c>
      <c r="L113" s="1" t="s">
        <v>73</v>
      </c>
      <c r="M113" s="1" t="s">
        <v>90</v>
      </c>
      <c r="N113" s="1" t="s">
        <v>79</v>
      </c>
      <c r="O113" s="1" t="s">
        <v>83</v>
      </c>
    </row>
    <row r="114" spans="1:15" x14ac:dyDescent="0.25">
      <c r="A114" s="1">
        <v>2018</v>
      </c>
      <c r="B114" s="1">
        <v>4</v>
      </c>
      <c r="C114" s="1" t="s">
        <v>57</v>
      </c>
      <c r="D114" s="1" t="s">
        <v>22</v>
      </c>
      <c r="E114" s="1" t="s">
        <v>23</v>
      </c>
      <c r="F114" s="1" t="s">
        <v>24</v>
      </c>
      <c r="G114" s="1" t="s">
        <v>32</v>
      </c>
      <c r="H114" s="1" t="s">
        <v>81</v>
      </c>
      <c r="I114" s="1">
        <v>0</v>
      </c>
      <c r="J114" s="1">
        <v>75.274537037000002</v>
      </c>
      <c r="K114" s="1">
        <v>0</v>
      </c>
      <c r="L114" s="1" t="s">
        <v>75</v>
      </c>
      <c r="M114" s="1" t="s">
        <v>88</v>
      </c>
      <c r="N114" s="1" t="s">
        <v>79</v>
      </c>
      <c r="O114" s="1" t="s">
        <v>89</v>
      </c>
    </row>
    <row r="115" spans="1:15" x14ac:dyDescent="0.25">
      <c r="A115" s="1">
        <v>2018</v>
      </c>
      <c r="B115" s="1">
        <v>4</v>
      </c>
      <c r="C115" s="1" t="s">
        <v>57</v>
      </c>
      <c r="D115" s="1" t="s">
        <v>22</v>
      </c>
      <c r="E115" s="1" t="s">
        <v>23</v>
      </c>
      <c r="F115" s="1" t="s">
        <v>24</v>
      </c>
      <c r="G115" s="1" t="s">
        <v>34</v>
      </c>
      <c r="H115" s="1" t="s">
        <v>81</v>
      </c>
      <c r="I115" s="1">
        <v>0</v>
      </c>
      <c r="J115" s="1">
        <v>12.7318181818</v>
      </c>
      <c r="K115" s="1">
        <v>0</v>
      </c>
      <c r="L115" s="1" t="s">
        <v>75</v>
      </c>
      <c r="M115" s="1" t="s">
        <v>88</v>
      </c>
      <c r="N115" s="1" t="s">
        <v>79</v>
      </c>
      <c r="O115" s="1" t="s">
        <v>89</v>
      </c>
    </row>
    <row r="116" spans="1:15" x14ac:dyDescent="0.25">
      <c r="A116" s="1">
        <v>2018</v>
      </c>
      <c r="B116" s="1">
        <v>4</v>
      </c>
      <c r="C116" s="1" t="s">
        <v>57</v>
      </c>
      <c r="D116" s="1" t="s">
        <v>22</v>
      </c>
      <c r="E116" s="1" t="s">
        <v>23</v>
      </c>
      <c r="F116" s="1" t="s">
        <v>24</v>
      </c>
      <c r="G116" s="1" t="s">
        <v>32</v>
      </c>
      <c r="H116" s="1" t="s">
        <v>81</v>
      </c>
      <c r="I116" s="1">
        <v>0</v>
      </c>
      <c r="J116" s="1">
        <v>75.274537037000002</v>
      </c>
      <c r="K116" s="1">
        <v>0</v>
      </c>
      <c r="L116" s="1" t="s">
        <v>73</v>
      </c>
      <c r="M116" s="1" t="s">
        <v>87</v>
      </c>
      <c r="N116" s="1" t="s">
        <v>79</v>
      </c>
      <c r="O116" s="1" t="s">
        <v>83</v>
      </c>
    </row>
    <row r="117" spans="1:15" x14ac:dyDescent="0.25">
      <c r="A117" s="1">
        <v>2018</v>
      </c>
      <c r="B117" s="1">
        <v>4</v>
      </c>
      <c r="C117" s="1" t="s">
        <v>57</v>
      </c>
      <c r="D117" s="1" t="s">
        <v>22</v>
      </c>
      <c r="E117" s="1" t="s">
        <v>23</v>
      </c>
      <c r="F117" s="1" t="s">
        <v>24</v>
      </c>
      <c r="G117" s="1" t="s">
        <v>34</v>
      </c>
      <c r="H117" s="1" t="s">
        <v>77</v>
      </c>
      <c r="I117" s="1">
        <v>5652.9272719999999</v>
      </c>
      <c r="J117" s="1">
        <v>12.7318181818</v>
      </c>
      <c r="K117" s="1">
        <v>444</v>
      </c>
      <c r="L117" s="1" t="s">
        <v>73</v>
      </c>
      <c r="M117" s="1" t="s">
        <v>87</v>
      </c>
      <c r="N117" s="1" t="s">
        <v>79</v>
      </c>
      <c r="O117" s="1" t="s">
        <v>83</v>
      </c>
    </row>
    <row r="118" spans="1:15" x14ac:dyDescent="0.25">
      <c r="A118" s="1">
        <v>2018</v>
      </c>
      <c r="B118" s="1">
        <v>4</v>
      </c>
      <c r="C118" s="1" t="s">
        <v>57</v>
      </c>
      <c r="D118" s="1" t="s">
        <v>22</v>
      </c>
      <c r="E118" s="1" t="s">
        <v>23</v>
      </c>
      <c r="F118" s="1" t="s">
        <v>24</v>
      </c>
      <c r="G118" s="1" t="s">
        <v>34</v>
      </c>
      <c r="H118" s="1" t="s">
        <v>81</v>
      </c>
      <c r="I118" s="1">
        <v>5652.9272719999999</v>
      </c>
      <c r="J118" s="1">
        <v>12.7318181818</v>
      </c>
      <c r="K118" s="1">
        <v>444</v>
      </c>
      <c r="L118" s="1" t="s">
        <v>73</v>
      </c>
      <c r="M118" s="1" t="s">
        <v>87</v>
      </c>
      <c r="N118" s="1" t="s">
        <v>79</v>
      </c>
      <c r="O118" s="1" t="s">
        <v>83</v>
      </c>
    </row>
    <row r="119" spans="1:15" x14ac:dyDescent="0.25">
      <c r="A119" s="1">
        <v>2018</v>
      </c>
      <c r="B119" s="1">
        <v>4</v>
      </c>
      <c r="C119" s="1" t="s">
        <v>57</v>
      </c>
      <c r="D119" s="1" t="s">
        <v>22</v>
      </c>
      <c r="E119" s="1" t="s">
        <v>23</v>
      </c>
      <c r="F119" s="1" t="s">
        <v>24</v>
      </c>
      <c r="G119" s="1" t="s">
        <v>32</v>
      </c>
      <c r="H119" s="1" t="s">
        <v>77</v>
      </c>
      <c r="I119" s="1">
        <v>166206.177777</v>
      </c>
      <c r="J119" s="1">
        <v>75.274537037000002</v>
      </c>
      <c r="K119" s="1">
        <v>2208</v>
      </c>
      <c r="L119" s="1" t="s">
        <v>73</v>
      </c>
      <c r="M119" s="1" t="s">
        <v>86</v>
      </c>
      <c r="N119" s="1" t="s">
        <v>79</v>
      </c>
      <c r="O119" s="1" t="s">
        <v>83</v>
      </c>
    </row>
    <row r="120" spans="1:15" x14ac:dyDescent="0.25">
      <c r="A120" s="1">
        <v>2018</v>
      </c>
      <c r="B120" s="1">
        <v>4</v>
      </c>
      <c r="C120" s="1" t="s">
        <v>57</v>
      </c>
      <c r="D120" s="1" t="s">
        <v>22</v>
      </c>
      <c r="E120" s="1" t="s">
        <v>23</v>
      </c>
      <c r="F120" s="1" t="s">
        <v>24</v>
      </c>
      <c r="G120" s="1" t="s">
        <v>32</v>
      </c>
      <c r="H120" s="1" t="s">
        <v>81</v>
      </c>
      <c r="I120" s="1">
        <v>166206.177777</v>
      </c>
      <c r="J120" s="1">
        <v>75.274537037000002</v>
      </c>
      <c r="K120" s="1">
        <v>2208</v>
      </c>
      <c r="L120" s="1" t="s">
        <v>73</v>
      </c>
      <c r="M120" s="1" t="s">
        <v>86</v>
      </c>
      <c r="N120" s="1" t="s">
        <v>79</v>
      </c>
      <c r="O120" s="1" t="s">
        <v>83</v>
      </c>
    </row>
    <row r="121" spans="1:15" x14ac:dyDescent="0.25">
      <c r="A121" s="1">
        <v>2018</v>
      </c>
      <c r="B121" s="1">
        <v>4</v>
      </c>
      <c r="C121" s="1" t="s">
        <v>57</v>
      </c>
      <c r="D121" s="1" t="s">
        <v>22</v>
      </c>
      <c r="E121" s="1" t="s">
        <v>23</v>
      </c>
      <c r="F121" s="1" t="s">
        <v>24</v>
      </c>
      <c r="G121" s="1" t="s">
        <v>34</v>
      </c>
      <c r="H121" s="1" t="s">
        <v>77</v>
      </c>
      <c r="I121" s="1">
        <v>6365.9090900000001</v>
      </c>
      <c r="J121" s="1">
        <v>12.7318181818</v>
      </c>
      <c r="K121" s="1">
        <v>500</v>
      </c>
      <c r="L121" s="1" t="s">
        <v>73</v>
      </c>
      <c r="M121" s="1" t="s">
        <v>86</v>
      </c>
      <c r="N121" s="1" t="s">
        <v>79</v>
      </c>
      <c r="O121" s="1" t="s">
        <v>83</v>
      </c>
    </row>
    <row r="122" spans="1:15" x14ac:dyDescent="0.25">
      <c r="A122" s="1">
        <v>2018</v>
      </c>
      <c r="B122" s="1">
        <v>4</v>
      </c>
      <c r="C122" s="1" t="s">
        <v>57</v>
      </c>
      <c r="D122" s="1" t="s">
        <v>22</v>
      </c>
      <c r="E122" s="1" t="s">
        <v>23</v>
      </c>
      <c r="F122" s="1" t="s">
        <v>24</v>
      </c>
      <c r="G122" s="1" t="s">
        <v>34</v>
      </c>
      <c r="H122" s="1" t="s">
        <v>81</v>
      </c>
      <c r="I122" s="1">
        <v>6365.9090900000001</v>
      </c>
      <c r="J122" s="1">
        <v>12.7318181818</v>
      </c>
      <c r="K122" s="1">
        <v>500</v>
      </c>
      <c r="L122" s="1" t="s">
        <v>73</v>
      </c>
      <c r="M122" s="1" t="s">
        <v>86</v>
      </c>
      <c r="N122" s="1" t="s">
        <v>79</v>
      </c>
      <c r="O122" s="1" t="s">
        <v>83</v>
      </c>
    </row>
    <row r="123" spans="1:15" x14ac:dyDescent="0.25">
      <c r="A123" s="1">
        <v>2018</v>
      </c>
      <c r="B123" s="1">
        <v>4</v>
      </c>
      <c r="C123" s="1" t="s">
        <v>57</v>
      </c>
      <c r="D123" s="1" t="s">
        <v>22</v>
      </c>
      <c r="E123" s="1" t="s">
        <v>23</v>
      </c>
      <c r="F123" s="1" t="s">
        <v>24</v>
      </c>
      <c r="G123" s="1" t="s">
        <v>32</v>
      </c>
      <c r="H123" s="1" t="s">
        <v>81</v>
      </c>
      <c r="I123" s="1">
        <v>0</v>
      </c>
      <c r="J123" s="1">
        <v>75.274537037000002</v>
      </c>
      <c r="K123" s="1">
        <v>0</v>
      </c>
      <c r="L123" s="1" t="s">
        <v>73</v>
      </c>
      <c r="M123" s="1" t="s">
        <v>85</v>
      </c>
      <c r="N123" s="1" t="s">
        <v>79</v>
      </c>
      <c r="O123" s="1" t="s">
        <v>83</v>
      </c>
    </row>
    <row r="124" spans="1:15" x14ac:dyDescent="0.25">
      <c r="A124" s="1">
        <v>2018</v>
      </c>
      <c r="B124" s="1">
        <v>4</v>
      </c>
      <c r="C124" s="1" t="s">
        <v>57</v>
      </c>
      <c r="D124" s="1" t="s">
        <v>22</v>
      </c>
      <c r="E124" s="1" t="s">
        <v>23</v>
      </c>
      <c r="F124" s="1" t="s">
        <v>24</v>
      </c>
      <c r="G124" s="1" t="s">
        <v>34</v>
      </c>
      <c r="H124" s="1" t="s">
        <v>77</v>
      </c>
      <c r="I124" s="1">
        <v>20294.518180999999</v>
      </c>
      <c r="J124" s="1">
        <v>12.7318181818</v>
      </c>
      <c r="K124" s="1">
        <v>1594</v>
      </c>
      <c r="L124" s="1" t="s">
        <v>73</v>
      </c>
      <c r="M124" s="1" t="s">
        <v>85</v>
      </c>
      <c r="N124" s="1" t="s">
        <v>79</v>
      </c>
      <c r="O124" s="1" t="s">
        <v>83</v>
      </c>
    </row>
    <row r="125" spans="1:15" x14ac:dyDescent="0.25">
      <c r="A125" s="1">
        <v>2018</v>
      </c>
      <c r="B125" s="1">
        <v>4</v>
      </c>
      <c r="C125" s="1" t="s">
        <v>57</v>
      </c>
      <c r="D125" s="1" t="s">
        <v>22</v>
      </c>
      <c r="E125" s="1" t="s">
        <v>23</v>
      </c>
      <c r="F125" s="1" t="s">
        <v>24</v>
      </c>
      <c r="G125" s="1" t="s">
        <v>34</v>
      </c>
      <c r="H125" s="1" t="s">
        <v>81</v>
      </c>
      <c r="I125" s="1">
        <v>20294.518180999999</v>
      </c>
      <c r="J125" s="1">
        <v>12.7318181818</v>
      </c>
      <c r="K125" s="1">
        <v>1594</v>
      </c>
      <c r="L125" s="1" t="s">
        <v>73</v>
      </c>
      <c r="M125" s="1" t="s">
        <v>85</v>
      </c>
      <c r="N125" s="1" t="s">
        <v>79</v>
      </c>
      <c r="O125" s="1" t="s">
        <v>83</v>
      </c>
    </row>
    <row r="126" spans="1:15" x14ac:dyDescent="0.25">
      <c r="A126" s="1">
        <v>2018</v>
      </c>
      <c r="B126" s="1">
        <v>4</v>
      </c>
      <c r="C126" s="1" t="s">
        <v>57</v>
      </c>
      <c r="D126" s="1" t="s">
        <v>22</v>
      </c>
      <c r="E126" s="1" t="s">
        <v>23</v>
      </c>
      <c r="F126" s="1" t="s">
        <v>24</v>
      </c>
      <c r="G126" s="1" t="s">
        <v>32</v>
      </c>
      <c r="H126" s="1" t="s">
        <v>81</v>
      </c>
      <c r="I126" s="1">
        <v>0</v>
      </c>
      <c r="J126" s="1">
        <v>75.274537037000002</v>
      </c>
      <c r="K126" s="1">
        <v>0</v>
      </c>
      <c r="L126" s="1" t="s">
        <v>73</v>
      </c>
      <c r="M126" s="1" t="s">
        <v>84</v>
      </c>
      <c r="N126" s="1" t="s">
        <v>79</v>
      </c>
      <c r="O126" s="1" t="s">
        <v>83</v>
      </c>
    </row>
    <row r="127" spans="1:15" x14ac:dyDescent="0.25">
      <c r="A127" s="1">
        <v>2018</v>
      </c>
      <c r="B127" s="1">
        <v>4</v>
      </c>
      <c r="C127" s="1" t="s">
        <v>57</v>
      </c>
      <c r="D127" s="1" t="s">
        <v>22</v>
      </c>
      <c r="E127" s="1" t="s">
        <v>23</v>
      </c>
      <c r="F127" s="1" t="s">
        <v>24</v>
      </c>
      <c r="G127" s="1" t="s">
        <v>34</v>
      </c>
      <c r="H127" s="1" t="s">
        <v>77</v>
      </c>
      <c r="I127" s="1">
        <v>35865.531818000003</v>
      </c>
      <c r="J127" s="1">
        <v>12.7318181818</v>
      </c>
      <c r="K127" s="1">
        <v>2817</v>
      </c>
      <c r="L127" s="1" t="s">
        <v>73</v>
      </c>
      <c r="M127" s="1" t="s">
        <v>84</v>
      </c>
      <c r="N127" s="1" t="s">
        <v>79</v>
      </c>
      <c r="O127" s="1" t="s">
        <v>83</v>
      </c>
    </row>
    <row r="128" spans="1:15" x14ac:dyDescent="0.25">
      <c r="A128" s="1">
        <v>2018</v>
      </c>
      <c r="B128" s="1">
        <v>4</v>
      </c>
      <c r="C128" s="1" t="s">
        <v>57</v>
      </c>
      <c r="D128" s="1" t="s">
        <v>22</v>
      </c>
      <c r="E128" s="1" t="s">
        <v>23</v>
      </c>
      <c r="F128" s="1" t="s">
        <v>24</v>
      </c>
      <c r="G128" s="1" t="s">
        <v>34</v>
      </c>
      <c r="H128" s="1" t="s">
        <v>81</v>
      </c>
      <c r="I128" s="1">
        <v>35865.531818000003</v>
      </c>
      <c r="J128" s="1">
        <v>12.7318181818</v>
      </c>
      <c r="K128" s="1">
        <v>2817</v>
      </c>
      <c r="L128" s="1" t="s">
        <v>73</v>
      </c>
      <c r="M128" s="1" t="s">
        <v>84</v>
      </c>
      <c r="N128" s="1" t="s">
        <v>79</v>
      </c>
      <c r="O128" s="1" t="s">
        <v>83</v>
      </c>
    </row>
    <row r="129" spans="1:15" x14ac:dyDescent="0.25">
      <c r="A129" s="1">
        <v>2018</v>
      </c>
      <c r="B129" s="1">
        <v>4</v>
      </c>
      <c r="C129" s="1" t="s">
        <v>57</v>
      </c>
      <c r="D129" s="1" t="s">
        <v>22</v>
      </c>
      <c r="E129" s="1" t="s">
        <v>23</v>
      </c>
      <c r="F129" s="1" t="s">
        <v>24</v>
      </c>
      <c r="G129" s="1" t="s">
        <v>32</v>
      </c>
      <c r="H129" s="1" t="s">
        <v>81</v>
      </c>
      <c r="I129" s="1">
        <v>0</v>
      </c>
      <c r="J129" s="1">
        <v>75.274537037000002</v>
      </c>
      <c r="K129" s="1">
        <v>0</v>
      </c>
      <c r="L129" s="1" t="s">
        <v>73</v>
      </c>
      <c r="M129" s="1" t="s">
        <v>82</v>
      </c>
      <c r="N129" s="1" t="s">
        <v>79</v>
      </c>
      <c r="O129" s="1" t="s">
        <v>83</v>
      </c>
    </row>
    <row r="130" spans="1:15" x14ac:dyDescent="0.25">
      <c r="A130" s="1">
        <v>2018</v>
      </c>
      <c r="B130" s="1">
        <v>4</v>
      </c>
      <c r="C130" s="1" t="s">
        <v>57</v>
      </c>
      <c r="D130" s="1" t="s">
        <v>22</v>
      </c>
      <c r="E130" s="1" t="s">
        <v>23</v>
      </c>
      <c r="F130" s="1" t="s">
        <v>24</v>
      </c>
      <c r="G130" s="1" t="s">
        <v>34</v>
      </c>
      <c r="H130" s="1" t="s">
        <v>77</v>
      </c>
      <c r="I130" s="1">
        <v>9637.986363</v>
      </c>
      <c r="J130" s="1">
        <v>12.7318181818</v>
      </c>
      <c r="K130" s="1">
        <v>757</v>
      </c>
      <c r="L130" s="1" t="s">
        <v>73</v>
      </c>
      <c r="M130" s="1" t="s">
        <v>82</v>
      </c>
      <c r="N130" s="1" t="s">
        <v>79</v>
      </c>
      <c r="O130" s="1" t="s">
        <v>83</v>
      </c>
    </row>
    <row r="131" spans="1:15" x14ac:dyDescent="0.25">
      <c r="A131" s="1">
        <v>2018</v>
      </c>
      <c r="B131" s="1">
        <v>4</v>
      </c>
      <c r="C131" s="1" t="s">
        <v>57</v>
      </c>
      <c r="D131" s="1" t="s">
        <v>22</v>
      </c>
      <c r="E131" s="1" t="s">
        <v>23</v>
      </c>
      <c r="F131" s="1" t="s">
        <v>24</v>
      </c>
      <c r="G131" s="1" t="s">
        <v>34</v>
      </c>
      <c r="H131" s="1" t="s">
        <v>81</v>
      </c>
      <c r="I131" s="1">
        <v>9637.986363</v>
      </c>
      <c r="J131" s="1">
        <v>12.7318181818</v>
      </c>
      <c r="K131" s="1">
        <v>757</v>
      </c>
      <c r="L131" s="1" t="s">
        <v>73</v>
      </c>
      <c r="M131" s="1" t="s">
        <v>82</v>
      </c>
      <c r="N131" s="1" t="s">
        <v>79</v>
      </c>
      <c r="O131" s="1" t="s">
        <v>83</v>
      </c>
    </row>
    <row r="132" spans="1:15" x14ac:dyDescent="0.25">
      <c r="A132" s="1">
        <v>2018</v>
      </c>
      <c r="B132" s="1">
        <v>4</v>
      </c>
      <c r="C132" s="1" t="s">
        <v>57</v>
      </c>
      <c r="D132" s="1" t="s">
        <v>22</v>
      </c>
      <c r="E132" s="1" t="s">
        <v>23</v>
      </c>
      <c r="F132" s="1" t="s">
        <v>24</v>
      </c>
      <c r="G132" s="1" t="s">
        <v>32</v>
      </c>
      <c r="H132" s="1" t="s">
        <v>81</v>
      </c>
      <c r="I132" s="1">
        <v>0</v>
      </c>
      <c r="J132" s="1">
        <v>75.274537037000002</v>
      </c>
      <c r="K132" s="1">
        <v>0</v>
      </c>
      <c r="L132" s="1" t="s">
        <v>74</v>
      </c>
      <c r="M132" s="1" t="s">
        <v>78</v>
      </c>
      <c r="N132" s="1" t="s">
        <v>79</v>
      </c>
      <c r="O132" s="1" t="s">
        <v>80</v>
      </c>
    </row>
    <row r="133" spans="1:15" x14ac:dyDescent="0.25">
      <c r="A133" s="1">
        <v>2018</v>
      </c>
      <c r="B133" s="1">
        <v>4</v>
      </c>
      <c r="C133" s="1" t="s">
        <v>57</v>
      </c>
      <c r="D133" s="1" t="s">
        <v>22</v>
      </c>
      <c r="E133" s="1" t="s">
        <v>23</v>
      </c>
      <c r="F133" s="1" t="s">
        <v>24</v>
      </c>
      <c r="G133" s="1" t="s">
        <v>34</v>
      </c>
      <c r="H133" s="1" t="s">
        <v>77</v>
      </c>
      <c r="I133" s="1">
        <v>17149.75909</v>
      </c>
      <c r="J133" s="1">
        <v>12.7318181818</v>
      </c>
      <c r="K133" s="1">
        <v>1347</v>
      </c>
      <c r="L133" s="1" t="s">
        <v>74</v>
      </c>
      <c r="M133" s="1" t="s">
        <v>78</v>
      </c>
      <c r="N133" s="1" t="s">
        <v>79</v>
      </c>
      <c r="O133" s="1" t="s">
        <v>80</v>
      </c>
    </row>
    <row r="134" spans="1:15" x14ac:dyDescent="0.25">
      <c r="A134" s="1">
        <v>2018</v>
      </c>
      <c r="B134" s="1">
        <v>4</v>
      </c>
      <c r="C134" s="1" t="s">
        <v>57</v>
      </c>
      <c r="D134" s="1" t="s">
        <v>22</v>
      </c>
      <c r="E134" s="1" t="s">
        <v>23</v>
      </c>
      <c r="F134" s="1" t="s">
        <v>24</v>
      </c>
      <c r="G134" s="1" t="s">
        <v>34</v>
      </c>
      <c r="H134" s="1" t="s">
        <v>81</v>
      </c>
      <c r="I134" s="1">
        <v>17149.75909</v>
      </c>
      <c r="J134" s="1">
        <v>12.7318181818</v>
      </c>
      <c r="K134" s="1">
        <v>1347</v>
      </c>
      <c r="L134" s="1" t="s">
        <v>74</v>
      </c>
      <c r="M134" s="1" t="s">
        <v>78</v>
      </c>
      <c r="N134" s="1" t="s">
        <v>79</v>
      </c>
      <c r="O134" s="1" t="s">
        <v>80</v>
      </c>
    </row>
    <row r="135" spans="1:15" x14ac:dyDescent="0.25">
      <c r="A135" s="1">
        <v>2018</v>
      </c>
      <c r="B135" s="1">
        <v>4</v>
      </c>
      <c r="C135" s="1" t="s">
        <v>57</v>
      </c>
      <c r="D135" s="1" t="s">
        <v>22</v>
      </c>
      <c r="E135" s="1" t="s">
        <v>23</v>
      </c>
      <c r="F135" s="1" t="s">
        <v>24</v>
      </c>
      <c r="G135" s="1" t="s">
        <v>32</v>
      </c>
      <c r="H135" s="1" t="s">
        <v>72</v>
      </c>
      <c r="I135" s="1">
        <v>65037.199998999997</v>
      </c>
      <c r="J135" s="1">
        <v>75.274537037000002</v>
      </c>
      <c r="K135" s="1">
        <v>864</v>
      </c>
      <c r="L135" s="1" t="s">
        <v>76</v>
      </c>
    </row>
    <row r="136" spans="1:15" x14ac:dyDescent="0.25">
      <c r="A136" s="1">
        <v>2018</v>
      </c>
      <c r="B136" s="1">
        <v>4</v>
      </c>
      <c r="C136" s="1" t="s">
        <v>57</v>
      </c>
      <c r="D136" s="1" t="s">
        <v>22</v>
      </c>
      <c r="E136" s="1" t="s">
        <v>23</v>
      </c>
      <c r="F136" s="1" t="s">
        <v>24</v>
      </c>
      <c r="G136" s="1" t="s">
        <v>34</v>
      </c>
      <c r="H136" s="1" t="s">
        <v>72</v>
      </c>
      <c r="I136" s="1">
        <v>36300.959998999999</v>
      </c>
      <c r="J136" s="1">
        <v>12.7318181818</v>
      </c>
      <c r="K136" s="1">
        <v>2851.2</v>
      </c>
      <c r="L136" s="1" t="s">
        <v>76</v>
      </c>
    </row>
    <row r="137" spans="1:15" x14ac:dyDescent="0.25">
      <c r="A137" s="1">
        <v>2018</v>
      </c>
      <c r="B137" s="1">
        <v>4</v>
      </c>
      <c r="C137" s="1" t="s">
        <v>57</v>
      </c>
      <c r="D137" s="1" t="s">
        <v>22</v>
      </c>
      <c r="E137" s="1" t="s">
        <v>23</v>
      </c>
      <c r="F137" s="1" t="s">
        <v>24</v>
      </c>
      <c r="G137" s="1" t="s">
        <v>32</v>
      </c>
      <c r="H137" s="1" t="s">
        <v>72</v>
      </c>
      <c r="I137" s="1">
        <v>195111.599999</v>
      </c>
      <c r="J137" s="1">
        <v>75.274537037000002</v>
      </c>
      <c r="K137" s="1">
        <v>2592</v>
      </c>
      <c r="L137" s="1" t="s">
        <v>75</v>
      </c>
    </row>
    <row r="138" spans="1:15" x14ac:dyDescent="0.25">
      <c r="A138" s="1">
        <v>2018</v>
      </c>
      <c r="B138" s="1">
        <v>4</v>
      </c>
      <c r="C138" s="1" t="s">
        <v>57</v>
      </c>
      <c r="D138" s="1" t="s">
        <v>22</v>
      </c>
      <c r="E138" s="1" t="s">
        <v>23</v>
      </c>
      <c r="F138" s="1" t="s">
        <v>24</v>
      </c>
      <c r="G138" s="1" t="s">
        <v>34</v>
      </c>
      <c r="H138" s="1" t="s">
        <v>72</v>
      </c>
      <c r="I138" s="1">
        <v>32267.519999</v>
      </c>
      <c r="J138" s="1">
        <v>12.7318181818</v>
      </c>
      <c r="K138" s="1">
        <v>2534.4</v>
      </c>
      <c r="L138" s="1" t="s">
        <v>75</v>
      </c>
    </row>
    <row r="139" spans="1:15" x14ac:dyDescent="0.25">
      <c r="A139" s="1">
        <v>2018</v>
      </c>
      <c r="B139" s="1">
        <v>4</v>
      </c>
      <c r="C139" s="1" t="s">
        <v>57</v>
      </c>
      <c r="D139" s="1" t="s">
        <v>22</v>
      </c>
      <c r="E139" s="1" t="s">
        <v>23</v>
      </c>
      <c r="F139" s="1" t="s">
        <v>24</v>
      </c>
      <c r="G139" s="1" t="s">
        <v>32</v>
      </c>
      <c r="H139" s="1" t="s">
        <v>72</v>
      </c>
      <c r="I139" s="1">
        <v>130074.399999</v>
      </c>
      <c r="J139" s="1">
        <v>75.274537037000002</v>
      </c>
      <c r="K139" s="1">
        <v>1728</v>
      </c>
      <c r="L139" s="1" t="s">
        <v>74</v>
      </c>
    </row>
    <row r="140" spans="1:15" x14ac:dyDescent="0.25">
      <c r="A140" s="1">
        <v>2018</v>
      </c>
      <c r="B140" s="1">
        <v>4</v>
      </c>
      <c r="C140" s="1" t="s">
        <v>57</v>
      </c>
      <c r="D140" s="1" t="s">
        <v>22</v>
      </c>
      <c r="E140" s="1" t="s">
        <v>23</v>
      </c>
      <c r="F140" s="1" t="s">
        <v>24</v>
      </c>
      <c r="G140" s="1" t="s">
        <v>34</v>
      </c>
      <c r="H140" s="1" t="s">
        <v>72</v>
      </c>
      <c r="I140" s="1">
        <v>32267.52</v>
      </c>
      <c r="J140" s="1">
        <v>12.7318181818</v>
      </c>
      <c r="K140" s="1">
        <v>2534.4</v>
      </c>
      <c r="L140" s="1" t="s">
        <v>74</v>
      </c>
    </row>
    <row r="141" spans="1:15" x14ac:dyDescent="0.25">
      <c r="A141" s="1">
        <v>2018</v>
      </c>
      <c r="B141" s="1">
        <v>4</v>
      </c>
      <c r="C141" s="1" t="s">
        <v>57</v>
      </c>
      <c r="D141" s="1" t="s">
        <v>22</v>
      </c>
      <c r="E141" s="1" t="s">
        <v>23</v>
      </c>
      <c r="F141" s="1" t="s">
        <v>24</v>
      </c>
      <c r="G141" s="1" t="s">
        <v>32</v>
      </c>
      <c r="H141" s="1" t="s">
        <v>72</v>
      </c>
      <c r="I141" s="1">
        <v>260148.8</v>
      </c>
      <c r="J141" s="1">
        <v>75.274537037000002</v>
      </c>
      <c r="K141" s="1">
        <v>3456</v>
      </c>
      <c r="L141" s="1" t="s">
        <v>73</v>
      </c>
    </row>
    <row r="142" spans="1:15" x14ac:dyDescent="0.25">
      <c r="A142" s="1">
        <v>2018</v>
      </c>
      <c r="B142" s="1">
        <v>4</v>
      </c>
      <c r="C142" s="1" t="s">
        <v>57</v>
      </c>
      <c r="D142" s="1" t="s">
        <v>22</v>
      </c>
      <c r="E142" s="1" t="s">
        <v>23</v>
      </c>
      <c r="F142" s="1" t="s">
        <v>24</v>
      </c>
      <c r="G142" s="1" t="s">
        <v>34</v>
      </c>
      <c r="H142" s="1" t="s">
        <v>72</v>
      </c>
      <c r="I142" s="1">
        <v>100835.99999900001</v>
      </c>
      <c r="J142" s="1">
        <v>12.7318181818</v>
      </c>
      <c r="K142" s="1">
        <v>7920</v>
      </c>
      <c r="L142" s="1" t="s">
        <v>73</v>
      </c>
    </row>
    <row r="143" spans="1:15" x14ac:dyDescent="0.25">
      <c r="A143" s="1">
        <v>2018</v>
      </c>
      <c r="B143" s="1">
        <v>5</v>
      </c>
      <c r="C143" s="1" t="s">
        <v>63</v>
      </c>
      <c r="D143" s="1" t="s">
        <v>22</v>
      </c>
      <c r="E143" s="1" t="s">
        <v>23</v>
      </c>
      <c r="F143" s="1" t="s">
        <v>24</v>
      </c>
      <c r="G143" s="1" t="s">
        <v>32</v>
      </c>
      <c r="H143" s="1" t="s">
        <v>72</v>
      </c>
      <c r="I143" s="1">
        <v>209931.99999899999</v>
      </c>
      <c r="J143" s="1">
        <v>49.699810606100002</v>
      </c>
      <c r="K143" s="1">
        <v>4224</v>
      </c>
      <c r="L143" s="1" t="s">
        <v>73</v>
      </c>
    </row>
    <row r="144" spans="1:15" x14ac:dyDescent="0.25">
      <c r="A144" s="1">
        <v>2018</v>
      </c>
      <c r="B144" s="1">
        <v>5</v>
      </c>
      <c r="C144" s="1" t="s">
        <v>63</v>
      </c>
      <c r="D144" s="1" t="s">
        <v>22</v>
      </c>
      <c r="E144" s="1" t="s">
        <v>23</v>
      </c>
      <c r="F144" s="1" t="s">
        <v>24</v>
      </c>
      <c r="G144" s="1" t="s">
        <v>34</v>
      </c>
      <c r="H144" s="1" t="s">
        <v>72</v>
      </c>
      <c r="I144" s="1">
        <v>81403.499999000007</v>
      </c>
      <c r="J144" s="1">
        <v>8.2727134146000001</v>
      </c>
      <c r="K144" s="1">
        <v>9840</v>
      </c>
      <c r="L144" s="1" t="s">
        <v>73</v>
      </c>
    </row>
    <row r="145" spans="1:15" x14ac:dyDescent="0.25">
      <c r="A145" s="1">
        <v>2018</v>
      </c>
      <c r="B145" s="1">
        <v>5</v>
      </c>
      <c r="C145" s="1" t="s">
        <v>63</v>
      </c>
      <c r="D145" s="1" t="s">
        <v>22</v>
      </c>
      <c r="E145" s="1" t="s">
        <v>23</v>
      </c>
      <c r="F145" s="1" t="s">
        <v>24</v>
      </c>
      <c r="G145" s="1" t="s">
        <v>32</v>
      </c>
      <c r="H145" s="1" t="s">
        <v>72</v>
      </c>
      <c r="I145" s="1">
        <v>104966</v>
      </c>
      <c r="J145" s="1">
        <v>49.699810606100002</v>
      </c>
      <c r="K145" s="1">
        <v>2112</v>
      </c>
      <c r="L145" s="1" t="s">
        <v>74</v>
      </c>
    </row>
    <row r="146" spans="1:15" x14ac:dyDescent="0.25">
      <c r="A146" s="1">
        <v>2018</v>
      </c>
      <c r="B146" s="1">
        <v>5</v>
      </c>
      <c r="C146" s="1" t="s">
        <v>63</v>
      </c>
      <c r="D146" s="1" t="s">
        <v>22</v>
      </c>
      <c r="E146" s="1" t="s">
        <v>23</v>
      </c>
      <c r="F146" s="1" t="s">
        <v>24</v>
      </c>
      <c r="G146" s="1" t="s">
        <v>34</v>
      </c>
      <c r="H146" s="1" t="s">
        <v>72</v>
      </c>
      <c r="I146" s="1">
        <v>26049.119998999999</v>
      </c>
      <c r="J146" s="1">
        <v>8.2727134146000001</v>
      </c>
      <c r="K146" s="1">
        <v>3148.8</v>
      </c>
      <c r="L146" s="1" t="s">
        <v>74</v>
      </c>
    </row>
    <row r="147" spans="1:15" x14ac:dyDescent="0.25">
      <c r="A147" s="1">
        <v>2018</v>
      </c>
      <c r="B147" s="1">
        <v>5</v>
      </c>
      <c r="C147" s="1" t="s">
        <v>63</v>
      </c>
      <c r="D147" s="1" t="s">
        <v>22</v>
      </c>
      <c r="E147" s="1" t="s">
        <v>23</v>
      </c>
      <c r="F147" s="1" t="s">
        <v>24</v>
      </c>
      <c r="G147" s="1" t="s">
        <v>32</v>
      </c>
      <c r="H147" s="1" t="s">
        <v>72</v>
      </c>
      <c r="I147" s="1">
        <v>157449</v>
      </c>
      <c r="J147" s="1">
        <v>49.699810606100002</v>
      </c>
      <c r="K147" s="1">
        <v>3168</v>
      </c>
      <c r="L147" s="1" t="s">
        <v>75</v>
      </c>
    </row>
    <row r="148" spans="1:15" x14ac:dyDescent="0.25">
      <c r="A148" s="1">
        <v>2018</v>
      </c>
      <c r="B148" s="1">
        <v>5</v>
      </c>
      <c r="C148" s="1" t="s">
        <v>63</v>
      </c>
      <c r="D148" s="1" t="s">
        <v>22</v>
      </c>
      <c r="E148" s="1" t="s">
        <v>23</v>
      </c>
      <c r="F148" s="1" t="s">
        <v>24</v>
      </c>
      <c r="G148" s="1" t="s">
        <v>34</v>
      </c>
      <c r="H148" s="1" t="s">
        <v>72</v>
      </c>
      <c r="I148" s="1">
        <v>26049.119998999999</v>
      </c>
      <c r="J148" s="1">
        <v>8.2727134146000001</v>
      </c>
      <c r="K148" s="1">
        <v>3148.8</v>
      </c>
      <c r="L148" s="1" t="s">
        <v>75</v>
      </c>
    </row>
    <row r="149" spans="1:15" x14ac:dyDescent="0.25">
      <c r="A149" s="1">
        <v>2018</v>
      </c>
      <c r="B149" s="1">
        <v>5</v>
      </c>
      <c r="C149" s="1" t="s">
        <v>63</v>
      </c>
      <c r="D149" s="1" t="s">
        <v>22</v>
      </c>
      <c r="E149" s="1" t="s">
        <v>23</v>
      </c>
      <c r="F149" s="1" t="s">
        <v>24</v>
      </c>
      <c r="G149" s="1" t="s">
        <v>32</v>
      </c>
      <c r="H149" s="1" t="s">
        <v>72</v>
      </c>
      <c r="I149" s="1">
        <v>52483</v>
      </c>
      <c r="J149" s="1">
        <v>49.699810606100002</v>
      </c>
      <c r="K149" s="1">
        <v>1056</v>
      </c>
      <c r="L149" s="1" t="s">
        <v>76</v>
      </c>
    </row>
    <row r="150" spans="1:15" x14ac:dyDescent="0.25">
      <c r="A150" s="1">
        <v>2018</v>
      </c>
      <c r="B150" s="1">
        <v>5</v>
      </c>
      <c r="C150" s="1" t="s">
        <v>63</v>
      </c>
      <c r="D150" s="1" t="s">
        <v>22</v>
      </c>
      <c r="E150" s="1" t="s">
        <v>23</v>
      </c>
      <c r="F150" s="1" t="s">
        <v>24</v>
      </c>
      <c r="G150" s="1" t="s">
        <v>34</v>
      </c>
      <c r="H150" s="1" t="s">
        <v>72</v>
      </c>
      <c r="I150" s="1">
        <v>29305.26</v>
      </c>
      <c r="J150" s="1">
        <v>8.2727134146000001</v>
      </c>
      <c r="K150" s="1">
        <v>3542.4</v>
      </c>
      <c r="L150" s="1" t="s">
        <v>76</v>
      </c>
    </row>
    <row r="151" spans="1:15" x14ac:dyDescent="0.25">
      <c r="A151" s="1">
        <v>2018</v>
      </c>
      <c r="B151" s="1">
        <v>5</v>
      </c>
      <c r="C151" s="1" t="s">
        <v>63</v>
      </c>
      <c r="D151" s="1" t="s">
        <v>22</v>
      </c>
      <c r="E151" s="1" t="s">
        <v>23</v>
      </c>
      <c r="F151" s="1" t="s">
        <v>24</v>
      </c>
      <c r="G151" s="1" t="s">
        <v>32</v>
      </c>
      <c r="H151" s="1" t="s">
        <v>77</v>
      </c>
      <c r="I151" s="1">
        <v>38964.651514999998</v>
      </c>
      <c r="J151" s="1">
        <v>49.699810606</v>
      </c>
      <c r="K151" s="1">
        <v>784</v>
      </c>
      <c r="L151" s="1" t="s">
        <v>74</v>
      </c>
      <c r="M151" s="1" t="s">
        <v>78</v>
      </c>
      <c r="N151" s="1" t="s">
        <v>79</v>
      </c>
      <c r="O151" s="1" t="s">
        <v>80</v>
      </c>
    </row>
    <row r="152" spans="1:15" x14ac:dyDescent="0.25">
      <c r="A152" s="1">
        <v>2018</v>
      </c>
      <c r="B152" s="1">
        <v>5</v>
      </c>
      <c r="C152" s="1" t="s">
        <v>63</v>
      </c>
      <c r="D152" s="1" t="s">
        <v>22</v>
      </c>
      <c r="E152" s="1" t="s">
        <v>23</v>
      </c>
      <c r="F152" s="1" t="s">
        <v>24</v>
      </c>
      <c r="G152" s="1" t="s">
        <v>32</v>
      </c>
      <c r="H152" s="1" t="s">
        <v>81</v>
      </c>
      <c r="I152" s="1">
        <v>38964.651514999998</v>
      </c>
      <c r="J152" s="1">
        <v>49.699810606100002</v>
      </c>
      <c r="K152" s="1">
        <v>784</v>
      </c>
      <c r="L152" s="1" t="s">
        <v>74</v>
      </c>
      <c r="M152" s="1" t="s">
        <v>78</v>
      </c>
      <c r="N152" s="1" t="s">
        <v>79</v>
      </c>
      <c r="O152" s="1" t="s">
        <v>80</v>
      </c>
    </row>
    <row r="153" spans="1:15" x14ac:dyDescent="0.25">
      <c r="A153" s="1">
        <v>2018</v>
      </c>
      <c r="B153" s="1">
        <v>5</v>
      </c>
      <c r="C153" s="1" t="s">
        <v>63</v>
      </c>
      <c r="D153" s="1" t="s">
        <v>22</v>
      </c>
      <c r="E153" s="1" t="s">
        <v>23</v>
      </c>
      <c r="F153" s="1" t="s">
        <v>24</v>
      </c>
      <c r="G153" s="1" t="s">
        <v>34</v>
      </c>
      <c r="H153" s="1" t="s">
        <v>81</v>
      </c>
      <c r="I153" s="1">
        <v>0</v>
      </c>
      <c r="J153" s="1">
        <v>8.2727134146000001</v>
      </c>
      <c r="K153" s="1">
        <v>0</v>
      </c>
      <c r="L153" s="1" t="s">
        <v>74</v>
      </c>
      <c r="M153" s="1" t="s">
        <v>78</v>
      </c>
      <c r="N153" s="1" t="s">
        <v>79</v>
      </c>
      <c r="O153" s="1" t="s">
        <v>80</v>
      </c>
    </row>
    <row r="154" spans="1:15" x14ac:dyDescent="0.25">
      <c r="A154" s="1">
        <v>2018</v>
      </c>
      <c r="B154" s="1">
        <v>5</v>
      </c>
      <c r="C154" s="1" t="s">
        <v>63</v>
      </c>
      <c r="D154" s="1" t="s">
        <v>22</v>
      </c>
      <c r="E154" s="1" t="s">
        <v>23</v>
      </c>
      <c r="F154" s="1" t="s">
        <v>24</v>
      </c>
      <c r="G154" s="1" t="s">
        <v>32</v>
      </c>
      <c r="H154" s="1" t="s">
        <v>81</v>
      </c>
      <c r="I154" s="1">
        <v>0</v>
      </c>
      <c r="J154" s="1">
        <v>49.699810606100002</v>
      </c>
      <c r="K154" s="1">
        <v>0</v>
      </c>
      <c r="L154" s="1" t="s">
        <v>73</v>
      </c>
      <c r="M154" s="1" t="s">
        <v>82</v>
      </c>
      <c r="N154" s="1" t="s">
        <v>79</v>
      </c>
      <c r="O154" s="1" t="s">
        <v>83</v>
      </c>
    </row>
    <row r="155" spans="1:15" x14ac:dyDescent="0.25">
      <c r="A155" s="1">
        <v>2018</v>
      </c>
      <c r="B155" s="1">
        <v>5</v>
      </c>
      <c r="C155" s="1" t="s">
        <v>63</v>
      </c>
      <c r="D155" s="1" t="s">
        <v>22</v>
      </c>
      <c r="E155" s="1" t="s">
        <v>23</v>
      </c>
      <c r="F155" s="1" t="s">
        <v>24</v>
      </c>
      <c r="G155" s="1" t="s">
        <v>34</v>
      </c>
      <c r="H155" s="1" t="s">
        <v>77</v>
      </c>
      <c r="I155" s="1">
        <v>3970.902439</v>
      </c>
      <c r="J155" s="1">
        <v>8.2727134146000001</v>
      </c>
      <c r="K155" s="1">
        <v>480</v>
      </c>
      <c r="L155" s="1" t="s">
        <v>73</v>
      </c>
      <c r="M155" s="1" t="s">
        <v>82</v>
      </c>
      <c r="N155" s="1" t="s">
        <v>79</v>
      </c>
      <c r="O155" s="1" t="s">
        <v>83</v>
      </c>
    </row>
    <row r="156" spans="1:15" x14ac:dyDescent="0.25">
      <c r="A156" s="1">
        <v>2018</v>
      </c>
      <c r="B156" s="1">
        <v>5</v>
      </c>
      <c r="C156" s="1" t="s">
        <v>63</v>
      </c>
      <c r="D156" s="1" t="s">
        <v>22</v>
      </c>
      <c r="E156" s="1" t="s">
        <v>23</v>
      </c>
      <c r="F156" s="1" t="s">
        <v>24</v>
      </c>
      <c r="G156" s="1" t="s">
        <v>34</v>
      </c>
      <c r="H156" s="1" t="s">
        <v>81</v>
      </c>
      <c r="I156" s="1">
        <v>3970.902439</v>
      </c>
      <c r="J156" s="1">
        <v>8.2727134146000001</v>
      </c>
      <c r="K156" s="1">
        <v>480</v>
      </c>
      <c r="L156" s="1" t="s">
        <v>73</v>
      </c>
      <c r="M156" s="1" t="s">
        <v>82</v>
      </c>
      <c r="N156" s="1" t="s">
        <v>79</v>
      </c>
      <c r="O156" s="1" t="s">
        <v>83</v>
      </c>
    </row>
    <row r="157" spans="1:15" x14ac:dyDescent="0.25">
      <c r="A157" s="1">
        <v>2018</v>
      </c>
      <c r="B157" s="1">
        <v>5</v>
      </c>
      <c r="C157" s="1" t="s">
        <v>63</v>
      </c>
      <c r="D157" s="1" t="s">
        <v>22</v>
      </c>
      <c r="E157" s="1" t="s">
        <v>23</v>
      </c>
      <c r="F157" s="1" t="s">
        <v>24</v>
      </c>
      <c r="G157" s="1" t="s">
        <v>32</v>
      </c>
      <c r="H157" s="1" t="s">
        <v>81</v>
      </c>
      <c r="I157" s="1">
        <v>0</v>
      </c>
      <c r="J157" s="1">
        <v>49.699810606100002</v>
      </c>
      <c r="K157" s="1">
        <v>0</v>
      </c>
      <c r="L157" s="1" t="s">
        <v>73</v>
      </c>
      <c r="M157" s="1" t="s">
        <v>84</v>
      </c>
      <c r="N157" s="1" t="s">
        <v>79</v>
      </c>
      <c r="O157" s="1" t="s">
        <v>83</v>
      </c>
    </row>
    <row r="158" spans="1:15" x14ac:dyDescent="0.25">
      <c r="A158" s="1">
        <v>2018</v>
      </c>
      <c r="B158" s="1">
        <v>5</v>
      </c>
      <c r="C158" s="1" t="s">
        <v>63</v>
      </c>
      <c r="D158" s="1" t="s">
        <v>22</v>
      </c>
      <c r="E158" s="1" t="s">
        <v>23</v>
      </c>
      <c r="F158" s="1" t="s">
        <v>24</v>
      </c>
      <c r="G158" s="1" t="s">
        <v>34</v>
      </c>
      <c r="H158" s="1" t="s">
        <v>77</v>
      </c>
      <c r="I158" s="1">
        <v>32106.400762000001</v>
      </c>
      <c r="J158" s="1">
        <v>8.2727134146000001</v>
      </c>
      <c r="K158" s="1">
        <v>3881</v>
      </c>
      <c r="L158" s="1" t="s">
        <v>73</v>
      </c>
      <c r="M158" s="1" t="s">
        <v>84</v>
      </c>
      <c r="N158" s="1" t="s">
        <v>79</v>
      </c>
      <c r="O158" s="1" t="s">
        <v>83</v>
      </c>
    </row>
    <row r="159" spans="1:15" x14ac:dyDescent="0.25">
      <c r="A159" s="1">
        <v>2018</v>
      </c>
      <c r="B159" s="1">
        <v>5</v>
      </c>
      <c r="C159" s="1" t="s">
        <v>63</v>
      </c>
      <c r="D159" s="1" t="s">
        <v>22</v>
      </c>
      <c r="E159" s="1" t="s">
        <v>23</v>
      </c>
      <c r="F159" s="1" t="s">
        <v>24</v>
      </c>
      <c r="G159" s="1" t="s">
        <v>34</v>
      </c>
      <c r="H159" s="1" t="s">
        <v>81</v>
      </c>
      <c r="I159" s="1">
        <v>32106.400762000001</v>
      </c>
      <c r="J159" s="1">
        <v>8.2727134146000001</v>
      </c>
      <c r="K159" s="1">
        <v>3881</v>
      </c>
      <c r="L159" s="1" t="s">
        <v>73</v>
      </c>
      <c r="M159" s="1" t="s">
        <v>84</v>
      </c>
      <c r="N159" s="1" t="s">
        <v>79</v>
      </c>
      <c r="O159" s="1" t="s">
        <v>83</v>
      </c>
    </row>
    <row r="160" spans="1:15" x14ac:dyDescent="0.25">
      <c r="A160" s="1">
        <v>2018</v>
      </c>
      <c r="B160" s="1">
        <v>5</v>
      </c>
      <c r="C160" s="1" t="s">
        <v>63</v>
      </c>
      <c r="D160" s="1" t="s">
        <v>22</v>
      </c>
      <c r="E160" s="1" t="s">
        <v>23</v>
      </c>
      <c r="F160" s="1" t="s">
        <v>24</v>
      </c>
      <c r="G160" s="1" t="s">
        <v>32</v>
      </c>
      <c r="H160" s="1" t="s">
        <v>81</v>
      </c>
      <c r="I160" s="1">
        <v>0</v>
      </c>
      <c r="J160" s="1">
        <v>49.699810606100002</v>
      </c>
      <c r="K160" s="1">
        <v>0</v>
      </c>
      <c r="L160" s="1" t="s">
        <v>73</v>
      </c>
      <c r="M160" s="1" t="s">
        <v>85</v>
      </c>
      <c r="N160" s="1" t="s">
        <v>79</v>
      </c>
      <c r="O160" s="1" t="s">
        <v>83</v>
      </c>
    </row>
    <row r="161" spans="1:15" x14ac:dyDescent="0.25">
      <c r="A161" s="1">
        <v>2018</v>
      </c>
      <c r="B161" s="1">
        <v>5</v>
      </c>
      <c r="C161" s="1" t="s">
        <v>63</v>
      </c>
      <c r="D161" s="1" t="s">
        <v>22</v>
      </c>
      <c r="E161" s="1" t="s">
        <v>23</v>
      </c>
      <c r="F161" s="1" t="s">
        <v>24</v>
      </c>
      <c r="G161" s="1" t="s">
        <v>34</v>
      </c>
      <c r="H161" s="1" t="s">
        <v>77</v>
      </c>
      <c r="I161" s="1">
        <v>26472.682926000001</v>
      </c>
      <c r="J161" s="1">
        <v>8.2727134146000001</v>
      </c>
      <c r="K161" s="1">
        <v>3200</v>
      </c>
      <c r="L161" s="1" t="s">
        <v>73</v>
      </c>
      <c r="M161" s="1" t="s">
        <v>85</v>
      </c>
      <c r="N161" s="1" t="s">
        <v>79</v>
      </c>
      <c r="O161" s="1" t="s">
        <v>83</v>
      </c>
    </row>
    <row r="162" spans="1:15" x14ac:dyDescent="0.25">
      <c r="A162" s="1">
        <v>2018</v>
      </c>
      <c r="B162" s="1">
        <v>5</v>
      </c>
      <c r="C162" s="1" t="s">
        <v>63</v>
      </c>
      <c r="D162" s="1" t="s">
        <v>22</v>
      </c>
      <c r="E162" s="1" t="s">
        <v>23</v>
      </c>
      <c r="F162" s="1" t="s">
        <v>24</v>
      </c>
      <c r="G162" s="1" t="s">
        <v>34</v>
      </c>
      <c r="H162" s="1" t="s">
        <v>81</v>
      </c>
      <c r="I162" s="1">
        <v>26472.682926000001</v>
      </c>
      <c r="J162" s="1">
        <v>8.2727134146000001</v>
      </c>
      <c r="K162" s="1">
        <v>3200</v>
      </c>
      <c r="L162" s="1" t="s">
        <v>73</v>
      </c>
      <c r="M162" s="1" t="s">
        <v>85</v>
      </c>
      <c r="N162" s="1" t="s">
        <v>79</v>
      </c>
      <c r="O162" s="1" t="s">
        <v>83</v>
      </c>
    </row>
    <row r="163" spans="1:15" x14ac:dyDescent="0.25">
      <c r="A163" s="1">
        <v>2018</v>
      </c>
      <c r="B163" s="1">
        <v>5</v>
      </c>
      <c r="C163" s="1" t="s">
        <v>63</v>
      </c>
      <c r="D163" s="1" t="s">
        <v>22</v>
      </c>
      <c r="E163" s="1" t="s">
        <v>23</v>
      </c>
      <c r="F163" s="1" t="s">
        <v>24</v>
      </c>
      <c r="G163" s="1" t="s">
        <v>32</v>
      </c>
      <c r="H163" s="1" t="s">
        <v>77</v>
      </c>
      <c r="I163" s="1">
        <v>40803.544506999999</v>
      </c>
      <c r="J163" s="1">
        <v>49.699810606</v>
      </c>
      <c r="K163" s="1">
        <v>821</v>
      </c>
      <c r="L163" s="1" t="s">
        <v>73</v>
      </c>
      <c r="M163" s="1" t="s">
        <v>86</v>
      </c>
      <c r="N163" s="1" t="s">
        <v>79</v>
      </c>
      <c r="O163" s="1" t="s">
        <v>83</v>
      </c>
    </row>
    <row r="164" spans="1:15" x14ac:dyDescent="0.25">
      <c r="A164" s="1">
        <v>2018</v>
      </c>
      <c r="B164" s="1">
        <v>5</v>
      </c>
      <c r="C164" s="1" t="s">
        <v>63</v>
      </c>
      <c r="D164" s="1" t="s">
        <v>22</v>
      </c>
      <c r="E164" s="1" t="s">
        <v>23</v>
      </c>
      <c r="F164" s="1" t="s">
        <v>24</v>
      </c>
      <c r="G164" s="1" t="s">
        <v>32</v>
      </c>
      <c r="H164" s="1" t="s">
        <v>81</v>
      </c>
      <c r="I164" s="1">
        <v>40803.544506999999</v>
      </c>
      <c r="J164" s="1">
        <v>49.699810606100002</v>
      </c>
      <c r="K164" s="1">
        <v>821</v>
      </c>
      <c r="L164" s="1" t="s">
        <v>73</v>
      </c>
      <c r="M164" s="1" t="s">
        <v>86</v>
      </c>
      <c r="N164" s="1" t="s">
        <v>79</v>
      </c>
      <c r="O164" s="1" t="s">
        <v>83</v>
      </c>
    </row>
    <row r="165" spans="1:15" x14ac:dyDescent="0.25">
      <c r="A165" s="1">
        <v>2018</v>
      </c>
      <c r="B165" s="1">
        <v>5</v>
      </c>
      <c r="C165" s="1" t="s">
        <v>63</v>
      </c>
      <c r="D165" s="1" t="s">
        <v>22</v>
      </c>
      <c r="E165" s="1" t="s">
        <v>23</v>
      </c>
      <c r="F165" s="1" t="s">
        <v>24</v>
      </c>
      <c r="G165" s="1" t="s">
        <v>34</v>
      </c>
      <c r="H165" s="1" t="s">
        <v>77</v>
      </c>
      <c r="I165" s="1">
        <v>17132.789481</v>
      </c>
      <c r="J165" s="1">
        <v>8.2727134146000001</v>
      </c>
      <c r="K165" s="1">
        <v>2071</v>
      </c>
      <c r="L165" s="1" t="s">
        <v>73</v>
      </c>
      <c r="M165" s="1" t="s">
        <v>86</v>
      </c>
      <c r="N165" s="1" t="s">
        <v>79</v>
      </c>
      <c r="O165" s="1" t="s">
        <v>83</v>
      </c>
    </row>
    <row r="166" spans="1:15" x14ac:dyDescent="0.25">
      <c r="A166" s="1">
        <v>2018</v>
      </c>
      <c r="B166" s="1">
        <v>5</v>
      </c>
      <c r="C166" s="1" t="s">
        <v>63</v>
      </c>
      <c r="D166" s="1" t="s">
        <v>22</v>
      </c>
      <c r="E166" s="1" t="s">
        <v>23</v>
      </c>
      <c r="F166" s="1" t="s">
        <v>24</v>
      </c>
      <c r="G166" s="1" t="s">
        <v>34</v>
      </c>
      <c r="H166" s="1" t="s">
        <v>81</v>
      </c>
      <c r="I166" s="1">
        <v>17132.789481</v>
      </c>
      <c r="J166" s="1">
        <v>8.2727134146000001</v>
      </c>
      <c r="K166" s="1">
        <v>2071</v>
      </c>
      <c r="L166" s="1" t="s">
        <v>73</v>
      </c>
      <c r="M166" s="1" t="s">
        <v>86</v>
      </c>
      <c r="N166" s="1" t="s">
        <v>79</v>
      </c>
      <c r="O166" s="1" t="s">
        <v>83</v>
      </c>
    </row>
    <row r="167" spans="1:15" x14ac:dyDescent="0.25">
      <c r="A167" s="1">
        <v>2018</v>
      </c>
      <c r="B167" s="1">
        <v>5</v>
      </c>
      <c r="C167" s="1" t="s">
        <v>63</v>
      </c>
      <c r="D167" s="1" t="s">
        <v>22</v>
      </c>
      <c r="E167" s="1" t="s">
        <v>23</v>
      </c>
      <c r="F167" s="1" t="s">
        <v>24</v>
      </c>
      <c r="G167" s="1" t="s">
        <v>32</v>
      </c>
      <c r="H167" s="1" t="s">
        <v>81</v>
      </c>
      <c r="I167" s="1">
        <v>0</v>
      </c>
      <c r="J167" s="1">
        <v>49.699810606100002</v>
      </c>
      <c r="K167" s="1">
        <v>0</v>
      </c>
      <c r="L167" s="1" t="s">
        <v>73</v>
      </c>
      <c r="M167" s="1" t="s">
        <v>87</v>
      </c>
      <c r="N167" s="1" t="s">
        <v>79</v>
      </c>
      <c r="O167" s="1" t="s">
        <v>83</v>
      </c>
    </row>
    <row r="168" spans="1:15" x14ac:dyDescent="0.25">
      <c r="A168" s="1">
        <v>2018</v>
      </c>
      <c r="B168" s="1">
        <v>5</v>
      </c>
      <c r="C168" s="1" t="s">
        <v>63</v>
      </c>
      <c r="D168" s="1" t="s">
        <v>22</v>
      </c>
      <c r="E168" s="1" t="s">
        <v>23</v>
      </c>
      <c r="F168" s="1" t="s">
        <v>24</v>
      </c>
      <c r="G168" s="1" t="s">
        <v>34</v>
      </c>
      <c r="H168" s="1" t="s">
        <v>81</v>
      </c>
      <c r="I168" s="1">
        <v>0</v>
      </c>
      <c r="J168" s="1">
        <v>8.2727134146000001</v>
      </c>
      <c r="K168" s="1">
        <v>0</v>
      </c>
      <c r="L168" s="1" t="s">
        <v>73</v>
      </c>
      <c r="M168" s="1" t="s">
        <v>87</v>
      </c>
      <c r="N168" s="1" t="s">
        <v>79</v>
      </c>
      <c r="O168" s="1" t="s">
        <v>83</v>
      </c>
    </row>
    <row r="169" spans="1:15" x14ac:dyDescent="0.25">
      <c r="A169" s="1">
        <v>2018</v>
      </c>
      <c r="B169" s="1">
        <v>5</v>
      </c>
      <c r="C169" s="1" t="s">
        <v>63</v>
      </c>
      <c r="D169" s="1" t="s">
        <v>22</v>
      </c>
      <c r="E169" s="1" t="s">
        <v>23</v>
      </c>
      <c r="F169" s="1" t="s">
        <v>24</v>
      </c>
      <c r="G169" s="1" t="s">
        <v>32</v>
      </c>
      <c r="H169" s="1" t="s">
        <v>77</v>
      </c>
      <c r="I169" s="1">
        <v>2882.589015</v>
      </c>
      <c r="J169" s="1">
        <v>49.699810606</v>
      </c>
      <c r="K169" s="1">
        <v>58</v>
      </c>
      <c r="L169" s="1" t="s">
        <v>75</v>
      </c>
      <c r="M169" s="1" t="s">
        <v>88</v>
      </c>
      <c r="N169" s="1" t="s">
        <v>79</v>
      </c>
      <c r="O169" s="1" t="s">
        <v>89</v>
      </c>
    </row>
    <row r="170" spans="1:15" x14ac:dyDescent="0.25">
      <c r="A170" s="1">
        <v>2018</v>
      </c>
      <c r="B170" s="1">
        <v>5</v>
      </c>
      <c r="C170" s="1" t="s">
        <v>63</v>
      </c>
      <c r="D170" s="1" t="s">
        <v>22</v>
      </c>
      <c r="E170" s="1" t="s">
        <v>23</v>
      </c>
      <c r="F170" s="1" t="s">
        <v>24</v>
      </c>
      <c r="G170" s="1" t="s">
        <v>32</v>
      </c>
      <c r="H170" s="1" t="s">
        <v>81</v>
      </c>
      <c r="I170" s="1">
        <v>2882.589015</v>
      </c>
      <c r="J170" s="1">
        <v>49.699810606100002</v>
      </c>
      <c r="K170" s="1">
        <v>58</v>
      </c>
      <c r="L170" s="1" t="s">
        <v>75</v>
      </c>
      <c r="M170" s="1" t="s">
        <v>88</v>
      </c>
      <c r="N170" s="1" t="s">
        <v>79</v>
      </c>
      <c r="O170" s="1" t="s">
        <v>89</v>
      </c>
    </row>
    <row r="171" spans="1:15" x14ac:dyDescent="0.25">
      <c r="A171" s="1">
        <v>2018</v>
      </c>
      <c r="B171" s="1">
        <v>5</v>
      </c>
      <c r="C171" s="1" t="s">
        <v>63</v>
      </c>
      <c r="D171" s="1" t="s">
        <v>22</v>
      </c>
      <c r="E171" s="1" t="s">
        <v>23</v>
      </c>
      <c r="F171" s="1" t="s">
        <v>24</v>
      </c>
      <c r="G171" s="1" t="s">
        <v>34</v>
      </c>
      <c r="H171" s="1" t="s">
        <v>81</v>
      </c>
      <c r="I171" s="1">
        <v>0</v>
      </c>
      <c r="J171" s="1">
        <v>8.2727134146000001</v>
      </c>
      <c r="K171" s="1">
        <v>0</v>
      </c>
      <c r="L171" s="1" t="s">
        <v>75</v>
      </c>
      <c r="M171" s="1" t="s">
        <v>88</v>
      </c>
      <c r="N171" s="1" t="s">
        <v>79</v>
      </c>
      <c r="O171" s="1" t="s">
        <v>89</v>
      </c>
    </row>
    <row r="172" spans="1:15" x14ac:dyDescent="0.25">
      <c r="A172" s="1">
        <v>2018</v>
      </c>
      <c r="B172" s="1">
        <v>5</v>
      </c>
      <c r="C172" s="1" t="s">
        <v>63</v>
      </c>
      <c r="D172" s="1" t="s">
        <v>22</v>
      </c>
      <c r="E172" s="1" t="s">
        <v>23</v>
      </c>
      <c r="F172" s="1" t="s">
        <v>24</v>
      </c>
      <c r="G172" s="1" t="s">
        <v>32</v>
      </c>
      <c r="H172" s="1" t="s">
        <v>77</v>
      </c>
      <c r="I172" s="1">
        <v>70822.230112999998</v>
      </c>
      <c r="J172" s="1">
        <v>49.699810606</v>
      </c>
      <c r="K172" s="1">
        <v>1425</v>
      </c>
      <c r="L172" s="1" t="s">
        <v>73</v>
      </c>
      <c r="M172" s="1" t="s">
        <v>90</v>
      </c>
      <c r="N172" s="1" t="s">
        <v>79</v>
      </c>
      <c r="O172" s="1" t="s">
        <v>83</v>
      </c>
    </row>
    <row r="173" spans="1:15" x14ac:dyDescent="0.25">
      <c r="A173" s="1">
        <v>2018</v>
      </c>
      <c r="B173" s="1">
        <v>5</v>
      </c>
      <c r="C173" s="1" t="s">
        <v>63</v>
      </c>
      <c r="D173" s="1" t="s">
        <v>22</v>
      </c>
      <c r="E173" s="1" t="s">
        <v>23</v>
      </c>
      <c r="F173" s="1" t="s">
        <v>24</v>
      </c>
      <c r="G173" s="1" t="s">
        <v>32</v>
      </c>
      <c r="H173" s="1" t="s">
        <v>81</v>
      </c>
      <c r="I173" s="1">
        <v>70822.230112999998</v>
      </c>
      <c r="J173" s="1">
        <v>49.699810606100002</v>
      </c>
      <c r="K173" s="1">
        <v>1425</v>
      </c>
      <c r="L173" s="1" t="s">
        <v>73</v>
      </c>
      <c r="M173" s="1" t="s">
        <v>90</v>
      </c>
      <c r="N173" s="1" t="s">
        <v>79</v>
      </c>
      <c r="O173" s="1" t="s">
        <v>83</v>
      </c>
    </row>
    <row r="174" spans="1:15" x14ac:dyDescent="0.25">
      <c r="A174" s="1">
        <v>2018</v>
      </c>
      <c r="B174" s="1">
        <v>5</v>
      </c>
      <c r="C174" s="1" t="s">
        <v>63</v>
      </c>
      <c r="D174" s="1" t="s">
        <v>22</v>
      </c>
      <c r="E174" s="1" t="s">
        <v>23</v>
      </c>
      <c r="F174" s="1" t="s">
        <v>24</v>
      </c>
      <c r="G174" s="1" t="s">
        <v>34</v>
      </c>
      <c r="H174" s="1" t="s">
        <v>81</v>
      </c>
      <c r="I174" s="1">
        <v>0</v>
      </c>
      <c r="J174" s="1">
        <v>8.2727134146000001</v>
      </c>
      <c r="K174" s="1">
        <v>0</v>
      </c>
      <c r="L174" s="1" t="s">
        <v>73</v>
      </c>
      <c r="M174" s="1" t="s">
        <v>90</v>
      </c>
      <c r="N174" s="1" t="s">
        <v>79</v>
      </c>
      <c r="O174" s="1" t="s">
        <v>83</v>
      </c>
    </row>
    <row r="175" spans="1:15" x14ac:dyDescent="0.25">
      <c r="A175" s="1">
        <v>2018</v>
      </c>
      <c r="B175" s="1">
        <v>5</v>
      </c>
      <c r="C175" s="1" t="s">
        <v>63</v>
      </c>
      <c r="D175" s="1" t="s">
        <v>22</v>
      </c>
      <c r="E175" s="1" t="s">
        <v>23</v>
      </c>
      <c r="F175" s="1" t="s">
        <v>24</v>
      </c>
      <c r="G175" s="1" t="s">
        <v>32</v>
      </c>
      <c r="H175" s="1" t="s">
        <v>77</v>
      </c>
      <c r="I175" s="1">
        <v>20873.920453999999</v>
      </c>
      <c r="J175" s="1">
        <v>49.699810606</v>
      </c>
      <c r="K175" s="1">
        <v>420</v>
      </c>
      <c r="L175" s="1" t="s">
        <v>73</v>
      </c>
      <c r="M175" s="1" t="s">
        <v>91</v>
      </c>
      <c r="N175" s="1" t="s">
        <v>79</v>
      </c>
      <c r="O175" s="1" t="s">
        <v>83</v>
      </c>
    </row>
    <row r="176" spans="1:15" x14ac:dyDescent="0.25">
      <c r="A176" s="1">
        <v>2018</v>
      </c>
      <c r="B176" s="1">
        <v>5</v>
      </c>
      <c r="C176" s="1" t="s">
        <v>63</v>
      </c>
      <c r="D176" s="1" t="s">
        <v>22</v>
      </c>
      <c r="E176" s="1" t="s">
        <v>23</v>
      </c>
      <c r="F176" s="1" t="s">
        <v>24</v>
      </c>
      <c r="G176" s="1" t="s">
        <v>32</v>
      </c>
      <c r="H176" s="1" t="s">
        <v>81</v>
      </c>
      <c r="I176" s="1">
        <v>20873.920453999999</v>
      </c>
      <c r="J176" s="1">
        <v>49.699810606100002</v>
      </c>
      <c r="K176" s="1">
        <v>420</v>
      </c>
      <c r="L176" s="1" t="s">
        <v>73</v>
      </c>
      <c r="M176" s="1" t="s">
        <v>91</v>
      </c>
      <c r="N176" s="1" t="s">
        <v>79</v>
      </c>
      <c r="O176" s="1" t="s">
        <v>83</v>
      </c>
    </row>
    <row r="177" spans="1:15" x14ac:dyDescent="0.25">
      <c r="A177" s="1">
        <v>2018</v>
      </c>
      <c r="B177" s="1">
        <v>5</v>
      </c>
      <c r="C177" s="1" t="s">
        <v>63</v>
      </c>
      <c r="D177" s="1" t="s">
        <v>22</v>
      </c>
      <c r="E177" s="1" t="s">
        <v>23</v>
      </c>
      <c r="F177" s="1" t="s">
        <v>24</v>
      </c>
      <c r="G177" s="1" t="s">
        <v>34</v>
      </c>
      <c r="H177" s="1" t="s">
        <v>81</v>
      </c>
      <c r="I177" s="1">
        <v>0</v>
      </c>
      <c r="J177" s="1">
        <v>8.2727134146000001</v>
      </c>
      <c r="K177" s="1">
        <v>0</v>
      </c>
      <c r="L177" s="1" t="s">
        <v>73</v>
      </c>
      <c r="M177" s="1" t="s">
        <v>91</v>
      </c>
      <c r="N177" s="1" t="s">
        <v>79</v>
      </c>
      <c r="O177" s="1" t="s">
        <v>83</v>
      </c>
    </row>
    <row r="178" spans="1:15" x14ac:dyDescent="0.25">
      <c r="A178" s="1">
        <v>2018</v>
      </c>
      <c r="B178" s="1">
        <v>5</v>
      </c>
      <c r="C178" s="1" t="s">
        <v>63</v>
      </c>
      <c r="D178" s="1" t="s">
        <v>22</v>
      </c>
      <c r="E178" s="1" t="s">
        <v>23</v>
      </c>
      <c r="F178" s="1" t="s">
        <v>24</v>
      </c>
      <c r="G178" s="1" t="s">
        <v>32</v>
      </c>
      <c r="H178" s="1" t="s">
        <v>81</v>
      </c>
      <c r="I178" s="1">
        <v>0</v>
      </c>
      <c r="J178" s="1">
        <v>49.699810606100002</v>
      </c>
      <c r="K178" s="1">
        <v>0</v>
      </c>
      <c r="L178" s="1" t="s">
        <v>74</v>
      </c>
      <c r="M178" s="1" t="s">
        <v>92</v>
      </c>
      <c r="N178" s="1" t="s">
        <v>79</v>
      </c>
      <c r="O178" s="1" t="s">
        <v>80</v>
      </c>
    </row>
    <row r="179" spans="1:15" x14ac:dyDescent="0.25">
      <c r="A179" s="1">
        <v>2018</v>
      </c>
      <c r="B179" s="1">
        <v>5</v>
      </c>
      <c r="C179" s="1" t="s">
        <v>63</v>
      </c>
      <c r="D179" s="1" t="s">
        <v>22</v>
      </c>
      <c r="E179" s="1" t="s">
        <v>23</v>
      </c>
      <c r="F179" s="1" t="s">
        <v>24</v>
      </c>
      <c r="G179" s="1" t="s">
        <v>34</v>
      </c>
      <c r="H179" s="1" t="s">
        <v>81</v>
      </c>
      <c r="I179" s="1">
        <v>0</v>
      </c>
      <c r="J179" s="1">
        <v>8.2727134146000001</v>
      </c>
      <c r="K179" s="1">
        <v>0</v>
      </c>
      <c r="L179" s="1" t="s">
        <v>74</v>
      </c>
      <c r="M179" s="1" t="s">
        <v>92</v>
      </c>
      <c r="N179" s="1" t="s">
        <v>79</v>
      </c>
      <c r="O179" s="1" t="s">
        <v>80</v>
      </c>
    </row>
    <row r="180" spans="1:15" x14ac:dyDescent="0.25">
      <c r="A180" s="1">
        <v>2018</v>
      </c>
      <c r="B180" s="1">
        <v>5</v>
      </c>
      <c r="C180" s="1" t="s">
        <v>63</v>
      </c>
      <c r="D180" s="1" t="s">
        <v>22</v>
      </c>
      <c r="E180" s="1" t="s">
        <v>23</v>
      </c>
      <c r="F180" s="1" t="s">
        <v>24</v>
      </c>
      <c r="G180" s="1" t="s">
        <v>32</v>
      </c>
      <c r="H180" s="1" t="s">
        <v>77</v>
      </c>
      <c r="I180" s="1">
        <v>13518.348484</v>
      </c>
      <c r="J180" s="1">
        <v>49.699810606</v>
      </c>
      <c r="K180" s="1">
        <v>272</v>
      </c>
      <c r="L180" s="1" t="s">
        <v>73</v>
      </c>
      <c r="M180" s="1" t="s">
        <v>93</v>
      </c>
      <c r="N180" s="1" t="s">
        <v>79</v>
      </c>
      <c r="O180" s="1" t="s">
        <v>83</v>
      </c>
    </row>
    <row r="181" spans="1:15" x14ac:dyDescent="0.25">
      <c r="A181" s="1">
        <v>2018</v>
      </c>
      <c r="B181" s="1">
        <v>5</v>
      </c>
      <c r="C181" s="1" t="s">
        <v>63</v>
      </c>
      <c r="D181" s="1" t="s">
        <v>22</v>
      </c>
      <c r="E181" s="1" t="s">
        <v>23</v>
      </c>
      <c r="F181" s="1" t="s">
        <v>24</v>
      </c>
      <c r="G181" s="1" t="s">
        <v>32</v>
      </c>
      <c r="H181" s="1" t="s">
        <v>81</v>
      </c>
      <c r="I181" s="1">
        <v>13518.348484</v>
      </c>
      <c r="J181" s="1">
        <v>49.699810606100002</v>
      </c>
      <c r="K181" s="1">
        <v>272</v>
      </c>
      <c r="L181" s="1" t="s">
        <v>73</v>
      </c>
      <c r="M181" s="1" t="s">
        <v>93</v>
      </c>
      <c r="N181" s="1" t="s">
        <v>79</v>
      </c>
      <c r="O181" s="1" t="s">
        <v>83</v>
      </c>
    </row>
    <row r="182" spans="1:15" x14ac:dyDescent="0.25">
      <c r="A182" s="1">
        <v>2018</v>
      </c>
      <c r="B182" s="1">
        <v>5</v>
      </c>
      <c r="C182" s="1" t="s">
        <v>63</v>
      </c>
      <c r="D182" s="1" t="s">
        <v>22</v>
      </c>
      <c r="E182" s="1" t="s">
        <v>23</v>
      </c>
      <c r="F182" s="1" t="s">
        <v>24</v>
      </c>
      <c r="G182" s="1" t="s">
        <v>34</v>
      </c>
      <c r="H182" s="1" t="s">
        <v>81</v>
      </c>
      <c r="I182" s="1">
        <v>0</v>
      </c>
      <c r="J182" s="1">
        <v>8.2727134146000001</v>
      </c>
      <c r="K182" s="1">
        <v>0</v>
      </c>
      <c r="L182" s="1" t="s">
        <v>73</v>
      </c>
      <c r="M182" s="1" t="s">
        <v>93</v>
      </c>
      <c r="N182" s="1" t="s">
        <v>79</v>
      </c>
      <c r="O182" s="1" t="s">
        <v>83</v>
      </c>
    </row>
    <row r="183" spans="1:15" x14ac:dyDescent="0.25">
      <c r="A183" s="1">
        <v>2018</v>
      </c>
      <c r="B183" s="1">
        <v>5</v>
      </c>
      <c r="C183" s="1" t="s">
        <v>63</v>
      </c>
      <c r="D183" s="1" t="s">
        <v>22</v>
      </c>
      <c r="E183" s="1" t="s">
        <v>23</v>
      </c>
      <c r="F183" s="1" t="s">
        <v>24</v>
      </c>
      <c r="G183" s="1" t="s">
        <v>32</v>
      </c>
      <c r="H183" s="1" t="s">
        <v>81</v>
      </c>
      <c r="I183" s="1">
        <v>0</v>
      </c>
      <c r="J183" s="1">
        <v>49.699810606100002</v>
      </c>
      <c r="K183" s="1">
        <v>0</v>
      </c>
      <c r="L183" s="1" t="s">
        <v>75</v>
      </c>
      <c r="M183" s="1" t="s">
        <v>94</v>
      </c>
      <c r="N183" s="1" t="s">
        <v>79</v>
      </c>
      <c r="O183" s="1" t="s">
        <v>89</v>
      </c>
    </row>
    <row r="184" spans="1:15" x14ac:dyDescent="0.25">
      <c r="A184" s="1">
        <v>2018</v>
      </c>
      <c r="B184" s="1">
        <v>5</v>
      </c>
      <c r="C184" s="1" t="s">
        <v>63</v>
      </c>
      <c r="D184" s="1" t="s">
        <v>22</v>
      </c>
      <c r="E184" s="1" t="s">
        <v>23</v>
      </c>
      <c r="F184" s="1" t="s">
        <v>24</v>
      </c>
      <c r="G184" s="1" t="s">
        <v>34</v>
      </c>
      <c r="H184" s="1" t="s">
        <v>81</v>
      </c>
      <c r="I184" s="1">
        <v>0</v>
      </c>
      <c r="J184" s="1">
        <v>8.2727134146000001</v>
      </c>
      <c r="K184" s="1">
        <v>0</v>
      </c>
      <c r="L184" s="1" t="s">
        <v>75</v>
      </c>
      <c r="M184" s="1" t="s">
        <v>94</v>
      </c>
      <c r="N184" s="1" t="s">
        <v>79</v>
      </c>
      <c r="O184" s="1" t="s">
        <v>89</v>
      </c>
    </row>
    <row r="185" spans="1:15" x14ac:dyDescent="0.25">
      <c r="A185" s="1">
        <v>2018</v>
      </c>
      <c r="B185" s="1">
        <v>5</v>
      </c>
      <c r="C185" s="1" t="s">
        <v>63</v>
      </c>
      <c r="D185" s="1" t="s">
        <v>22</v>
      </c>
      <c r="E185" s="1" t="s">
        <v>23</v>
      </c>
      <c r="F185" s="1" t="s">
        <v>24</v>
      </c>
      <c r="G185" s="1" t="s">
        <v>32</v>
      </c>
      <c r="H185" s="1" t="s">
        <v>81</v>
      </c>
      <c r="I185" s="1">
        <v>0</v>
      </c>
      <c r="J185" s="1">
        <v>49.699810606100002</v>
      </c>
      <c r="K185" s="1">
        <v>0</v>
      </c>
      <c r="L185" s="1" t="s">
        <v>75</v>
      </c>
      <c r="M185" s="1" t="s">
        <v>95</v>
      </c>
      <c r="N185" s="1" t="s">
        <v>96</v>
      </c>
      <c r="O185" s="1" t="s">
        <v>89</v>
      </c>
    </row>
    <row r="186" spans="1:15" x14ac:dyDescent="0.25">
      <c r="A186" s="1">
        <v>2018</v>
      </c>
      <c r="B186" s="1">
        <v>5</v>
      </c>
      <c r="C186" s="1" t="s">
        <v>63</v>
      </c>
      <c r="D186" s="1" t="s">
        <v>22</v>
      </c>
      <c r="E186" s="1" t="s">
        <v>23</v>
      </c>
      <c r="F186" s="1" t="s">
        <v>24</v>
      </c>
      <c r="G186" s="1" t="s">
        <v>34</v>
      </c>
      <c r="H186" s="1" t="s">
        <v>81</v>
      </c>
      <c r="I186" s="1">
        <v>0</v>
      </c>
      <c r="J186" s="1">
        <v>8.2727134146000001</v>
      </c>
      <c r="K186" s="1">
        <v>0</v>
      </c>
      <c r="L186" s="1" t="s">
        <v>75</v>
      </c>
      <c r="M186" s="1" t="s">
        <v>95</v>
      </c>
      <c r="N186" s="1" t="s">
        <v>96</v>
      </c>
      <c r="O186" s="1" t="s">
        <v>89</v>
      </c>
    </row>
    <row r="187" spans="1:15" x14ac:dyDescent="0.25">
      <c r="A187" s="1">
        <v>2018</v>
      </c>
      <c r="B187" s="1">
        <v>5</v>
      </c>
      <c r="C187" s="1" t="s">
        <v>63</v>
      </c>
      <c r="D187" s="1" t="s">
        <v>22</v>
      </c>
      <c r="E187" s="1" t="s">
        <v>23</v>
      </c>
      <c r="F187" s="1" t="s">
        <v>24</v>
      </c>
      <c r="G187" s="1" t="s">
        <v>32</v>
      </c>
      <c r="H187" s="1" t="s">
        <v>81</v>
      </c>
      <c r="I187" s="1">
        <v>0</v>
      </c>
      <c r="J187" s="1">
        <v>49.699810606100002</v>
      </c>
      <c r="K187" s="1">
        <v>0</v>
      </c>
      <c r="L187" s="1" t="s">
        <v>75</v>
      </c>
      <c r="M187" s="1" t="s">
        <v>97</v>
      </c>
      <c r="N187" s="1" t="s">
        <v>96</v>
      </c>
      <c r="O187" s="1" t="s">
        <v>89</v>
      </c>
    </row>
    <row r="188" spans="1:15" x14ac:dyDescent="0.25">
      <c r="A188" s="1">
        <v>2018</v>
      </c>
      <c r="B188" s="1">
        <v>5</v>
      </c>
      <c r="C188" s="1" t="s">
        <v>63</v>
      </c>
      <c r="D188" s="1" t="s">
        <v>22</v>
      </c>
      <c r="E188" s="1" t="s">
        <v>23</v>
      </c>
      <c r="F188" s="1" t="s">
        <v>24</v>
      </c>
      <c r="G188" s="1" t="s">
        <v>34</v>
      </c>
      <c r="H188" s="1" t="s">
        <v>81</v>
      </c>
      <c r="I188" s="1">
        <v>0</v>
      </c>
      <c r="J188" s="1">
        <v>8.2727134146000001</v>
      </c>
      <c r="K188" s="1">
        <v>0</v>
      </c>
      <c r="L188" s="1" t="s">
        <v>75</v>
      </c>
      <c r="M188" s="1" t="s">
        <v>97</v>
      </c>
      <c r="N188" s="1" t="s">
        <v>96</v>
      </c>
      <c r="O188" s="1" t="s">
        <v>89</v>
      </c>
    </row>
    <row r="189" spans="1:15" x14ac:dyDescent="0.25">
      <c r="A189" s="1">
        <v>2018</v>
      </c>
      <c r="B189" s="1">
        <v>5</v>
      </c>
      <c r="C189" s="1" t="s">
        <v>63</v>
      </c>
      <c r="D189" s="1" t="s">
        <v>22</v>
      </c>
      <c r="E189" s="1" t="s">
        <v>23</v>
      </c>
      <c r="F189" s="1" t="s">
        <v>24</v>
      </c>
      <c r="G189" s="1" t="s">
        <v>32</v>
      </c>
      <c r="H189" s="1" t="s">
        <v>81</v>
      </c>
      <c r="I189" s="1">
        <v>0</v>
      </c>
      <c r="J189" s="1">
        <v>49.699810606100002</v>
      </c>
      <c r="K189" s="1">
        <v>0</v>
      </c>
      <c r="L189" s="1" t="s">
        <v>73</v>
      </c>
      <c r="M189" s="1" t="s">
        <v>98</v>
      </c>
      <c r="N189" s="1" t="s">
        <v>79</v>
      </c>
      <c r="O189" s="1" t="s">
        <v>83</v>
      </c>
    </row>
    <row r="190" spans="1:15" x14ac:dyDescent="0.25">
      <c r="A190" s="1">
        <v>2018</v>
      </c>
      <c r="B190" s="1">
        <v>5</v>
      </c>
      <c r="C190" s="1" t="s">
        <v>63</v>
      </c>
      <c r="D190" s="1" t="s">
        <v>22</v>
      </c>
      <c r="E190" s="1" t="s">
        <v>23</v>
      </c>
      <c r="F190" s="1" t="s">
        <v>24</v>
      </c>
      <c r="G190" s="1" t="s">
        <v>34</v>
      </c>
      <c r="H190" s="1" t="s">
        <v>81</v>
      </c>
      <c r="I190" s="1">
        <v>0</v>
      </c>
      <c r="J190" s="1">
        <v>8.2727134146000001</v>
      </c>
      <c r="K190" s="1">
        <v>0</v>
      </c>
      <c r="L190" s="1" t="s">
        <v>73</v>
      </c>
      <c r="M190" s="1" t="s">
        <v>98</v>
      </c>
      <c r="N190" s="1" t="s">
        <v>79</v>
      </c>
      <c r="O190" s="1" t="s">
        <v>83</v>
      </c>
    </row>
    <row r="191" spans="1:15" x14ac:dyDescent="0.25">
      <c r="A191" s="1">
        <v>2018</v>
      </c>
      <c r="B191" s="1">
        <v>5</v>
      </c>
      <c r="C191" s="1" t="s">
        <v>63</v>
      </c>
      <c r="D191" s="1" t="s">
        <v>22</v>
      </c>
      <c r="E191" s="1" t="s">
        <v>23</v>
      </c>
      <c r="F191" s="1" t="s">
        <v>24</v>
      </c>
      <c r="G191" s="1" t="s">
        <v>32</v>
      </c>
      <c r="H191" s="1" t="s">
        <v>77</v>
      </c>
      <c r="I191" s="1">
        <v>23855.909090000001</v>
      </c>
      <c r="J191" s="1">
        <v>49.699810606</v>
      </c>
      <c r="K191" s="1">
        <v>480</v>
      </c>
      <c r="L191" s="1" t="s">
        <v>73</v>
      </c>
      <c r="M191" s="1" t="s">
        <v>99</v>
      </c>
      <c r="N191" s="1" t="s">
        <v>79</v>
      </c>
      <c r="O191" s="1" t="s">
        <v>83</v>
      </c>
    </row>
    <row r="192" spans="1:15" x14ac:dyDescent="0.25">
      <c r="A192" s="1">
        <v>2018</v>
      </c>
      <c r="B192" s="1">
        <v>5</v>
      </c>
      <c r="C192" s="1" t="s">
        <v>63</v>
      </c>
      <c r="D192" s="1" t="s">
        <v>22</v>
      </c>
      <c r="E192" s="1" t="s">
        <v>23</v>
      </c>
      <c r="F192" s="1" t="s">
        <v>24</v>
      </c>
      <c r="G192" s="1" t="s">
        <v>32</v>
      </c>
      <c r="H192" s="1" t="s">
        <v>81</v>
      </c>
      <c r="I192" s="1">
        <v>23855.909090000001</v>
      </c>
      <c r="J192" s="1">
        <v>49.699810606100002</v>
      </c>
      <c r="K192" s="1">
        <v>480</v>
      </c>
      <c r="L192" s="1" t="s">
        <v>73</v>
      </c>
      <c r="M192" s="1" t="s">
        <v>99</v>
      </c>
      <c r="N192" s="1" t="s">
        <v>79</v>
      </c>
      <c r="O192" s="1" t="s">
        <v>83</v>
      </c>
    </row>
    <row r="193" spans="1:15" x14ac:dyDescent="0.25">
      <c r="A193" s="1">
        <v>2018</v>
      </c>
      <c r="B193" s="1">
        <v>5</v>
      </c>
      <c r="C193" s="1" t="s">
        <v>63</v>
      </c>
      <c r="D193" s="1" t="s">
        <v>22</v>
      </c>
      <c r="E193" s="1" t="s">
        <v>23</v>
      </c>
      <c r="F193" s="1" t="s">
        <v>24</v>
      </c>
      <c r="G193" s="1" t="s">
        <v>34</v>
      </c>
      <c r="H193" s="1" t="s">
        <v>81</v>
      </c>
      <c r="I193" s="1">
        <v>0</v>
      </c>
      <c r="J193" s="1">
        <v>8.2727134146000001</v>
      </c>
      <c r="K193" s="1">
        <v>0</v>
      </c>
      <c r="L193" s="1" t="s">
        <v>73</v>
      </c>
      <c r="M193" s="1" t="s">
        <v>99</v>
      </c>
      <c r="N193" s="1" t="s">
        <v>79</v>
      </c>
      <c r="O193" s="1" t="s">
        <v>83</v>
      </c>
    </row>
    <row r="194" spans="1:15" x14ac:dyDescent="0.25">
      <c r="A194" s="1">
        <v>2018</v>
      </c>
      <c r="B194" s="1">
        <v>5</v>
      </c>
      <c r="C194" s="1" t="s">
        <v>63</v>
      </c>
      <c r="D194" s="1" t="s">
        <v>22</v>
      </c>
      <c r="E194" s="1" t="s">
        <v>23</v>
      </c>
      <c r="F194" s="1" t="s">
        <v>24</v>
      </c>
      <c r="G194" s="1" t="s">
        <v>32</v>
      </c>
      <c r="H194" s="1" t="s">
        <v>77</v>
      </c>
      <c r="I194" s="1">
        <v>2981.988636</v>
      </c>
      <c r="J194" s="1">
        <v>49.699810606</v>
      </c>
      <c r="K194" s="1">
        <v>60</v>
      </c>
      <c r="L194" s="1" t="s">
        <v>75</v>
      </c>
      <c r="M194" s="1" t="s">
        <v>100</v>
      </c>
      <c r="N194" s="1" t="s">
        <v>79</v>
      </c>
      <c r="O194" s="1" t="s">
        <v>89</v>
      </c>
    </row>
    <row r="195" spans="1:15" x14ac:dyDescent="0.25">
      <c r="A195" s="1">
        <v>2018</v>
      </c>
      <c r="B195" s="1">
        <v>5</v>
      </c>
      <c r="C195" s="1" t="s">
        <v>63</v>
      </c>
      <c r="D195" s="1" t="s">
        <v>22</v>
      </c>
      <c r="E195" s="1" t="s">
        <v>23</v>
      </c>
      <c r="F195" s="1" t="s">
        <v>24</v>
      </c>
      <c r="G195" s="1" t="s">
        <v>32</v>
      </c>
      <c r="H195" s="1" t="s">
        <v>81</v>
      </c>
      <c r="I195" s="1">
        <v>2981.988636</v>
      </c>
      <c r="J195" s="1">
        <v>49.699810606100002</v>
      </c>
      <c r="K195" s="1">
        <v>60</v>
      </c>
      <c r="L195" s="1" t="s">
        <v>75</v>
      </c>
      <c r="M195" s="1" t="s">
        <v>100</v>
      </c>
      <c r="N195" s="1" t="s">
        <v>79</v>
      </c>
      <c r="O195" s="1" t="s">
        <v>89</v>
      </c>
    </row>
    <row r="196" spans="1:15" x14ac:dyDescent="0.25">
      <c r="A196" s="1">
        <v>2018</v>
      </c>
      <c r="B196" s="1">
        <v>5</v>
      </c>
      <c r="C196" s="1" t="s">
        <v>63</v>
      </c>
      <c r="D196" s="1" t="s">
        <v>22</v>
      </c>
      <c r="E196" s="1" t="s">
        <v>23</v>
      </c>
      <c r="F196" s="1" t="s">
        <v>24</v>
      </c>
      <c r="G196" s="1" t="s">
        <v>34</v>
      </c>
      <c r="H196" s="1" t="s">
        <v>81</v>
      </c>
      <c r="I196" s="1">
        <v>0</v>
      </c>
      <c r="J196" s="1">
        <v>8.2727134146000001</v>
      </c>
      <c r="K196" s="1">
        <v>0</v>
      </c>
      <c r="L196" s="1" t="s">
        <v>75</v>
      </c>
      <c r="M196" s="1" t="s">
        <v>100</v>
      </c>
      <c r="N196" s="1" t="s">
        <v>79</v>
      </c>
      <c r="O196" s="1" t="s">
        <v>89</v>
      </c>
    </row>
    <row r="197" spans="1:15" x14ac:dyDescent="0.25">
      <c r="A197" s="1">
        <v>2018</v>
      </c>
      <c r="B197" s="1">
        <v>5</v>
      </c>
      <c r="C197" s="1" t="s">
        <v>63</v>
      </c>
      <c r="D197" s="1" t="s">
        <v>22</v>
      </c>
      <c r="E197" s="1" t="s">
        <v>23</v>
      </c>
      <c r="F197" s="1" t="s">
        <v>24</v>
      </c>
      <c r="G197" s="1" t="s">
        <v>32</v>
      </c>
      <c r="H197" s="1" t="s">
        <v>77</v>
      </c>
      <c r="I197" s="1">
        <v>310126.81818100001</v>
      </c>
      <c r="J197" s="1">
        <v>49.699810606</v>
      </c>
      <c r="K197" s="1">
        <v>6240</v>
      </c>
      <c r="L197" s="1" t="s">
        <v>76</v>
      </c>
      <c r="M197" s="1" t="s">
        <v>101</v>
      </c>
      <c r="N197" s="1" t="s">
        <v>79</v>
      </c>
      <c r="O197" s="1" t="s">
        <v>102</v>
      </c>
    </row>
    <row r="198" spans="1:15" x14ac:dyDescent="0.25">
      <c r="A198" s="1">
        <v>2018</v>
      </c>
      <c r="B198" s="1">
        <v>5</v>
      </c>
      <c r="C198" s="1" t="s">
        <v>63</v>
      </c>
      <c r="D198" s="1" t="s">
        <v>22</v>
      </c>
      <c r="E198" s="1" t="s">
        <v>23</v>
      </c>
      <c r="F198" s="1" t="s">
        <v>24</v>
      </c>
      <c r="G198" s="1" t="s">
        <v>32</v>
      </c>
      <c r="H198" s="1" t="s">
        <v>81</v>
      </c>
      <c r="I198" s="1">
        <v>310126.81818200002</v>
      </c>
      <c r="J198" s="1">
        <v>49.699810606100002</v>
      </c>
      <c r="K198" s="1">
        <v>6240</v>
      </c>
      <c r="L198" s="1" t="s">
        <v>76</v>
      </c>
      <c r="M198" s="1" t="s">
        <v>101</v>
      </c>
      <c r="N198" s="1" t="s">
        <v>79</v>
      </c>
      <c r="O198" s="1" t="s">
        <v>102</v>
      </c>
    </row>
    <row r="199" spans="1:15" x14ac:dyDescent="0.25">
      <c r="A199" s="1">
        <v>2018</v>
      </c>
      <c r="B199" s="1">
        <v>5</v>
      </c>
      <c r="C199" s="1" t="s">
        <v>63</v>
      </c>
      <c r="D199" s="1" t="s">
        <v>22</v>
      </c>
      <c r="E199" s="1" t="s">
        <v>23</v>
      </c>
      <c r="F199" s="1" t="s">
        <v>24</v>
      </c>
      <c r="G199" s="1" t="s">
        <v>34</v>
      </c>
      <c r="H199" s="1" t="s">
        <v>77</v>
      </c>
      <c r="I199" s="1">
        <v>79418.048779999997</v>
      </c>
      <c r="J199" s="1">
        <v>8.2727134146000001</v>
      </c>
      <c r="K199" s="1">
        <v>9600</v>
      </c>
      <c r="L199" s="1" t="s">
        <v>76</v>
      </c>
      <c r="M199" s="1" t="s">
        <v>101</v>
      </c>
      <c r="N199" s="1" t="s">
        <v>79</v>
      </c>
      <c r="O199" s="1" t="s">
        <v>102</v>
      </c>
    </row>
    <row r="200" spans="1:15" x14ac:dyDescent="0.25">
      <c r="A200" s="1">
        <v>2018</v>
      </c>
      <c r="B200" s="1">
        <v>5</v>
      </c>
      <c r="C200" s="1" t="s">
        <v>63</v>
      </c>
      <c r="D200" s="1" t="s">
        <v>22</v>
      </c>
      <c r="E200" s="1" t="s">
        <v>23</v>
      </c>
      <c r="F200" s="1" t="s">
        <v>24</v>
      </c>
      <c r="G200" s="1" t="s">
        <v>34</v>
      </c>
      <c r="H200" s="1" t="s">
        <v>81</v>
      </c>
      <c r="I200" s="1">
        <v>79418.048779999997</v>
      </c>
      <c r="J200" s="1">
        <v>8.2727134146000001</v>
      </c>
      <c r="K200" s="1">
        <v>9600</v>
      </c>
      <c r="L200" s="1" t="s">
        <v>76</v>
      </c>
      <c r="M200" s="1" t="s">
        <v>101</v>
      </c>
      <c r="N200" s="1" t="s">
        <v>79</v>
      </c>
      <c r="O200" s="1" t="s">
        <v>102</v>
      </c>
    </row>
    <row r="201" spans="1:15" x14ac:dyDescent="0.25">
      <c r="A201" s="1">
        <v>2018</v>
      </c>
      <c r="B201" s="1">
        <v>5</v>
      </c>
      <c r="C201" s="1" t="s">
        <v>63</v>
      </c>
      <c r="D201" s="1" t="s">
        <v>22</v>
      </c>
      <c r="E201" s="1" t="s">
        <v>23</v>
      </c>
      <c r="F201" s="1" t="s">
        <v>24</v>
      </c>
      <c r="G201" s="1" t="s">
        <v>32</v>
      </c>
      <c r="H201" s="1" t="s">
        <v>81</v>
      </c>
      <c r="I201" s="1">
        <v>0</v>
      </c>
      <c r="J201" s="1">
        <v>49.699810606100002</v>
      </c>
      <c r="K201" s="1">
        <v>0</v>
      </c>
      <c r="L201" s="1" t="s">
        <v>73</v>
      </c>
      <c r="M201" s="1" t="s">
        <v>103</v>
      </c>
      <c r="N201" s="1" t="s">
        <v>79</v>
      </c>
      <c r="O201" s="1" t="s">
        <v>83</v>
      </c>
    </row>
    <row r="202" spans="1:15" x14ac:dyDescent="0.25">
      <c r="A202" s="1">
        <v>2018</v>
      </c>
      <c r="B202" s="1">
        <v>5</v>
      </c>
      <c r="C202" s="1" t="s">
        <v>63</v>
      </c>
      <c r="D202" s="1" t="s">
        <v>22</v>
      </c>
      <c r="E202" s="1" t="s">
        <v>23</v>
      </c>
      <c r="F202" s="1" t="s">
        <v>24</v>
      </c>
      <c r="G202" s="1" t="s">
        <v>34</v>
      </c>
      <c r="H202" s="1" t="s">
        <v>77</v>
      </c>
      <c r="I202" s="1">
        <v>3706.1756089999999</v>
      </c>
      <c r="J202" s="1">
        <v>8.2727134146000001</v>
      </c>
      <c r="K202" s="1">
        <v>448</v>
      </c>
      <c r="L202" s="1" t="s">
        <v>73</v>
      </c>
      <c r="M202" s="1" t="s">
        <v>103</v>
      </c>
      <c r="N202" s="1" t="s">
        <v>79</v>
      </c>
      <c r="O202" s="1" t="s">
        <v>83</v>
      </c>
    </row>
    <row r="203" spans="1:15" x14ac:dyDescent="0.25">
      <c r="A203" s="1">
        <v>2018</v>
      </c>
      <c r="B203" s="1">
        <v>5</v>
      </c>
      <c r="C203" s="1" t="s">
        <v>63</v>
      </c>
      <c r="D203" s="1" t="s">
        <v>22</v>
      </c>
      <c r="E203" s="1" t="s">
        <v>23</v>
      </c>
      <c r="F203" s="1" t="s">
        <v>24</v>
      </c>
      <c r="G203" s="1" t="s">
        <v>34</v>
      </c>
      <c r="H203" s="1" t="s">
        <v>81</v>
      </c>
      <c r="I203" s="1">
        <v>3706.1756089999999</v>
      </c>
      <c r="J203" s="1">
        <v>8.2727134146000001</v>
      </c>
      <c r="K203" s="1">
        <v>448</v>
      </c>
      <c r="L203" s="1" t="s">
        <v>73</v>
      </c>
      <c r="M203" s="1" t="s">
        <v>103</v>
      </c>
      <c r="N203" s="1" t="s">
        <v>79</v>
      </c>
      <c r="O203" s="1" t="s">
        <v>83</v>
      </c>
    </row>
    <row r="204" spans="1:15" x14ac:dyDescent="0.25">
      <c r="A204" s="1">
        <v>2018</v>
      </c>
      <c r="B204" s="1">
        <v>5</v>
      </c>
      <c r="C204" s="1" t="s">
        <v>63</v>
      </c>
      <c r="D204" s="1" t="s">
        <v>22</v>
      </c>
      <c r="E204" s="1" t="s">
        <v>23</v>
      </c>
      <c r="F204" s="1" t="s">
        <v>24</v>
      </c>
      <c r="G204" s="1" t="s">
        <v>32</v>
      </c>
      <c r="H204" s="1" t="s">
        <v>81</v>
      </c>
      <c r="I204" s="1">
        <v>0</v>
      </c>
      <c r="J204" s="1">
        <v>49.699810606100002</v>
      </c>
      <c r="K204" s="1">
        <v>0</v>
      </c>
      <c r="L204" s="1" t="s">
        <v>76</v>
      </c>
      <c r="M204" s="1" t="s">
        <v>104</v>
      </c>
      <c r="N204" s="1" t="s">
        <v>79</v>
      </c>
      <c r="O204" s="1" t="s">
        <v>102</v>
      </c>
    </row>
    <row r="205" spans="1:15" x14ac:dyDescent="0.25">
      <c r="A205" s="1">
        <v>2018</v>
      </c>
      <c r="B205" s="1">
        <v>5</v>
      </c>
      <c r="C205" s="1" t="s">
        <v>63</v>
      </c>
      <c r="D205" s="1" t="s">
        <v>22</v>
      </c>
      <c r="E205" s="1" t="s">
        <v>23</v>
      </c>
      <c r="F205" s="1" t="s">
        <v>24</v>
      </c>
      <c r="G205" s="1" t="s">
        <v>34</v>
      </c>
      <c r="H205" s="1" t="s">
        <v>81</v>
      </c>
      <c r="I205" s="1">
        <v>0</v>
      </c>
      <c r="J205" s="1">
        <v>8.2727134146000001</v>
      </c>
      <c r="K205" s="1">
        <v>0</v>
      </c>
      <c r="L205" s="1" t="s">
        <v>76</v>
      </c>
      <c r="M205" s="1" t="s">
        <v>104</v>
      </c>
      <c r="N205" s="1" t="s">
        <v>79</v>
      </c>
      <c r="O205" s="1" t="s">
        <v>102</v>
      </c>
    </row>
    <row r="206" spans="1:15" x14ac:dyDescent="0.25">
      <c r="A206" s="1">
        <v>2018</v>
      </c>
      <c r="B206" s="1">
        <v>5</v>
      </c>
      <c r="C206" s="1" t="s">
        <v>63</v>
      </c>
      <c r="D206" s="1" t="s">
        <v>22</v>
      </c>
      <c r="E206" s="1" t="s">
        <v>23</v>
      </c>
      <c r="F206" s="1" t="s">
        <v>24</v>
      </c>
      <c r="G206" s="1" t="s">
        <v>32</v>
      </c>
      <c r="H206" s="1" t="s">
        <v>81</v>
      </c>
      <c r="I206" s="1">
        <v>0</v>
      </c>
      <c r="J206" s="1">
        <v>49.699810606100002</v>
      </c>
      <c r="K206" s="1">
        <v>0</v>
      </c>
      <c r="L206" s="1" t="s">
        <v>73</v>
      </c>
      <c r="M206" s="1" t="s">
        <v>105</v>
      </c>
      <c r="N206" s="1" t="s">
        <v>79</v>
      </c>
      <c r="O206" s="1" t="s">
        <v>83</v>
      </c>
    </row>
    <row r="207" spans="1:15" x14ac:dyDescent="0.25">
      <c r="A207" s="1">
        <v>2018</v>
      </c>
      <c r="B207" s="1">
        <v>5</v>
      </c>
      <c r="C207" s="1" t="s">
        <v>63</v>
      </c>
      <c r="D207" s="1" t="s">
        <v>22</v>
      </c>
      <c r="E207" s="1" t="s">
        <v>23</v>
      </c>
      <c r="F207" s="1" t="s">
        <v>24</v>
      </c>
      <c r="G207" s="1" t="s">
        <v>34</v>
      </c>
      <c r="H207" s="1" t="s">
        <v>81</v>
      </c>
      <c r="I207" s="1">
        <v>0</v>
      </c>
      <c r="J207" s="1">
        <v>8.2727134146000001</v>
      </c>
      <c r="K207" s="1">
        <v>0</v>
      </c>
      <c r="L207" s="1" t="s">
        <v>73</v>
      </c>
      <c r="M207" s="1" t="s">
        <v>105</v>
      </c>
      <c r="N207" s="1" t="s">
        <v>79</v>
      </c>
      <c r="O207" s="1" t="s">
        <v>83</v>
      </c>
    </row>
    <row r="208" spans="1:15" x14ac:dyDescent="0.25">
      <c r="A208" s="1">
        <v>2018</v>
      </c>
      <c r="B208" s="1">
        <v>5</v>
      </c>
      <c r="C208" s="1" t="s">
        <v>63</v>
      </c>
      <c r="D208" s="1" t="s">
        <v>22</v>
      </c>
      <c r="E208" s="1" t="s">
        <v>23</v>
      </c>
      <c r="F208" s="1" t="s">
        <v>24</v>
      </c>
      <c r="G208" s="1" t="s">
        <v>32</v>
      </c>
      <c r="H208" s="1" t="s">
        <v>81</v>
      </c>
      <c r="I208" s="1">
        <v>0</v>
      </c>
      <c r="J208" s="1">
        <v>49.699810606100002</v>
      </c>
      <c r="K208" s="1">
        <v>0</v>
      </c>
      <c r="L208" s="1" t="s">
        <v>75</v>
      </c>
      <c r="M208" s="1" t="s">
        <v>106</v>
      </c>
      <c r="N208" s="1" t="s">
        <v>79</v>
      </c>
      <c r="O208" s="1" t="s">
        <v>89</v>
      </c>
    </row>
    <row r="209" spans="1:15" x14ac:dyDescent="0.25">
      <c r="A209" s="1">
        <v>2018</v>
      </c>
      <c r="B209" s="1">
        <v>5</v>
      </c>
      <c r="C209" s="1" t="s">
        <v>63</v>
      </c>
      <c r="D209" s="1" t="s">
        <v>22</v>
      </c>
      <c r="E209" s="1" t="s">
        <v>23</v>
      </c>
      <c r="F209" s="1" t="s">
        <v>24</v>
      </c>
      <c r="G209" s="1" t="s">
        <v>34</v>
      </c>
      <c r="H209" s="1" t="s">
        <v>81</v>
      </c>
      <c r="I209" s="1">
        <v>0</v>
      </c>
      <c r="J209" s="1">
        <v>8.2727134146000001</v>
      </c>
      <c r="K209" s="1">
        <v>0</v>
      </c>
      <c r="L209" s="1" t="s">
        <v>75</v>
      </c>
      <c r="M209" s="1" t="s">
        <v>106</v>
      </c>
      <c r="N209" s="1" t="s">
        <v>79</v>
      </c>
      <c r="O209" s="1" t="s">
        <v>89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38"/>
  <sheetViews>
    <sheetView zoomScale="85" zoomScaleNormal="85" workbookViewId="0">
      <selection activeCell="H10" sqref="H10"/>
    </sheetView>
  </sheetViews>
  <sheetFormatPr defaultRowHeight="12.75" x14ac:dyDescent="0.2"/>
  <cols>
    <col min="1" max="1" width="23.42578125" bestFit="1" customWidth="1"/>
    <col min="2" max="2" width="27" bestFit="1" customWidth="1"/>
    <col min="3" max="5" width="12.7109375" bestFit="1" customWidth="1"/>
  </cols>
  <sheetData>
    <row r="2" spans="1:9" x14ac:dyDescent="0.2">
      <c r="A2" s="18" t="s">
        <v>9</v>
      </c>
      <c r="B2" s="37" t="s">
        <v>77</v>
      </c>
    </row>
    <row r="4" spans="1:9" x14ac:dyDescent="0.2">
      <c r="A4" s="9" t="s">
        <v>972</v>
      </c>
      <c r="B4" s="9" t="s">
        <v>968</v>
      </c>
      <c r="C4" s="6"/>
      <c r="D4" s="6"/>
      <c r="E4" s="7"/>
    </row>
    <row r="5" spans="1:9" x14ac:dyDescent="0.2">
      <c r="A5" s="9" t="s">
        <v>954</v>
      </c>
      <c r="B5" s="5">
        <v>3</v>
      </c>
      <c r="C5" s="20">
        <v>4</v>
      </c>
      <c r="D5" s="20">
        <v>5</v>
      </c>
      <c r="E5" s="10" t="s">
        <v>955</v>
      </c>
    </row>
    <row r="6" spans="1:9" ht="14.25" x14ac:dyDescent="0.25">
      <c r="A6" s="11" t="s">
        <v>32</v>
      </c>
      <c r="B6" s="102">
        <v>314.39855072400002</v>
      </c>
      <c r="C6" s="103">
        <v>526.92175925900005</v>
      </c>
      <c r="D6" s="103">
        <v>447.29829545400003</v>
      </c>
      <c r="E6" s="104">
        <v>1288.6186054370003</v>
      </c>
      <c r="G6" s="101" t="s">
        <v>995</v>
      </c>
      <c r="H6" s="101" t="s">
        <v>996</v>
      </c>
      <c r="I6" s="101" t="s">
        <v>997</v>
      </c>
    </row>
    <row r="7" spans="1:9" ht="14.25" x14ac:dyDescent="0.25">
      <c r="A7" s="13" t="s">
        <v>78</v>
      </c>
      <c r="B7" s="105">
        <v>39.299818840500002</v>
      </c>
      <c r="C7" s="106"/>
      <c r="D7" s="106">
        <v>49.699810606</v>
      </c>
      <c r="E7" s="107">
        <v>88.999629446499995</v>
      </c>
      <c r="G7" s="101" t="s">
        <v>994</v>
      </c>
      <c r="H7" s="101" t="s">
        <v>998</v>
      </c>
      <c r="I7" s="101" t="s">
        <v>999</v>
      </c>
    </row>
    <row r="8" spans="1:9" ht="14.25" x14ac:dyDescent="0.25">
      <c r="A8" s="13" t="s">
        <v>82</v>
      </c>
      <c r="B8" s="105">
        <v>39.299818840500002</v>
      </c>
      <c r="C8" s="106"/>
      <c r="D8" s="106"/>
      <c r="E8" s="107">
        <v>39.299818840500002</v>
      </c>
      <c r="G8" s="43" t="s">
        <v>1000</v>
      </c>
    </row>
    <row r="9" spans="1:9" x14ac:dyDescent="0.2">
      <c r="A9" s="13" t="s">
        <v>85</v>
      </c>
      <c r="B9" s="105">
        <v>39.299818840500002</v>
      </c>
      <c r="C9" s="106"/>
      <c r="D9" s="106"/>
      <c r="E9" s="107">
        <v>39.299818840500002</v>
      </c>
    </row>
    <row r="10" spans="1:9" x14ac:dyDescent="0.2">
      <c r="A10" s="13" t="s">
        <v>86</v>
      </c>
      <c r="B10" s="105">
        <v>39.299818840500002</v>
      </c>
      <c r="C10" s="106">
        <v>75.274537037000002</v>
      </c>
      <c r="D10" s="106">
        <v>49.699810606</v>
      </c>
      <c r="E10" s="107">
        <v>164.27416648350001</v>
      </c>
    </row>
    <row r="11" spans="1:9" x14ac:dyDescent="0.2">
      <c r="A11" s="13" t="s">
        <v>91</v>
      </c>
      <c r="B11" s="105"/>
      <c r="C11" s="106"/>
      <c r="D11" s="106">
        <v>49.699810606</v>
      </c>
      <c r="E11" s="107">
        <v>49.699810606</v>
      </c>
    </row>
    <row r="12" spans="1:9" x14ac:dyDescent="0.2">
      <c r="A12" s="13" t="s">
        <v>87</v>
      </c>
      <c r="B12" s="105">
        <v>39.299818840500002</v>
      </c>
      <c r="C12" s="106"/>
      <c r="D12" s="106"/>
      <c r="E12" s="107">
        <v>39.299818840500002</v>
      </c>
    </row>
    <row r="13" spans="1:9" x14ac:dyDescent="0.2">
      <c r="A13" s="13" t="s">
        <v>88</v>
      </c>
      <c r="B13" s="105"/>
      <c r="C13" s="106"/>
      <c r="D13" s="106">
        <v>49.699810606</v>
      </c>
      <c r="E13" s="107">
        <v>49.699810606</v>
      </c>
    </row>
    <row r="14" spans="1:9" x14ac:dyDescent="0.2">
      <c r="A14" s="13" t="s">
        <v>90</v>
      </c>
      <c r="B14" s="105">
        <v>39.299818840500002</v>
      </c>
      <c r="C14" s="106">
        <v>75.274537037000002</v>
      </c>
      <c r="D14" s="106">
        <v>49.699810606</v>
      </c>
      <c r="E14" s="107">
        <v>164.27416648350001</v>
      </c>
    </row>
    <row r="15" spans="1:9" x14ac:dyDescent="0.2">
      <c r="A15" s="13" t="s">
        <v>93</v>
      </c>
      <c r="B15" s="105">
        <v>39.299818840500002</v>
      </c>
      <c r="C15" s="106">
        <v>75.274537037000002</v>
      </c>
      <c r="D15" s="106">
        <v>49.699810606</v>
      </c>
      <c r="E15" s="107">
        <v>164.27416648350001</v>
      </c>
    </row>
    <row r="16" spans="1:9" x14ac:dyDescent="0.2">
      <c r="A16" s="13" t="s">
        <v>99</v>
      </c>
      <c r="B16" s="105"/>
      <c r="C16" s="106"/>
      <c r="D16" s="106">
        <v>49.699810606</v>
      </c>
      <c r="E16" s="107">
        <v>49.699810606</v>
      </c>
    </row>
    <row r="17" spans="1:5" x14ac:dyDescent="0.2">
      <c r="A17" s="13" t="s">
        <v>100</v>
      </c>
      <c r="B17" s="105"/>
      <c r="C17" s="106"/>
      <c r="D17" s="106">
        <v>49.699810606</v>
      </c>
      <c r="E17" s="107">
        <v>49.699810606</v>
      </c>
    </row>
    <row r="18" spans="1:5" x14ac:dyDescent="0.2">
      <c r="A18" s="13" t="s">
        <v>101</v>
      </c>
      <c r="B18" s="105">
        <v>39.299818840500002</v>
      </c>
      <c r="C18" s="106">
        <v>75.274537037000002</v>
      </c>
      <c r="D18" s="106">
        <v>49.699810606</v>
      </c>
      <c r="E18" s="107">
        <v>164.27416648350001</v>
      </c>
    </row>
    <row r="19" spans="1:5" x14ac:dyDescent="0.2">
      <c r="A19" s="13" t="s">
        <v>103</v>
      </c>
      <c r="B19" s="105"/>
      <c r="C19" s="106">
        <v>75.274537037000002</v>
      </c>
      <c r="D19" s="106"/>
      <c r="E19" s="107">
        <v>75.274537037000002</v>
      </c>
    </row>
    <row r="20" spans="1:5" x14ac:dyDescent="0.2">
      <c r="A20" s="13" t="s">
        <v>104</v>
      </c>
      <c r="B20" s="105"/>
      <c r="C20" s="106">
        <v>75.274537037000002</v>
      </c>
      <c r="D20" s="106"/>
      <c r="E20" s="107">
        <v>75.274537037000002</v>
      </c>
    </row>
    <row r="21" spans="1:5" x14ac:dyDescent="0.2">
      <c r="A21" s="13" t="s">
        <v>106</v>
      </c>
      <c r="B21" s="105"/>
      <c r="C21" s="106">
        <v>75.274537037000002</v>
      </c>
      <c r="D21" s="106"/>
      <c r="E21" s="107">
        <v>75.274537037000002</v>
      </c>
    </row>
    <row r="22" spans="1:5" x14ac:dyDescent="0.2">
      <c r="A22" s="15" t="s">
        <v>34</v>
      </c>
      <c r="B22" s="105">
        <v>115.21702973760001</v>
      </c>
      <c r="C22" s="106">
        <v>127.31818181799997</v>
      </c>
      <c r="D22" s="106">
        <v>49.636280487599997</v>
      </c>
      <c r="E22" s="107">
        <v>292.17149204319998</v>
      </c>
    </row>
    <row r="23" spans="1:5" x14ac:dyDescent="0.2">
      <c r="A23" s="13" t="s">
        <v>78</v>
      </c>
      <c r="B23" s="105">
        <v>9.6014191447999995</v>
      </c>
      <c r="C23" s="106">
        <v>12.7318181818</v>
      </c>
      <c r="D23" s="106"/>
      <c r="E23" s="107">
        <v>22.333237326599999</v>
      </c>
    </row>
    <row r="24" spans="1:5" x14ac:dyDescent="0.2">
      <c r="A24" s="13" t="s">
        <v>82</v>
      </c>
      <c r="B24" s="105">
        <v>9.6014191447999995</v>
      </c>
      <c r="C24" s="106">
        <v>12.7318181818</v>
      </c>
      <c r="D24" s="106">
        <v>8.2727134146000001</v>
      </c>
      <c r="E24" s="107">
        <v>30.605950741199997</v>
      </c>
    </row>
    <row r="25" spans="1:5" x14ac:dyDescent="0.2">
      <c r="A25" s="13" t="s">
        <v>84</v>
      </c>
      <c r="B25" s="105">
        <v>9.6014191447999995</v>
      </c>
      <c r="C25" s="106">
        <v>12.7318181818</v>
      </c>
      <c r="D25" s="106">
        <v>8.2727134146000001</v>
      </c>
      <c r="E25" s="107">
        <v>30.605950741199997</v>
      </c>
    </row>
    <row r="26" spans="1:5" x14ac:dyDescent="0.2">
      <c r="A26" s="13" t="s">
        <v>85</v>
      </c>
      <c r="B26" s="105">
        <v>9.6014191447999995</v>
      </c>
      <c r="C26" s="106">
        <v>12.7318181818</v>
      </c>
      <c r="D26" s="106">
        <v>8.2727134146000001</v>
      </c>
      <c r="E26" s="107">
        <v>30.605950741199997</v>
      </c>
    </row>
    <row r="27" spans="1:5" x14ac:dyDescent="0.2">
      <c r="A27" s="13" t="s">
        <v>86</v>
      </c>
      <c r="B27" s="105">
        <v>9.6014191447999995</v>
      </c>
      <c r="C27" s="106">
        <v>12.7318181818</v>
      </c>
      <c r="D27" s="106">
        <v>8.2727134146000001</v>
      </c>
      <c r="E27" s="107">
        <v>30.605950741199997</v>
      </c>
    </row>
    <row r="28" spans="1:5" x14ac:dyDescent="0.2">
      <c r="A28" s="13" t="s">
        <v>87</v>
      </c>
      <c r="B28" s="105">
        <v>9.6014191447999995</v>
      </c>
      <c r="C28" s="106">
        <v>12.7318181818</v>
      </c>
      <c r="D28" s="106"/>
      <c r="E28" s="107">
        <v>22.333237326599999</v>
      </c>
    </row>
    <row r="29" spans="1:5" x14ac:dyDescent="0.2">
      <c r="A29" s="13" t="s">
        <v>88</v>
      </c>
      <c r="B29" s="105">
        <v>9.6014191447999995</v>
      </c>
      <c r="C29" s="106"/>
      <c r="D29" s="106"/>
      <c r="E29" s="107">
        <v>9.6014191447999995</v>
      </c>
    </row>
    <row r="30" spans="1:5" x14ac:dyDescent="0.2">
      <c r="A30" s="13" t="s">
        <v>90</v>
      </c>
      <c r="B30" s="105">
        <v>9.6014191447999995</v>
      </c>
      <c r="C30" s="106"/>
      <c r="D30" s="106"/>
      <c r="E30" s="107">
        <v>9.6014191447999995</v>
      </c>
    </row>
    <row r="31" spans="1:5" x14ac:dyDescent="0.2">
      <c r="A31" s="13" t="s">
        <v>92</v>
      </c>
      <c r="B31" s="105">
        <v>9.6014191447999995</v>
      </c>
      <c r="C31" s="106"/>
      <c r="D31" s="106"/>
      <c r="E31" s="107">
        <v>9.6014191447999995</v>
      </c>
    </row>
    <row r="32" spans="1:5" x14ac:dyDescent="0.2">
      <c r="A32" s="13" t="s">
        <v>93</v>
      </c>
      <c r="B32" s="105">
        <v>9.6014191447999995</v>
      </c>
      <c r="C32" s="106"/>
      <c r="D32" s="106"/>
      <c r="E32" s="107">
        <v>9.6014191447999995</v>
      </c>
    </row>
    <row r="33" spans="1:5" x14ac:dyDescent="0.2">
      <c r="A33" s="13" t="s">
        <v>94</v>
      </c>
      <c r="B33" s="105">
        <v>9.6014191447999995</v>
      </c>
      <c r="C33" s="106"/>
      <c r="D33" s="106"/>
      <c r="E33" s="107">
        <v>9.6014191447999995</v>
      </c>
    </row>
    <row r="34" spans="1:5" x14ac:dyDescent="0.2">
      <c r="A34" s="13" t="s">
        <v>95</v>
      </c>
      <c r="B34" s="105"/>
      <c r="C34" s="106">
        <v>12.7318181818</v>
      </c>
      <c r="D34" s="106"/>
      <c r="E34" s="107">
        <v>12.7318181818</v>
      </c>
    </row>
    <row r="35" spans="1:5" x14ac:dyDescent="0.2">
      <c r="A35" s="13" t="s">
        <v>101</v>
      </c>
      <c r="B35" s="105">
        <v>9.6014191447999995</v>
      </c>
      <c r="C35" s="106">
        <v>12.7318181818</v>
      </c>
      <c r="D35" s="106">
        <v>8.2727134146000001</v>
      </c>
      <c r="E35" s="107">
        <v>30.605950741199997</v>
      </c>
    </row>
    <row r="36" spans="1:5" x14ac:dyDescent="0.2">
      <c r="A36" s="13" t="s">
        <v>103</v>
      </c>
      <c r="B36" s="105"/>
      <c r="C36" s="106">
        <v>12.7318181818</v>
      </c>
      <c r="D36" s="106">
        <v>8.2727134146000001</v>
      </c>
      <c r="E36" s="107">
        <v>21.0045315964</v>
      </c>
    </row>
    <row r="37" spans="1:5" x14ac:dyDescent="0.2">
      <c r="A37" s="13" t="s">
        <v>106</v>
      </c>
      <c r="B37" s="105"/>
      <c r="C37" s="106">
        <v>12.7318181818</v>
      </c>
      <c r="D37" s="106"/>
      <c r="E37" s="107">
        <v>12.7318181818</v>
      </c>
    </row>
    <row r="38" spans="1:5" x14ac:dyDescent="0.2">
      <c r="A38" s="16" t="s">
        <v>955</v>
      </c>
      <c r="B38" s="108">
        <v>429.6155804615999</v>
      </c>
      <c r="C38" s="109">
        <v>654.23994107700014</v>
      </c>
      <c r="D38" s="109">
        <v>496.93457594159997</v>
      </c>
      <c r="E38" s="110">
        <v>1580.7900974802012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E9"/>
  <sheetViews>
    <sheetView workbookViewId="0">
      <selection activeCell="C8" sqref="C8"/>
    </sheetView>
  </sheetViews>
  <sheetFormatPr defaultRowHeight="12.75" x14ac:dyDescent="0.2"/>
  <cols>
    <col min="1" max="1" width="17.5703125" bestFit="1" customWidth="1"/>
    <col min="2" max="2" width="27" customWidth="1"/>
    <col min="3" max="3" width="9.42578125" bestFit="1" customWidth="1"/>
    <col min="4" max="4" width="9.42578125" customWidth="1"/>
    <col min="5" max="5" width="11.28515625" bestFit="1" customWidth="1"/>
  </cols>
  <sheetData>
    <row r="2" spans="1:5" x14ac:dyDescent="0.2">
      <c r="A2" s="75" t="s">
        <v>9</v>
      </c>
      <c r="B2" s="76" t="s">
        <v>77</v>
      </c>
    </row>
    <row r="4" spans="1:5" x14ac:dyDescent="0.2">
      <c r="A4" s="45" t="s">
        <v>967</v>
      </c>
      <c r="B4" s="45" t="s">
        <v>988</v>
      </c>
      <c r="C4" s="46"/>
      <c r="D4" s="46"/>
      <c r="E4" s="47"/>
    </row>
    <row r="5" spans="1:5" x14ac:dyDescent="0.2">
      <c r="A5" s="45" t="s">
        <v>991</v>
      </c>
      <c r="B5" s="44">
        <v>3</v>
      </c>
      <c r="C5" s="50">
        <v>4</v>
      </c>
      <c r="D5" s="50">
        <v>5</v>
      </c>
      <c r="E5" s="49" t="s">
        <v>992</v>
      </c>
    </row>
    <row r="6" spans="1:5" x14ac:dyDescent="0.2">
      <c r="A6" s="52" t="s">
        <v>79</v>
      </c>
      <c r="B6" s="66">
        <v>646310.99998899992</v>
      </c>
      <c r="C6" s="67">
        <v>848377.23635499994</v>
      </c>
      <c r="D6" s="67">
        <v>687636.99999200006</v>
      </c>
      <c r="E6" s="85">
        <v>2182325.2363359998</v>
      </c>
    </row>
    <row r="7" spans="1:5" x14ac:dyDescent="0.2">
      <c r="A7" s="52" t="s">
        <v>96</v>
      </c>
      <c r="B7" s="66"/>
      <c r="C7" s="67">
        <v>3666.7636360000001</v>
      </c>
      <c r="D7" s="67"/>
      <c r="E7" s="85">
        <v>3666.7636360000001</v>
      </c>
    </row>
    <row r="8" spans="1:5" x14ac:dyDescent="0.2">
      <c r="A8" s="111" t="s">
        <v>95</v>
      </c>
      <c r="B8" s="70"/>
      <c r="C8" s="34">
        <v>3666.7636360000001</v>
      </c>
      <c r="D8" s="34"/>
      <c r="E8" s="112">
        <v>3666.7636360000001</v>
      </c>
    </row>
    <row r="9" spans="1:5" x14ac:dyDescent="0.2">
      <c r="A9" s="54" t="s">
        <v>992</v>
      </c>
      <c r="B9" s="72">
        <v>646310.99998899992</v>
      </c>
      <c r="C9" s="73">
        <v>852043.99999099993</v>
      </c>
      <c r="D9" s="73">
        <v>687636.99999200006</v>
      </c>
      <c r="E9" s="91">
        <v>2185991.9999719998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14"/>
  <sheetViews>
    <sheetView workbookViewId="0">
      <selection activeCell="C10" sqref="C10"/>
    </sheetView>
  </sheetViews>
  <sheetFormatPr defaultRowHeight="12.75" x14ac:dyDescent="0.2"/>
  <cols>
    <col min="1" max="1" width="23.42578125" bestFit="1" customWidth="1"/>
    <col min="2" max="2" width="27" bestFit="1" customWidth="1"/>
    <col min="3" max="4" width="9.42578125" bestFit="1" customWidth="1"/>
    <col min="5" max="5" width="11.28515625" bestFit="1" customWidth="1"/>
  </cols>
  <sheetData>
    <row r="1" spans="1:5" x14ac:dyDescent="0.2">
      <c r="A1" s="75" t="s">
        <v>9</v>
      </c>
      <c r="B1" s="76" t="s">
        <v>77</v>
      </c>
    </row>
    <row r="3" spans="1:5" x14ac:dyDescent="0.2">
      <c r="A3" s="45" t="s">
        <v>967</v>
      </c>
      <c r="B3" s="45" t="s">
        <v>988</v>
      </c>
      <c r="C3" s="46"/>
      <c r="D3" s="46"/>
      <c r="E3" s="47"/>
    </row>
    <row r="4" spans="1:5" x14ac:dyDescent="0.2">
      <c r="A4" s="45" t="s">
        <v>991</v>
      </c>
      <c r="B4" s="44">
        <v>3</v>
      </c>
      <c r="C4" s="50">
        <v>4</v>
      </c>
      <c r="D4" s="50">
        <v>5</v>
      </c>
      <c r="E4" s="49" t="s">
        <v>992</v>
      </c>
    </row>
    <row r="5" spans="1:5" x14ac:dyDescent="0.2">
      <c r="A5" s="52" t="s">
        <v>102</v>
      </c>
      <c r="B5" s="66">
        <v>309323.217932</v>
      </c>
      <c r="C5" s="67">
        <v>469410.75298699993</v>
      </c>
      <c r="D5" s="67">
        <v>389544.86696100002</v>
      </c>
      <c r="E5" s="85">
        <v>1168278.83788</v>
      </c>
    </row>
    <row r="6" spans="1:5" x14ac:dyDescent="0.2">
      <c r="A6" s="52" t="s">
        <v>83</v>
      </c>
      <c r="B6" s="66">
        <v>301468.57801599998</v>
      </c>
      <c r="C6" s="67">
        <v>361014.61973300006</v>
      </c>
      <c r="D6" s="67">
        <v>253262.903865</v>
      </c>
      <c r="E6" s="85">
        <v>915746.10161400004</v>
      </c>
    </row>
    <row r="7" spans="1:5" x14ac:dyDescent="0.2">
      <c r="A7" s="52" t="s">
        <v>89</v>
      </c>
      <c r="B7" s="66">
        <v>5885.6699349999999</v>
      </c>
      <c r="C7" s="67">
        <v>4468.8681809999998</v>
      </c>
      <c r="D7" s="67">
        <v>5864.5776509999996</v>
      </c>
      <c r="E7" s="85">
        <v>16219.115766999999</v>
      </c>
    </row>
    <row r="8" spans="1:5" x14ac:dyDescent="0.2">
      <c r="A8" s="111" t="s">
        <v>88</v>
      </c>
      <c r="B8" s="70">
        <v>1276.988746</v>
      </c>
      <c r="C8" s="34"/>
      <c r="D8" s="34">
        <v>2882.589015</v>
      </c>
      <c r="E8" s="112">
        <v>4159.5777610000005</v>
      </c>
    </row>
    <row r="9" spans="1:5" x14ac:dyDescent="0.2">
      <c r="A9" s="111" t="s">
        <v>94</v>
      </c>
      <c r="B9" s="70">
        <v>4608.6811889999999</v>
      </c>
      <c r="C9" s="34"/>
      <c r="D9" s="34"/>
      <c r="E9" s="112">
        <v>4608.6811889999999</v>
      </c>
    </row>
    <row r="10" spans="1:5" x14ac:dyDescent="0.2">
      <c r="A10" s="111" t="s">
        <v>95</v>
      </c>
      <c r="B10" s="70"/>
      <c r="C10" s="34">
        <v>3666.7636360000001</v>
      </c>
      <c r="D10" s="34"/>
      <c r="E10" s="112">
        <v>3666.7636360000001</v>
      </c>
    </row>
    <row r="11" spans="1:5" x14ac:dyDescent="0.2">
      <c r="A11" s="111" t="s">
        <v>100</v>
      </c>
      <c r="B11" s="70"/>
      <c r="C11" s="34"/>
      <c r="D11" s="34">
        <v>2981.988636</v>
      </c>
      <c r="E11" s="112">
        <v>2981.988636</v>
      </c>
    </row>
    <row r="12" spans="1:5" x14ac:dyDescent="0.2">
      <c r="A12" s="111" t="s">
        <v>106</v>
      </c>
      <c r="B12" s="70"/>
      <c r="C12" s="34">
        <v>802.10454500000003</v>
      </c>
      <c r="D12" s="34"/>
      <c r="E12" s="112">
        <v>802.10454500000003</v>
      </c>
    </row>
    <row r="13" spans="1:5" x14ac:dyDescent="0.2">
      <c r="A13" s="52" t="s">
        <v>80</v>
      </c>
      <c r="B13" s="66">
        <v>29633.534105999999</v>
      </c>
      <c r="C13" s="67">
        <v>17149.75909</v>
      </c>
      <c r="D13" s="67">
        <v>38964.651514999998</v>
      </c>
      <c r="E13" s="85">
        <v>85747.944710999989</v>
      </c>
    </row>
    <row r="14" spans="1:5" x14ac:dyDescent="0.2">
      <c r="A14" s="54" t="s">
        <v>992</v>
      </c>
      <c r="B14" s="72">
        <v>646310.99998899992</v>
      </c>
      <c r="C14" s="73">
        <v>852043.99999099993</v>
      </c>
      <c r="D14" s="73">
        <v>687636.99999200006</v>
      </c>
      <c r="E14" s="91">
        <v>2185991.9999720003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5"/>
  <sheetViews>
    <sheetView workbookViewId="0">
      <selection activeCell="F18" sqref="F18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23.85546875" style="1" bestFit="1" customWidth="1"/>
    <col min="7" max="7" width="26.42578125" style="1" bestFit="1" customWidth="1"/>
    <col min="8" max="8" width="23.85546875" style="1" bestFit="1" customWidth="1"/>
    <col min="9" max="9" width="17.140625" style="1" bestFit="1" customWidth="1"/>
    <col min="10" max="10" width="22" style="1" bestFit="1" customWidth="1"/>
    <col min="11" max="12" width="16.85546875" style="1" bestFit="1" customWidth="1"/>
    <col min="13" max="14" width="18" style="1" bestFit="1" customWidth="1"/>
    <col min="15" max="15" width="23.28515625" style="1" bestFit="1" customWidth="1"/>
    <col min="16" max="16" width="22.5703125" style="1" bestFit="1" customWidth="1"/>
    <col min="17" max="17" width="23.140625" style="1" bestFit="1" customWidth="1"/>
    <col min="18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107</v>
      </c>
      <c r="J1" s="1" t="s">
        <v>68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</row>
    <row r="2" spans="1:17" s="4" customFormat="1" x14ac:dyDescent="0.25">
      <c r="A2" s="4">
        <v>2018</v>
      </c>
      <c r="B2" s="4">
        <v>3</v>
      </c>
      <c r="C2" s="4" t="s">
        <v>21</v>
      </c>
      <c r="D2" s="4" t="s">
        <v>22</v>
      </c>
      <c r="E2" s="4" t="s">
        <v>23</v>
      </c>
      <c r="F2" s="4" t="s">
        <v>32</v>
      </c>
      <c r="G2" s="4" t="s">
        <v>24</v>
      </c>
      <c r="H2" s="4" t="s">
        <v>32</v>
      </c>
      <c r="I2" s="4" t="s">
        <v>115</v>
      </c>
      <c r="J2" s="4" t="s">
        <v>76</v>
      </c>
      <c r="K2" s="4">
        <v>39.299818840599997</v>
      </c>
      <c r="L2" s="4">
        <v>39.299818840500002</v>
      </c>
      <c r="M2" s="4">
        <v>1104</v>
      </c>
      <c r="N2" s="4">
        <v>5760</v>
      </c>
      <c r="O2" s="4">
        <v>43387.000000022403</v>
      </c>
      <c r="P2" s="4">
        <v>226366.95652099999</v>
      </c>
      <c r="Q2" s="4">
        <v>-4656</v>
      </c>
    </row>
    <row r="3" spans="1:17" s="4" customFormat="1" x14ac:dyDescent="0.25">
      <c r="A3" s="4">
        <v>2018</v>
      </c>
      <c r="B3" s="4">
        <v>3</v>
      </c>
      <c r="C3" s="4" t="s">
        <v>21</v>
      </c>
      <c r="D3" s="4" t="s">
        <v>22</v>
      </c>
      <c r="E3" s="4" t="s">
        <v>23</v>
      </c>
      <c r="F3" s="4" t="s">
        <v>32</v>
      </c>
      <c r="G3" s="4" t="s">
        <v>24</v>
      </c>
      <c r="H3" s="4" t="s">
        <v>32</v>
      </c>
      <c r="I3" s="4" t="s">
        <v>115</v>
      </c>
      <c r="J3" s="4" t="s">
        <v>75</v>
      </c>
      <c r="K3" s="4">
        <v>39.299818840599997</v>
      </c>
      <c r="L3" s="4">
        <v>39.299818840500002</v>
      </c>
      <c r="M3" s="4">
        <v>3312</v>
      </c>
      <c r="N3" s="4">
        <v>0</v>
      </c>
      <c r="O3" s="4">
        <v>130161.0000000672</v>
      </c>
      <c r="P3" s="4">
        <v>0</v>
      </c>
      <c r="Q3" s="4">
        <v>3312</v>
      </c>
    </row>
    <row r="4" spans="1:17" s="4" customFormat="1" x14ac:dyDescent="0.25">
      <c r="A4" s="4">
        <v>2018</v>
      </c>
      <c r="B4" s="4">
        <v>3</v>
      </c>
      <c r="C4" s="4" t="s">
        <v>21</v>
      </c>
      <c r="D4" s="4" t="s">
        <v>22</v>
      </c>
      <c r="E4" s="4" t="s">
        <v>23</v>
      </c>
      <c r="F4" s="4" t="s">
        <v>32</v>
      </c>
      <c r="G4" s="4" t="s">
        <v>24</v>
      </c>
      <c r="H4" s="4" t="s">
        <v>32</v>
      </c>
      <c r="I4" s="4" t="s">
        <v>115</v>
      </c>
      <c r="J4" s="4" t="s">
        <v>73</v>
      </c>
      <c r="K4" s="4">
        <v>39.299818840599997</v>
      </c>
      <c r="L4" s="4">
        <v>39.299818840500002</v>
      </c>
      <c r="M4" s="4">
        <v>4416</v>
      </c>
      <c r="N4" s="4">
        <v>5072</v>
      </c>
      <c r="O4" s="4">
        <v>173548.00000008961</v>
      </c>
      <c r="P4" s="4">
        <v>199328.681159</v>
      </c>
      <c r="Q4" s="4">
        <v>-656</v>
      </c>
    </row>
    <row r="5" spans="1:17" s="4" customFormat="1" x14ac:dyDescent="0.25">
      <c r="A5" s="4">
        <v>2018</v>
      </c>
      <c r="B5" s="4">
        <v>3</v>
      </c>
      <c r="C5" s="4" t="s">
        <v>21</v>
      </c>
      <c r="D5" s="4" t="s">
        <v>22</v>
      </c>
      <c r="E5" s="4" t="s">
        <v>23</v>
      </c>
      <c r="F5" s="4" t="s">
        <v>32</v>
      </c>
      <c r="G5" s="4" t="s">
        <v>24</v>
      </c>
      <c r="H5" s="4" t="s">
        <v>32</v>
      </c>
      <c r="I5" s="4" t="s">
        <v>115</v>
      </c>
      <c r="J5" s="4" t="s">
        <v>74</v>
      </c>
      <c r="K5" s="4">
        <v>39.299818840599997</v>
      </c>
      <c r="L5" s="4">
        <v>39.299818840500002</v>
      </c>
      <c r="M5" s="4">
        <v>2208</v>
      </c>
      <c r="N5" s="4">
        <v>208</v>
      </c>
      <c r="O5" s="4">
        <v>86773.999999820793</v>
      </c>
      <c r="P5" s="4">
        <v>8174.3623189999998</v>
      </c>
      <c r="Q5" s="4">
        <v>2000</v>
      </c>
    </row>
    <row r="6" spans="1:17" s="4" customFormat="1" x14ac:dyDescent="0.25">
      <c r="A6" s="4">
        <v>2018</v>
      </c>
      <c r="B6" s="4">
        <v>3</v>
      </c>
      <c r="C6" s="4" t="s">
        <v>21</v>
      </c>
      <c r="D6" s="4" t="s">
        <v>22</v>
      </c>
      <c r="E6" s="4" t="s">
        <v>23</v>
      </c>
      <c r="F6" s="4" t="s">
        <v>34</v>
      </c>
      <c r="G6" s="4" t="s">
        <v>24</v>
      </c>
      <c r="H6" s="4" t="s">
        <v>34</v>
      </c>
      <c r="I6" s="4" t="s">
        <v>115</v>
      </c>
      <c r="J6" s="4" t="s">
        <v>74</v>
      </c>
      <c r="K6" s="4">
        <v>9.6214221014000003</v>
      </c>
      <c r="L6" s="4">
        <v>9.6014191447999995</v>
      </c>
      <c r="M6" s="4">
        <v>3532.8</v>
      </c>
      <c r="N6" s="4">
        <v>2235</v>
      </c>
      <c r="O6" s="4">
        <v>33990.559999825899</v>
      </c>
      <c r="P6" s="4">
        <v>21459.171789</v>
      </c>
      <c r="Q6" s="4">
        <v>1297.8</v>
      </c>
    </row>
    <row r="7" spans="1:17" s="4" customFormat="1" x14ac:dyDescent="0.25">
      <c r="A7" s="4">
        <v>2018</v>
      </c>
      <c r="B7" s="4">
        <v>3</v>
      </c>
      <c r="C7" s="4" t="s">
        <v>21</v>
      </c>
      <c r="D7" s="4" t="s">
        <v>22</v>
      </c>
      <c r="E7" s="4" t="s">
        <v>23</v>
      </c>
      <c r="F7" s="4" t="s">
        <v>34</v>
      </c>
      <c r="G7" s="4" t="s">
        <v>24</v>
      </c>
      <c r="H7" s="4" t="s">
        <v>34</v>
      </c>
      <c r="I7" s="4" t="s">
        <v>115</v>
      </c>
      <c r="J7" s="4" t="s">
        <v>76</v>
      </c>
      <c r="K7" s="4">
        <v>9.6214221014000003</v>
      </c>
      <c r="L7" s="4">
        <v>9.6014191447999995</v>
      </c>
      <c r="M7" s="4">
        <v>3974.4</v>
      </c>
      <c r="N7" s="4">
        <v>8640</v>
      </c>
      <c r="O7" s="4">
        <v>38239.379999804201</v>
      </c>
      <c r="P7" s="4">
        <v>82956.261410999999</v>
      </c>
      <c r="Q7" s="4">
        <v>-4665.6000000000004</v>
      </c>
    </row>
    <row r="8" spans="1:17" s="4" customFormat="1" x14ac:dyDescent="0.25">
      <c r="A8" s="4">
        <v>2018</v>
      </c>
      <c r="B8" s="4">
        <v>3</v>
      </c>
      <c r="C8" s="4" t="s">
        <v>21</v>
      </c>
      <c r="D8" s="4" t="s">
        <v>22</v>
      </c>
      <c r="E8" s="4" t="s">
        <v>23</v>
      </c>
      <c r="F8" s="4" t="s">
        <v>34</v>
      </c>
      <c r="G8" s="4" t="s">
        <v>24</v>
      </c>
      <c r="H8" s="4" t="s">
        <v>34</v>
      </c>
      <c r="I8" s="4" t="s">
        <v>115</v>
      </c>
      <c r="J8" s="4" t="s">
        <v>73</v>
      </c>
      <c r="K8" s="4">
        <v>9.6214221014000003</v>
      </c>
      <c r="L8" s="4">
        <v>9.6014191447999995</v>
      </c>
      <c r="M8" s="4">
        <v>11040</v>
      </c>
      <c r="N8" s="4">
        <v>10638</v>
      </c>
      <c r="O8" s="4">
        <v>106220.49999945601</v>
      </c>
      <c r="P8" s="4">
        <v>102139.89686199999</v>
      </c>
      <c r="Q8" s="4">
        <v>402</v>
      </c>
    </row>
    <row r="9" spans="1:17" s="4" customFormat="1" x14ac:dyDescent="0.25">
      <c r="A9" s="4">
        <v>2018</v>
      </c>
      <c r="B9" s="4">
        <v>3</v>
      </c>
      <c r="C9" s="4" t="s">
        <v>21</v>
      </c>
      <c r="D9" s="4" t="s">
        <v>22</v>
      </c>
      <c r="E9" s="4" t="s">
        <v>23</v>
      </c>
      <c r="F9" s="4" t="s">
        <v>34</v>
      </c>
      <c r="G9" s="4" t="s">
        <v>24</v>
      </c>
      <c r="H9" s="4" t="s">
        <v>34</v>
      </c>
      <c r="I9" s="4" t="s">
        <v>115</v>
      </c>
      <c r="J9" s="4" t="s">
        <v>75</v>
      </c>
      <c r="K9" s="4">
        <v>9.6214221014000003</v>
      </c>
      <c r="L9" s="4">
        <v>9.6014191447999995</v>
      </c>
      <c r="M9" s="4">
        <v>3532.8</v>
      </c>
      <c r="N9" s="4">
        <v>613</v>
      </c>
      <c r="O9" s="4">
        <v>33990.560000913902</v>
      </c>
      <c r="P9" s="4">
        <v>5885.6699360000002</v>
      </c>
      <c r="Q9" s="4">
        <v>2919.8</v>
      </c>
    </row>
    <row r="10" spans="1:17" x14ac:dyDescent="0.25">
      <c r="A10" s="1">
        <v>2018</v>
      </c>
      <c r="B10" s="1">
        <v>4</v>
      </c>
      <c r="C10" s="1" t="s">
        <v>57</v>
      </c>
      <c r="D10" s="1" t="s">
        <v>22</v>
      </c>
      <c r="E10" s="1" t="s">
        <v>23</v>
      </c>
      <c r="F10" s="1" t="s">
        <v>32</v>
      </c>
      <c r="G10" s="1" t="s">
        <v>24</v>
      </c>
      <c r="H10" s="1" t="s">
        <v>32</v>
      </c>
      <c r="I10" s="1" t="s">
        <v>115</v>
      </c>
      <c r="J10" s="1" t="s">
        <v>76</v>
      </c>
      <c r="K10" s="1">
        <v>75.274537037000002</v>
      </c>
      <c r="L10" s="1">
        <v>75.274537037000002</v>
      </c>
      <c r="M10" s="1">
        <v>864</v>
      </c>
      <c r="N10" s="1">
        <v>4937</v>
      </c>
      <c r="O10" s="1">
        <v>65037.199999967997</v>
      </c>
      <c r="P10" s="1">
        <v>371630.38935200003</v>
      </c>
      <c r="Q10" s="1">
        <v>-4073</v>
      </c>
    </row>
    <row r="11" spans="1:17" x14ac:dyDescent="0.25">
      <c r="A11" s="1">
        <v>2018</v>
      </c>
      <c r="B11" s="1">
        <v>4</v>
      </c>
      <c r="C11" s="1" t="s">
        <v>57</v>
      </c>
      <c r="D11" s="1" t="s">
        <v>22</v>
      </c>
      <c r="E11" s="1" t="s">
        <v>23</v>
      </c>
      <c r="F11" s="1" t="s">
        <v>32</v>
      </c>
      <c r="G11" s="1" t="s">
        <v>24</v>
      </c>
      <c r="H11" s="1" t="s">
        <v>32</v>
      </c>
      <c r="I11" s="1" t="s">
        <v>115</v>
      </c>
      <c r="J11" s="1" t="s">
        <v>75</v>
      </c>
      <c r="K11" s="1">
        <v>75.274537037000002</v>
      </c>
      <c r="L11" s="1">
        <v>75.274537037000002</v>
      </c>
      <c r="M11" s="1">
        <v>2592</v>
      </c>
      <c r="N11" s="1">
        <v>0</v>
      </c>
      <c r="O11" s="1">
        <v>195111.59999990399</v>
      </c>
      <c r="P11" s="1">
        <v>0</v>
      </c>
      <c r="Q11" s="1">
        <v>2592</v>
      </c>
    </row>
    <row r="12" spans="1:17" x14ac:dyDescent="0.25">
      <c r="A12" s="1">
        <v>2018</v>
      </c>
      <c r="B12" s="1">
        <v>4</v>
      </c>
      <c r="C12" s="1" t="s">
        <v>57</v>
      </c>
      <c r="D12" s="1" t="s">
        <v>22</v>
      </c>
      <c r="E12" s="1" t="s">
        <v>23</v>
      </c>
      <c r="F12" s="1" t="s">
        <v>32</v>
      </c>
      <c r="G12" s="1" t="s">
        <v>24</v>
      </c>
      <c r="H12" s="1" t="s">
        <v>32</v>
      </c>
      <c r="I12" s="1" t="s">
        <v>115</v>
      </c>
      <c r="J12" s="1" t="s">
        <v>74</v>
      </c>
      <c r="K12" s="1">
        <v>75.274537037000002</v>
      </c>
      <c r="L12" s="1">
        <v>75.274537037000002</v>
      </c>
      <c r="M12" s="1">
        <v>1728</v>
      </c>
      <c r="N12" s="1">
        <v>0</v>
      </c>
      <c r="O12" s="1">
        <v>130074.39999993599</v>
      </c>
      <c r="P12" s="1">
        <v>0</v>
      </c>
      <c r="Q12" s="1">
        <v>1728</v>
      </c>
    </row>
    <row r="13" spans="1:17" x14ac:dyDescent="0.25">
      <c r="A13" s="1">
        <v>2018</v>
      </c>
      <c r="B13" s="1">
        <v>4</v>
      </c>
      <c r="C13" s="1" t="s">
        <v>57</v>
      </c>
      <c r="D13" s="1" t="s">
        <v>22</v>
      </c>
      <c r="E13" s="1" t="s">
        <v>23</v>
      </c>
      <c r="F13" s="1" t="s">
        <v>32</v>
      </c>
      <c r="G13" s="1" t="s">
        <v>24</v>
      </c>
      <c r="H13" s="1" t="s">
        <v>32</v>
      </c>
      <c r="I13" s="1" t="s">
        <v>115</v>
      </c>
      <c r="J13" s="1" t="s">
        <v>73</v>
      </c>
      <c r="K13" s="1">
        <v>75.274537037000002</v>
      </c>
      <c r="L13" s="1">
        <v>75.274537037000002</v>
      </c>
      <c r="M13" s="1">
        <v>3456</v>
      </c>
      <c r="N13" s="1">
        <v>3703</v>
      </c>
      <c r="O13" s="1">
        <v>260148.80000019199</v>
      </c>
      <c r="P13" s="1">
        <v>278741.61064799997</v>
      </c>
      <c r="Q13" s="1">
        <v>-247</v>
      </c>
    </row>
    <row r="14" spans="1:17" x14ac:dyDescent="0.25">
      <c r="A14" s="1">
        <v>2018</v>
      </c>
      <c r="B14" s="1">
        <v>4</v>
      </c>
      <c r="C14" s="1" t="s">
        <v>57</v>
      </c>
      <c r="D14" s="1" t="s">
        <v>22</v>
      </c>
      <c r="E14" s="1" t="s">
        <v>23</v>
      </c>
      <c r="F14" s="1" t="s">
        <v>34</v>
      </c>
      <c r="G14" s="1" t="s">
        <v>24</v>
      </c>
      <c r="H14" s="1" t="s">
        <v>34</v>
      </c>
      <c r="I14" s="1" t="s">
        <v>115</v>
      </c>
      <c r="J14" s="1" t="s">
        <v>76</v>
      </c>
      <c r="K14" s="1">
        <v>12.7318181818</v>
      </c>
      <c r="L14" s="1">
        <v>12.7318181818</v>
      </c>
      <c r="M14" s="1">
        <v>2851.2</v>
      </c>
      <c r="N14" s="1">
        <v>7680</v>
      </c>
      <c r="O14" s="1">
        <v>36300.959999948202</v>
      </c>
      <c r="P14" s="1">
        <v>97780.363635999995</v>
      </c>
      <c r="Q14" s="1">
        <v>-4828.8</v>
      </c>
    </row>
    <row r="15" spans="1:17" x14ac:dyDescent="0.25">
      <c r="A15" s="1">
        <v>2018</v>
      </c>
      <c r="B15" s="1">
        <v>4</v>
      </c>
      <c r="C15" s="1" t="s">
        <v>57</v>
      </c>
      <c r="D15" s="1" t="s">
        <v>22</v>
      </c>
      <c r="E15" s="1" t="s">
        <v>23</v>
      </c>
      <c r="F15" s="1" t="s">
        <v>34</v>
      </c>
      <c r="G15" s="1" t="s">
        <v>24</v>
      </c>
      <c r="H15" s="1" t="s">
        <v>34</v>
      </c>
      <c r="I15" s="1" t="s">
        <v>115</v>
      </c>
      <c r="J15" s="1" t="s">
        <v>75</v>
      </c>
      <c r="K15" s="1">
        <v>12.7318181818</v>
      </c>
      <c r="L15" s="1">
        <v>12.7318181818</v>
      </c>
      <c r="M15" s="1">
        <v>2534.4</v>
      </c>
      <c r="N15" s="1">
        <v>351</v>
      </c>
      <c r="O15" s="1">
        <v>32267.5199999539</v>
      </c>
      <c r="P15" s="1">
        <v>4468.8681820000002</v>
      </c>
      <c r="Q15" s="1">
        <v>2183.4</v>
      </c>
    </row>
    <row r="16" spans="1:17" x14ac:dyDescent="0.25">
      <c r="A16" s="1">
        <v>2018</v>
      </c>
      <c r="B16" s="1">
        <v>4</v>
      </c>
      <c r="C16" s="1" t="s">
        <v>57</v>
      </c>
      <c r="D16" s="1" t="s">
        <v>22</v>
      </c>
      <c r="E16" s="1" t="s">
        <v>23</v>
      </c>
      <c r="F16" s="1" t="s">
        <v>34</v>
      </c>
      <c r="G16" s="1" t="s">
        <v>24</v>
      </c>
      <c r="H16" s="1" t="s">
        <v>34</v>
      </c>
      <c r="I16" s="1" t="s">
        <v>115</v>
      </c>
      <c r="J16" s="1" t="s">
        <v>73</v>
      </c>
      <c r="K16" s="1">
        <v>12.7318181818</v>
      </c>
      <c r="L16" s="1">
        <v>12.7318181818</v>
      </c>
      <c r="M16" s="1">
        <v>7920</v>
      </c>
      <c r="N16" s="1">
        <v>6462</v>
      </c>
      <c r="O16" s="1">
        <v>100835.99999985599</v>
      </c>
      <c r="P16" s="1">
        <v>82273.009091</v>
      </c>
      <c r="Q16" s="1">
        <v>1458</v>
      </c>
    </row>
    <row r="17" spans="1:17" x14ac:dyDescent="0.25">
      <c r="A17" s="1">
        <v>2018</v>
      </c>
      <c r="B17" s="1">
        <v>4</v>
      </c>
      <c r="C17" s="1" t="s">
        <v>57</v>
      </c>
      <c r="D17" s="1" t="s">
        <v>22</v>
      </c>
      <c r="E17" s="1" t="s">
        <v>23</v>
      </c>
      <c r="F17" s="1" t="s">
        <v>34</v>
      </c>
      <c r="G17" s="1" t="s">
        <v>24</v>
      </c>
      <c r="H17" s="1" t="s">
        <v>34</v>
      </c>
      <c r="I17" s="1" t="s">
        <v>115</v>
      </c>
      <c r="J17" s="1" t="s">
        <v>74</v>
      </c>
      <c r="K17" s="1">
        <v>12.7318181818</v>
      </c>
      <c r="L17" s="1">
        <v>12.7318181818</v>
      </c>
      <c r="M17" s="1">
        <v>2534.4</v>
      </c>
      <c r="N17" s="1">
        <v>1347</v>
      </c>
      <c r="O17" s="1">
        <v>32267.520000241901</v>
      </c>
      <c r="P17" s="1">
        <v>17149.759091</v>
      </c>
      <c r="Q17" s="1">
        <v>1187.4000000000001</v>
      </c>
    </row>
    <row r="18" spans="1:17" x14ac:dyDescent="0.25">
      <c r="A18" s="1">
        <v>2018</v>
      </c>
      <c r="B18" s="1">
        <v>5</v>
      </c>
      <c r="C18" s="1" t="s">
        <v>63</v>
      </c>
      <c r="D18" s="1" t="s">
        <v>22</v>
      </c>
      <c r="E18" s="1" t="s">
        <v>23</v>
      </c>
      <c r="F18" s="1" t="s">
        <v>32</v>
      </c>
      <c r="G18" s="1" t="s">
        <v>24</v>
      </c>
      <c r="H18" s="1" t="s">
        <v>32</v>
      </c>
      <c r="I18" s="1" t="s">
        <v>115</v>
      </c>
      <c r="J18" s="1" t="s">
        <v>76</v>
      </c>
      <c r="K18" s="1">
        <v>49.699810606100002</v>
      </c>
      <c r="L18" s="1">
        <v>49.699810606</v>
      </c>
      <c r="M18" s="1">
        <v>1056</v>
      </c>
      <c r="N18" s="1">
        <v>6240</v>
      </c>
      <c r="O18" s="1">
        <v>52483.000000041597</v>
      </c>
      <c r="P18" s="1">
        <v>310126.81818100001</v>
      </c>
      <c r="Q18" s="1">
        <v>-5184</v>
      </c>
    </row>
    <row r="19" spans="1:17" x14ac:dyDescent="0.25">
      <c r="A19" s="1">
        <v>2018</v>
      </c>
      <c r="B19" s="1">
        <v>5</v>
      </c>
      <c r="C19" s="1" t="s">
        <v>63</v>
      </c>
      <c r="D19" s="1" t="s">
        <v>22</v>
      </c>
      <c r="E19" s="1" t="s">
        <v>23</v>
      </c>
      <c r="F19" s="1" t="s">
        <v>32</v>
      </c>
      <c r="G19" s="1" t="s">
        <v>24</v>
      </c>
      <c r="H19" s="1" t="s">
        <v>32</v>
      </c>
      <c r="I19" s="1" t="s">
        <v>115</v>
      </c>
      <c r="J19" s="1" t="s">
        <v>75</v>
      </c>
      <c r="K19" s="1">
        <v>49.699810606100002</v>
      </c>
      <c r="L19" s="1">
        <v>49.699810606</v>
      </c>
      <c r="M19" s="1">
        <v>3168</v>
      </c>
      <c r="N19" s="1">
        <v>118</v>
      </c>
      <c r="O19" s="1">
        <v>157449.0000001248</v>
      </c>
      <c r="P19" s="1">
        <v>5864.5776519999999</v>
      </c>
      <c r="Q19" s="1">
        <v>3050</v>
      </c>
    </row>
    <row r="20" spans="1:17" x14ac:dyDescent="0.25">
      <c r="A20" s="1">
        <v>2018</v>
      </c>
      <c r="B20" s="1">
        <v>5</v>
      </c>
      <c r="C20" s="1" t="s">
        <v>63</v>
      </c>
      <c r="D20" s="1" t="s">
        <v>22</v>
      </c>
      <c r="E20" s="1" t="s">
        <v>23</v>
      </c>
      <c r="F20" s="1" t="s">
        <v>32</v>
      </c>
      <c r="G20" s="1" t="s">
        <v>24</v>
      </c>
      <c r="H20" s="1" t="s">
        <v>32</v>
      </c>
      <c r="I20" s="1" t="s">
        <v>115</v>
      </c>
      <c r="J20" s="1" t="s">
        <v>74</v>
      </c>
      <c r="K20" s="1">
        <v>49.699810606100002</v>
      </c>
      <c r="L20" s="1">
        <v>49.699810606</v>
      </c>
      <c r="M20" s="1">
        <v>2112</v>
      </c>
      <c r="N20" s="1">
        <v>784</v>
      </c>
      <c r="O20" s="1">
        <v>104966.00000008319</v>
      </c>
      <c r="P20" s="1">
        <v>38964.651514999998</v>
      </c>
      <c r="Q20" s="1">
        <v>1328</v>
      </c>
    </row>
    <row r="21" spans="1:17" x14ac:dyDescent="0.25">
      <c r="A21" s="1">
        <v>2018</v>
      </c>
      <c r="B21" s="1">
        <v>5</v>
      </c>
      <c r="C21" s="1" t="s">
        <v>63</v>
      </c>
      <c r="D21" s="1" t="s">
        <v>22</v>
      </c>
      <c r="E21" s="1" t="s">
        <v>23</v>
      </c>
      <c r="F21" s="1" t="s">
        <v>32</v>
      </c>
      <c r="G21" s="1" t="s">
        <v>24</v>
      </c>
      <c r="H21" s="1" t="s">
        <v>32</v>
      </c>
      <c r="I21" s="1" t="s">
        <v>115</v>
      </c>
      <c r="J21" s="1" t="s">
        <v>73</v>
      </c>
      <c r="K21" s="1">
        <v>49.699810606100002</v>
      </c>
      <c r="L21" s="1">
        <v>49.699810606</v>
      </c>
      <c r="M21" s="1">
        <v>4224</v>
      </c>
      <c r="N21" s="1">
        <v>3418</v>
      </c>
      <c r="O21" s="1">
        <v>209931.99999975041</v>
      </c>
      <c r="P21" s="1">
        <v>169873.952651</v>
      </c>
      <c r="Q21" s="1">
        <v>806</v>
      </c>
    </row>
    <row r="22" spans="1:17" x14ac:dyDescent="0.25">
      <c r="A22" s="1">
        <v>2018</v>
      </c>
      <c r="B22" s="1">
        <v>5</v>
      </c>
      <c r="C22" s="1" t="s">
        <v>63</v>
      </c>
      <c r="D22" s="1" t="s">
        <v>22</v>
      </c>
      <c r="E22" s="1" t="s">
        <v>23</v>
      </c>
      <c r="F22" s="1" t="s">
        <v>34</v>
      </c>
      <c r="G22" s="1" t="s">
        <v>24</v>
      </c>
      <c r="H22" s="1" t="s">
        <v>34</v>
      </c>
      <c r="I22" s="1" t="s">
        <v>115</v>
      </c>
      <c r="J22" s="1" t="s">
        <v>75</v>
      </c>
      <c r="K22" s="1">
        <v>8.2727134146000001</v>
      </c>
      <c r="L22" s="1">
        <v>8.2727134146000001</v>
      </c>
      <c r="M22" s="1">
        <v>3148.8</v>
      </c>
      <c r="N22" s="1">
        <v>0</v>
      </c>
      <c r="O22" s="1">
        <v>26049.1199998925</v>
      </c>
      <c r="P22" s="1">
        <v>0</v>
      </c>
      <c r="Q22" s="1">
        <v>3148.8</v>
      </c>
    </row>
    <row r="23" spans="1:17" x14ac:dyDescent="0.25">
      <c r="A23" s="1">
        <v>2018</v>
      </c>
      <c r="B23" s="1">
        <v>5</v>
      </c>
      <c r="C23" s="1" t="s">
        <v>63</v>
      </c>
      <c r="D23" s="1" t="s">
        <v>22</v>
      </c>
      <c r="E23" s="1" t="s">
        <v>23</v>
      </c>
      <c r="F23" s="1" t="s">
        <v>34</v>
      </c>
      <c r="G23" s="1" t="s">
        <v>24</v>
      </c>
      <c r="H23" s="1" t="s">
        <v>34</v>
      </c>
      <c r="I23" s="1" t="s">
        <v>115</v>
      </c>
      <c r="J23" s="1" t="s">
        <v>74</v>
      </c>
      <c r="K23" s="1">
        <v>8.2727134146000001</v>
      </c>
      <c r="L23" s="1">
        <v>8.2727134146000001</v>
      </c>
      <c r="M23" s="1">
        <v>3148.8</v>
      </c>
      <c r="N23" s="1">
        <v>0</v>
      </c>
      <c r="O23" s="1">
        <v>26049.1199998925</v>
      </c>
      <c r="P23" s="1">
        <v>0</v>
      </c>
      <c r="Q23" s="1">
        <v>3148.8</v>
      </c>
    </row>
    <row r="24" spans="1:17" x14ac:dyDescent="0.25">
      <c r="A24" s="1">
        <v>2018</v>
      </c>
      <c r="B24" s="1">
        <v>5</v>
      </c>
      <c r="C24" s="1" t="s">
        <v>63</v>
      </c>
      <c r="D24" s="1" t="s">
        <v>22</v>
      </c>
      <c r="E24" s="1" t="s">
        <v>23</v>
      </c>
      <c r="F24" s="1" t="s">
        <v>34</v>
      </c>
      <c r="G24" s="1" t="s">
        <v>24</v>
      </c>
      <c r="H24" s="1" t="s">
        <v>34</v>
      </c>
      <c r="I24" s="1" t="s">
        <v>115</v>
      </c>
      <c r="J24" s="1" t="s">
        <v>73</v>
      </c>
      <c r="K24" s="1">
        <v>8.2727134146000001</v>
      </c>
      <c r="L24" s="1">
        <v>8.2727134146000001</v>
      </c>
      <c r="M24" s="1">
        <v>9840</v>
      </c>
      <c r="N24" s="1">
        <v>10080</v>
      </c>
      <c r="O24" s="1">
        <v>81403.499999663996</v>
      </c>
      <c r="P24" s="1">
        <v>83388.951218999995</v>
      </c>
      <c r="Q24" s="1">
        <v>-240</v>
      </c>
    </row>
    <row r="25" spans="1:17" x14ac:dyDescent="0.25">
      <c r="A25" s="1">
        <v>2018</v>
      </c>
      <c r="B25" s="1">
        <v>5</v>
      </c>
      <c r="C25" s="1" t="s">
        <v>63</v>
      </c>
      <c r="D25" s="1" t="s">
        <v>22</v>
      </c>
      <c r="E25" s="1" t="s">
        <v>23</v>
      </c>
      <c r="F25" s="1" t="s">
        <v>34</v>
      </c>
      <c r="G25" s="1" t="s">
        <v>24</v>
      </c>
      <c r="H25" s="1" t="s">
        <v>34</v>
      </c>
      <c r="I25" s="1" t="s">
        <v>115</v>
      </c>
      <c r="J25" s="1" t="s">
        <v>76</v>
      </c>
      <c r="K25" s="1">
        <v>8.2727134146000001</v>
      </c>
      <c r="L25" s="1">
        <v>8.2727134146000001</v>
      </c>
      <c r="M25" s="1">
        <v>3542.4</v>
      </c>
      <c r="N25" s="1">
        <v>9600</v>
      </c>
      <c r="O25" s="1">
        <v>29305.260000550999</v>
      </c>
      <c r="P25" s="1">
        <v>79418.048779999997</v>
      </c>
      <c r="Q25" s="1">
        <v>-6057.6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M8"/>
  <sheetViews>
    <sheetView workbookViewId="0">
      <selection activeCell="D13" sqref="D13"/>
    </sheetView>
  </sheetViews>
  <sheetFormatPr defaultRowHeight="12.75" x14ac:dyDescent="0.2"/>
  <cols>
    <col min="1" max="1" width="20.7109375" customWidth="1"/>
    <col min="2" max="3" width="21" bestFit="1" customWidth="1"/>
    <col min="4" max="4" width="25.140625" bestFit="1" customWidth="1"/>
    <col min="5" max="6" width="21" bestFit="1" customWidth="1"/>
    <col min="7" max="7" width="25.140625" bestFit="1" customWidth="1"/>
    <col min="8" max="9" width="21" bestFit="1" customWidth="1"/>
    <col min="10" max="10" width="25.140625" bestFit="1" customWidth="1"/>
    <col min="11" max="12" width="27.7109375" bestFit="1" customWidth="1"/>
    <col min="13" max="13" width="31.85546875" bestFit="1" customWidth="1"/>
  </cols>
  <sheetData>
    <row r="3" spans="1:13" x14ac:dyDescent="0.2">
      <c r="A3" s="5"/>
      <c r="B3" s="9" t="s">
        <v>968</v>
      </c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x14ac:dyDescent="0.2">
      <c r="A4" s="8"/>
      <c r="B4" s="5">
        <v>3</v>
      </c>
      <c r="C4" s="6"/>
      <c r="D4" s="6"/>
      <c r="E4" s="5">
        <v>4</v>
      </c>
      <c r="F4" s="6"/>
      <c r="G4" s="6"/>
      <c r="H4" s="5">
        <v>5</v>
      </c>
      <c r="I4" s="6"/>
      <c r="J4" s="6"/>
      <c r="K4" s="5" t="s">
        <v>976</v>
      </c>
      <c r="L4" s="5" t="s">
        <v>977</v>
      </c>
      <c r="M4" s="10" t="s">
        <v>978</v>
      </c>
    </row>
    <row r="5" spans="1:13" x14ac:dyDescent="0.2">
      <c r="A5" s="9" t="s">
        <v>954</v>
      </c>
      <c r="B5" s="5" t="s">
        <v>973</v>
      </c>
      <c r="C5" s="20" t="s">
        <v>974</v>
      </c>
      <c r="D5" s="20" t="s">
        <v>975</v>
      </c>
      <c r="E5" s="5" t="s">
        <v>973</v>
      </c>
      <c r="F5" s="20" t="s">
        <v>974</v>
      </c>
      <c r="G5" s="20" t="s">
        <v>975</v>
      </c>
      <c r="H5" s="5" t="s">
        <v>973</v>
      </c>
      <c r="I5" s="20" t="s">
        <v>974</v>
      </c>
      <c r="J5" s="20" t="s">
        <v>975</v>
      </c>
      <c r="K5" s="8"/>
      <c r="L5" s="8"/>
      <c r="M5" s="36"/>
    </row>
    <row r="6" spans="1:13" x14ac:dyDescent="0.2">
      <c r="A6" s="11" t="s">
        <v>32</v>
      </c>
      <c r="B6" s="25">
        <v>11040</v>
      </c>
      <c r="C6" s="26">
        <v>11040</v>
      </c>
      <c r="D6" s="26">
        <v>0</v>
      </c>
      <c r="E6" s="25">
        <v>8640</v>
      </c>
      <c r="F6" s="26">
        <v>8640</v>
      </c>
      <c r="G6" s="26">
        <v>0</v>
      </c>
      <c r="H6" s="25">
        <v>10560</v>
      </c>
      <c r="I6" s="26">
        <v>10560</v>
      </c>
      <c r="J6" s="26">
        <v>0</v>
      </c>
      <c r="K6" s="25">
        <v>30240</v>
      </c>
      <c r="L6" s="25">
        <v>30240</v>
      </c>
      <c r="M6" s="27">
        <v>0</v>
      </c>
    </row>
    <row r="7" spans="1:13" x14ac:dyDescent="0.2">
      <c r="A7" s="11" t="s">
        <v>34</v>
      </c>
      <c r="B7" s="25">
        <v>22080</v>
      </c>
      <c r="C7" s="26">
        <v>22126</v>
      </c>
      <c r="D7" s="26">
        <v>-46</v>
      </c>
      <c r="E7" s="25">
        <v>15840</v>
      </c>
      <c r="F7" s="26">
        <v>15840</v>
      </c>
      <c r="G7" s="26">
        <v>0</v>
      </c>
      <c r="H7" s="25">
        <v>19680</v>
      </c>
      <c r="I7" s="26">
        <v>19680</v>
      </c>
      <c r="J7" s="26">
        <v>0</v>
      </c>
      <c r="K7" s="25">
        <v>57600</v>
      </c>
      <c r="L7" s="25">
        <v>57646</v>
      </c>
      <c r="M7" s="27">
        <v>-46</v>
      </c>
    </row>
    <row r="8" spans="1:13" x14ac:dyDescent="0.2">
      <c r="A8" s="16" t="s">
        <v>955</v>
      </c>
      <c r="B8" s="29">
        <v>33120</v>
      </c>
      <c r="C8" s="30">
        <v>33166</v>
      </c>
      <c r="D8" s="30">
        <v>-46</v>
      </c>
      <c r="E8" s="29">
        <v>24480</v>
      </c>
      <c r="F8" s="30">
        <v>24480</v>
      </c>
      <c r="G8" s="30">
        <v>0</v>
      </c>
      <c r="H8" s="29">
        <v>30240</v>
      </c>
      <c r="I8" s="30">
        <v>30240</v>
      </c>
      <c r="J8" s="30">
        <v>0</v>
      </c>
      <c r="K8" s="29">
        <v>87840</v>
      </c>
      <c r="L8" s="29">
        <v>87886</v>
      </c>
      <c r="M8" s="31">
        <v>-46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44"/>
  <sheetViews>
    <sheetView workbookViewId="0">
      <selection activeCell="I22" sqref="I22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23.85546875" style="1" bestFit="1" customWidth="1"/>
    <col min="7" max="8" width="21.5703125" style="1" bestFit="1" customWidth="1"/>
    <col min="9" max="9" width="22" style="1" bestFit="1" customWidth="1"/>
    <col min="10" max="10" width="23.28515625" style="1" bestFit="1" customWidth="1"/>
    <col min="11" max="11" width="11.28515625" style="1" bestFit="1" customWidth="1"/>
    <col min="12" max="12" width="13.85546875" style="1" bestFit="1" customWidth="1"/>
    <col min="13" max="13" width="32.28515625" style="1" bestFit="1" customWidth="1"/>
    <col min="14" max="14" width="49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H1" s="1" t="s">
        <v>117</v>
      </c>
      <c r="I1" s="1" t="s">
        <v>68</v>
      </c>
      <c r="J1" s="1" t="s">
        <v>69</v>
      </c>
      <c r="K1" s="1" t="s">
        <v>118</v>
      </c>
      <c r="L1" s="1" t="s">
        <v>119</v>
      </c>
      <c r="M1" s="1" t="s">
        <v>18</v>
      </c>
      <c r="N1" s="1" t="s">
        <v>120</v>
      </c>
    </row>
    <row r="2" spans="1:14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34</v>
      </c>
      <c r="G2" s="1">
        <v>4608.6811895507999</v>
      </c>
      <c r="H2" s="1">
        <v>4618.2826086719997</v>
      </c>
      <c r="I2" s="1" t="s">
        <v>73</v>
      </c>
      <c r="J2" s="1" t="s">
        <v>84</v>
      </c>
      <c r="K2" s="1" t="s">
        <v>121</v>
      </c>
      <c r="L2" s="1">
        <v>480</v>
      </c>
      <c r="M2" s="1" t="s">
        <v>122</v>
      </c>
      <c r="N2" s="1" t="s">
        <v>123</v>
      </c>
    </row>
    <row r="3" spans="1:14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34</v>
      </c>
      <c r="G3" s="1">
        <v>1843.4724758202999</v>
      </c>
      <c r="H3" s="1">
        <v>1847.3130434688001</v>
      </c>
      <c r="I3" s="1" t="s">
        <v>73</v>
      </c>
      <c r="J3" s="1" t="s">
        <v>84</v>
      </c>
      <c r="K3" s="1" t="s">
        <v>121</v>
      </c>
      <c r="L3" s="1">
        <v>192</v>
      </c>
      <c r="M3" s="1" t="s">
        <v>122</v>
      </c>
      <c r="N3" s="1" t="s">
        <v>124</v>
      </c>
    </row>
    <row r="4" spans="1:14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34</v>
      </c>
      <c r="G4" s="1">
        <v>2064.3051161529002</v>
      </c>
      <c r="H4" s="1">
        <v>2068.6057518010002</v>
      </c>
      <c r="I4" s="1" t="s">
        <v>73</v>
      </c>
      <c r="J4" s="1" t="s">
        <v>84</v>
      </c>
      <c r="K4" s="1" t="s">
        <v>121</v>
      </c>
      <c r="L4" s="1">
        <v>215</v>
      </c>
      <c r="M4" s="1" t="s">
        <v>122</v>
      </c>
      <c r="N4" s="1" t="s">
        <v>124</v>
      </c>
    </row>
    <row r="5" spans="1:14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34</v>
      </c>
      <c r="G5" s="1">
        <v>2736.4044562958002</v>
      </c>
      <c r="H5" s="1">
        <v>2742.105298899</v>
      </c>
      <c r="I5" s="1" t="s">
        <v>73</v>
      </c>
      <c r="J5" s="1" t="s">
        <v>84</v>
      </c>
      <c r="K5" s="1" t="s">
        <v>121</v>
      </c>
      <c r="L5" s="1">
        <v>285</v>
      </c>
      <c r="M5" s="1" t="s">
        <v>122</v>
      </c>
      <c r="N5" s="1" t="s">
        <v>125</v>
      </c>
    </row>
    <row r="6" spans="1:14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34</v>
      </c>
      <c r="G6" s="1">
        <v>4464.6599023772997</v>
      </c>
      <c r="H6" s="1">
        <v>4473.9612771510001</v>
      </c>
      <c r="I6" s="1" t="s">
        <v>73</v>
      </c>
      <c r="J6" s="1" t="s">
        <v>84</v>
      </c>
      <c r="K6" s="1" t="s">
        <v>121</v>
      </c>
      <c r="L6" s="1">
        <v>465</v>
      </c>
      <c r="M6" s="1" t="s">
        <v>122</v>
      </c>
      <c r="N6" s="1" t="s">
        <v>126</v>
      </c>
    </row>
    <row r="7" spans="1:14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34</v>
      </c>
      <c r="G7" s="1">
        <v>3072.4541263671999</v>
      </c>
      <c r="H7" s="1">
        <v>3078.8550724480001</v>
      </c>
      <c r="I7" s="1" t="s">
        <v>73</v>
      </c>
      <c r="J7" s="1" t="s">
        <v>84</v>
      </c>
      <c r="K7" s="1" t="s">
        <v>121</v>
      </c>
      <c r="L7" s="1">
        <v>320</v>
      </c>
      <c r="M7" s="1" t="s">
        <v>122</v>
      </c>
      <c r="N7" s="1" t="s">
        <v>127</v>
      </c>
    </row>
    <row r="8" spans="1:14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34</v>
      </c>
      <c r="G8" s="1">
        <v>2304.3405947753999</v>
      </c>
      <c r="H8" s="1">
        <v>2309.1413043359998</v>
      </c>
      <c r="I8" s="1" t="s">
        <v>73</v>
      </c>
      <c r="J8" s="1" t="s">
        <v>84</v>
      </c>
      <c r="K8" s="1" t="s">
        <v>121</v>
      </c>
      <c r="L8" s="1">
        <v>240</v>
      </c>
      <c r="M8" s="1" t="s">
        <v>122</v>
      </c>
      <c r="N8" s="1" t="s">
        <v>128</v>
      </c>
    </row>
    <row r="9" spans="1:14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34</v>
      </c>
      <c r="G9" s="1">
        <v>1315.3944228508999</v>
      </c>
      <c r="H9" s="1">
        <v>1318.1348278917999</v>
      </c>
      <c r="I9" s="1" t="s">
        <v>73</v>
      </c>
      <c r="J9" s="1" t="s">
        <v>84</v>
      </c>
      <c r="K9" s="1" t="s">
        <v>121</v>
      </c>
      <c r="L9" s="1">
        <v>137</v>
      </c>
      <c r="M9" s="1" t="s">
        <v>122</v>
      </c>
      <c r="N9" s="1" t="s">
        <v>129</v>
      </c>
    </row>
    <row r="10" spans="1:14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34</v>
      </c>
      <c r="G10" s="1">
        <v>772.91424116420001</v>
      </c>
      <c r="H10" s="1">
        <v>774.5244791627</v>
      </c>
      <c r="I10" s="1" t="s">
        <v>73</v>
      </c>
      <c r="J10" s="1" t="s">
        <v>84</v>
      </c>
      <c r="K10" s="1" t="s">
        <v>121</v>
      </c>
      <c r="L10" s="1">
        <v>80.5</v>
      </c>
      <c r="M10" s="1" t="s">
        <v>122</v>
      </c>
      <c r="N10" s="1" t="s">
        <v>129</v>
      </c>
    </row>
    <row r="11" spans="1:14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34</v>
      </c>
      <c r="G11" s="1">
        <v>921.73623791019997</v>
      </c>
      <c r="H11" s="1">
        <v>923.65652173440003</v>
      </c>
      <c r="I11" s="1" t="s">
        <v>73</v>
      </c>
      <c r="J11" s="1" t="s">
        <v>84</v>
      </c>
      <c r="K11" s="1" t="s">
        <v>121</v>
      </c>
      <c r="L11" s="1">
        <v>96</v>
      </c>
      <c r="M11" s="1" t="s">
        <v>122</v>
      </c>
      <c r="N11" s="1" t="s">
        <v>130</v>
      </c>
    </row>
    <row r="12" spans="1:14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34</v>
      </c>
      <c r="G12" s="1">
        <v>1843.4724758202999</v>
      </c>
      <c r="H12" s="1">
        <v>1847.3130434688001</v>
      </c>
      <c r="I12" s="1" t="s">
        <v>73</v>
      </c>
      <c r="J12" s="1" t="s">
        <v>84</v>
      </c>
      <c r="K12" s="1" t="s">
        <v>121</v>
      </c>
      <c r="L12" s="1">
        <v>192</v>
      </c>
      <c r="M12" s="1" t="s">
        <v>122</v>
      </c>
      <c r="N12" s="1" t="s">
        <v>131</v>
      </c>
    </row>
    <row r="13" spans="1:14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34</v>
      </c>
      <c r="G13" s="1">
        <v>1536.2270631836</v>
      </c>
      <c r="H13" s="1">
        <v>1539.4275362240001</v>
      </c>
      <c r="I13" s="1" t="s">
        <v>73</v>
      </c>
      <c r="J13" s="1" t="s">
        <v>84</v>
      </c>
      <c r="K13" s="1" t="s">
        <v>121</v>
      </c>
      <c r="L13" s="1">
        <v>160</v>
      </c>
      <c r="M13" s="1" t="s">
        <v>122</v>
      </c>
      <c r="N13" s="1" t="s">
        <v>132</v>
      </c>
    </row>
    <row r="14" spans="1:14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34</v>
      </c>
      <c r="G14" s="1">
        <v>4608.6811895507999</v>
      </c>
      <c r="H14" s="1">
        <v>4618.2826086719997</v>
      </c>
      <c r="I14" s="1" t="s">
        <v>73</v>
      </c>
      <c r="J14" s="1" t="s">
        <v>84</v>
      </c>
      <c r="K14" s="1" t="s">
        <v>121</v>
      </c>
      <c r="L14" s="1">
        <v>480</v>
      </c>
      <c r="M14" s="1" t="s">
        <v>122</v>
      </c>
      <c r="N14" s="1" t="s">
        <v>133</v>
      </c>
    </row>
    <row r="15" spans="1:14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34</v>
      </c>
      <c r="G15" s="1">
        <v>1536.2270631836</v>
      </c>
      <c r="H15" s="1">
        <v>1539.4275362240001</v>
      </c>
      <c r="I15" s="1" t="s">
        <v>73</v>
      </c>
      <c r="J15" s="1" t="s">
        <v>84</v>
      </c>
      <c r="K15" s="1" t="s">
        <v>121</v>
      </c>
      <c r="L15" s="1">
        <v>160</v>
      </c>
      <c r="M15" s="1" t="s">
        <v>122</v>
      </c>
      <c r="N15" s="1" t="s">
        <v>134</v>
      </c>
    </row>
    <row r="16" spans="1:14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34</v>
      </c>
      <c r="G16" s="1">
        <v>4608.6811895505998</v>
      </c>
      <c r="H16" s="1">
        <v>4618.2826086718997</v>
      </c>
      <c r="I16" s="1" t="s">
        <v>73</v>
      </c>
      <c r="J16" s="1" t="s">
        <v>84</v>
      </c>
      <c r="K16" s="1" t="s">
        <v>121</v>
      </c>
      <c r="L16" s="1">
        <v>480</v>
      </c>
      <c r="M16" s="1" t="s">
        <v>122</v>
      </c>
      <c r="N16" s="1" t="s">
        <v>134</v>
      </c>
    </row>
    <row r="17" spans="1:14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34</v>
      </c>
      <c r="G17" s="1">
        <v>864.12772304079999</v>
      </c>
      <c r="H17" s="1">
        <v>865.92798912600006</v>
      </c>
      <c r="I17" s="1" t="s">
        <v>73</v>
      </c>
      <c r="J17" s="1" t="s">
        <v>84</v>
      </c>
      <c r="K17" s="1" t="s">
        <v>121</v>
      </c>
      <c r="L17" s="1">
        <v>90</v>
      </c>
      <c r="M17" s="1" t="s">
        <v>122</v>
      </c>
      <c r="N17" s="1" t="s">
        <v>135</v>
      </c>
    </row>
    <row r="18" spans="1:14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32</v>
      </c>
      <c r="G18" s="1">
        <v>1296.8940217391</v>
      </c>
      <c r="H18" s="1">
        <v>1296.8940217398001</v>
      </c>
      <c r="I18" s="1" t="s">
        <v>73</v>
      </c>
      <c r="J18" s="1" t="s">
        <v>90</v>
      </c>
      <c r="K18" s="1" t="s">
        <v>121</v>
      </c>
      <c r="L18" s="1">
        <v>33</v>
      </c>
      <c r="M18" s="1" t="s">
        <v>122</v>
      </c>
      <c r="N18" s="1" t="s">
        <v>136</v>
      </c>
    </row>
    <row r="19" spans="1:14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34</v>
      </c>
      <c r="G19" s="1">
        <v>1022.5511389316</v>
      </c>
      <c r="H19" s="1">
        <v>1024.6814537990999</v>
      </c>
      <c r="I19" s="1" t="s">
        <v>73</v>
      </c>
      <c r="J19" s="1" t="s">
        <v>90</v>
      </c>
      <c r="K19" s="1" t="s">
        <v>121</v>
      </c>
      <c r="L19" s="1">
        <v>106.5</v>
      </c>
      <c r="M19" s="1" t="s">
        <v>122</v>
      </c>
      <c r="N19" s="1" t="s">
        <v>52</v>
      </c>
    </row>
    <row r="20" spans="1:14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23</v>
      </c>
      <c r="F20" s="1" t="s">
        <v>34</v>
      </c>
      <c r="G20" s="1">
        <v>1281.7894558437999</v>
      </c>
      <c r="H20" s="1">
        <v>1284.4598505368999</v>
      </c>
      <c r="I20" s="1" t="s">
        <v>73</v>
      </c>
      <c r="J20" s="1" t="s">
        <v>90</v>
      </c>
      <c r="K20" s="1" t="s">
        <v>121</v>
      </c>
      <c r="L20" s="1">
        <v>133.5</v>
      </c>
      <c r="M20" s="1" t="s">
        <v>122</v>
      </c>
      <c r="N20" s="1" t="s">
        <v>53</v>
      </c>
    </row>
    <row r="21" spans="1:14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23</v>
      </c>
      <c r="F21" s="1" t="s">
        <v>32</v>
      </c>
      <c r="G21" s="1">
        <v>5698.4737318840998</v>
      </c>
      <c r="H21" s="1">
        <v>5698.4737318870002</v>
      </c>
      <c r="I21" s="1" t="s">
        <v>73</v>
      </c>
      <c r="J21" s="1" t="s">
        <v>90</v>
      </c>
      <c r="K21" s="1" t="s">
        <v>121</v>
      </c>
      <c r="L21" s="1">
        <v>145</v>
      </c>
      <c r="M21" s="1" t="s">
        <v>122</v>
      </c>
      <c r="N21" s="1" t="s">
        <v>137</v>
      </c>
    </row>
    <row r="22" spans="1:14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23</v>
      </c>
      <c r="F22" s="1" t="s">
        <v>32</v>
      </c>
      <c r="G22" s="1">
        <v>5384.0751811596001</v>
      </c>
      <c r="H22" s="1">
        <v>5384.0751811621003</v>
      </c>
      <c r="I22" s="1" t="s">
        <v>73</v>
      </c>
      <c r="J22" s="1" t="s">
        <v>90</v>
      </c>
      <c r="K22" s="1" t="s">
        <v>121</v>
      </c>
      <c r="L22" s="1">
        <v>137</v>
      </c>
      <c r="M22" s="1" t="s">
        <v>122</v>
      </c>
      <c r="N22" s="1" t="s">
        <v>138</v>
      </c>
    </row>
    <row r="23" spans="1:14" x14ac:dyDescent="0.25">
      <c r="A23" s="1">
        <v>2018</v>
      </c>
      <c r="B23" s="1">
        <v>3</v>
      </c>
      <c r="C23" s="1" t="s">
        <v>21</v>
      </c>
      <c r="D23" s="1" t="s">
        <v>22</v>
      </c>
      <c r="E23" s="1" t="s">
        <v>23</v>
      </c>
      <c r="F23" s="1" t="s">
        <v>32</v>
      </c>
      <c r="G23" s="1">
        <v>8881.7590579709995</v>
      </c>
      <c r="H23" s="1">
        <v>8881.7590579755997</v>
      </c>
      <c r="I23" s="1" t="s">
        <v>73</v>
      </c>
      <c r="J23" s="1" t="s">
        <v>90</v>
      </c>
      <c r="K23" s="1" t="s">
        <v>121</v>
      </c>
      <c r="L23" s="1">
        <v>226</v>
      </c>
      <c r="M23" s="1" t="s">
        <v>122</v>
      </c>
      <c r="N23" s="1" t="s">
        <v>139</v>
      </c>
    </row>
    <row r="24" spans="1:14" x14ac:dyDescent="0.25">
      <c r="A24" s="1">
        <v>2018</v>
      </c>
      <c r="B24" s="1">
        <v>3</v>
      </c>
      <c r="C24" s="1" t="s">
        <v>21</v>
      </c>
      <c r="D24" s="1" t="s">
        <v>22</v>
      </c>
      <c r="E24" s="1" t="s">
        <v>23</v>
      </c>
      <c r="F24" s="1" t="s">
        <v>32</v>
      </c>
      <c r="G24" s="1">
        <v>1650.5923913043</v>
      </c>
      <c r="H24" s="1">
        <v>1650.5923913052</v>
      </c>
      <c r="I24" s="1" t="s">
        <v>73</v>
      </c>
      <c r="J24" s="1" t="s">
        <v>90</v>
      </c>
      <c r="K24" s="1" t="s">
        <v>121</v>
      </c>
      <c r="L24" s="1">
        <v>42</v>
      </c>
      <c r="M24" s="1" t="s">
        <v>122</v>
      </c>
      <c r="N24" s="1" t="s">
        <v>140</v>
      </c>
    </row>
    <row r="25" spans="1:14" x14ac:dyDescent="0.25">
      <c r="A25" s="1">
        <v>2018</v>
      </c>
      <c r="B25" s="1">
        <v>3</v>
      </c>
      <c r="C25" s="1" t="s">
        <v>21</v>
      </c>
      <c r="D25" s="1" t="s">
        <v>22</v>
      </c>
      <c r="E25" s="1" t="s">
        <v>23</v>
      </c>
      <c r="F25" s="1" t="s">
        <v>32</v>
      </c>
      <c r="G25" s="1">
        <v>2633.0878623188</v>
      </c>
      <c r="H25" s="1">
        <v>2633.0878623202002</v>
      </c>
      <c r="I25" s="1" t="s">
        <v>73</v>
      </c>
      <c r="J25" s="1" t="s">
        <v>90</v>
      </c>
      <c r="K25" s="1" t="s">
        <v>121</v>
      </c>
      <c r="L25" s="1">
        <v>67</v>
      </c>
      <c r="M25" s="1" t="s">
        <v>122</v>
      </c>
      <c r="N25" s="1" t="s">
        <v>141</v>
      </c>
    </row>
    <row r="26" spans="1:14" x14ac:dyDescent="0.25">
      <c r="A26" s="1">
        <v>2018</v>
      </c>
      <c r="B26" s="1">
        <v>3</v>
      </c>
      <c r="C26" s="1" t="s">
        <v>21</v>
      </c>
      <c r="D26" s="1" t="s">
        <v>22</v>
      </c>
      <c r="E26" s="1" t="s">
        <v>23</v>
      </c>
      <c r="F26" s="1" t="s">
        <v>32</v>
      </c>
      <c r="G26" s="1">
        <v>4991.0769927536003</v>
      </c>
      <c r="H26" s="1">
        <v>4991.0769927561996</v>
      </c>
      <c r="I26" s="1" t="s">
        <v>73</v>
      </c>
      <c r="J26" s="1" t="s">
        <v>90</v>
      </c>
      <c r="K26" s="1" t="s">
        <v>121</v>
      </c>
      <c r="L26" s="1">
        <v>127</v>
      </c>
      <c r="M26" s="1" t="s">
        <v>122</v>
      </c>
      <c r="N26" s="1" t="s">
        <v>142</v>
      </c>
    </row>
    <row r="27" spans="1:14" x14ac:dyDescent="0.25">
      <c r="A27" s="1">
        <v>2018</v>
      </c>
      <c r="B27" s="1">
        <v>3</v>
      </c>
      <c r="C27" s="1" t="s">
        <v>21</v>
      </c>
      <c r="D27" s="1" t="s">
        <v>22</v>
      </c>
      <c r="E27" s="1" t="s">
        <v>23</v>
      </c>
      <c r="F27" s="1" t="s">
        <v>32</v>
      </c>
      <c r="G27" s="1">
        <v>2515.1884057971001</v>
      </c>
      <c r="H27" s="1">
        <v>2515.1884057983998</v>
      </c>
      <c r="I27" s="1" t="s">
        <v>73</v>
      </c>
      <c r="J27" s="1" t="s">
        <v>90</v>
      </c>
      <c r="K27" s="1" t="s">
        <v>121</v>
      </c>
      <c r="L27" s="1">
        <v>64</v>
      </c>
      <c r="M27" s="1" t="s">
        <v>122</v>
      </c>
      <c r="N27" s="1" t="s">
        <v>143</v>
      </c>
    </row>
    <row r="28" spans="1:14" x14ac:dyDescent="0.25">
      <c r="A28" s="1">
        <v>2018</v>
      </c>
      <c r="B28" s="1">
        <v>3</v>
      </c>
      <c r="C28" s="1" t="s">
        <v>21</v>
      </c>
      <c r="D28" s="1" t="s">
        <v>22</v>
      </c>
      <c r="E28" s="1" t="s">
        <v>23</v>
      </c>
      <c r="F28" s="1" t="s">
        <v>32</v>
      </c>
      <c r="G28" s="1">
        <v>3772.7826086956002</v>
      </c>
      <c r="H28" s="1">
        <v>3772.7826086976002</v>
      </c>
      <c r="I28" s="1" t="s">
        <v>73</v>
      </c>
      <c r="J28" s="1" t="s">
        <v>90</v>
      </c>
      <c r="K28" s="1" t="s">
        <v>121</v>
      </c>
      <c r="L28" s="1">
        <v>96</v>
      </c>
      <c r="M28" s="1" t="s">
        <v>122</v>
      </c>
      <c r="N28" s="1" t="s">
        <v>144</v>
      </c>
    </row>
    <row r="29" spans="1:14" x14ac:dyDescent="0.25">
      <c r="A29" s="1">
        <v>2018</v>
      </c>
      <c r="B29" s="1">
        <v>3</v>
      </c>
      <c r="C29" s="1" t="s">
        <v>21</v>
      </c>
      <c r="D29" s="1" t="s">
        <v>22</v>
      </c>
      <c r="E29" s="1" t="s">
        <v>23</v>
      </c>
      <c r="F29" s="1" t="s">
        <v>34</v>
      </c>
      <c r="G29" s="1">
        <v>4608.6811895507999</v>
      </c>
      <c r="H29" s="1">
        <v>4618.2826086719997</v>
      </c>
      <c r="I29" s="1" t="s">
        <v>75</v>
      </c>
      <c r="J29" s="1" t="s">
        <v>94</v>
      </c>
      <c r="K29" s="1" t="s">
        <v>121</v>
      </c>
      <c r="L29" s="1">
        <v>480</v>
      </c>
      <c r="M29" s="1" t="s">
        <v>122</v>
      </c>
      <c r="N29" s="1" t="s">
        <v>52</v>
      </c>
    </row>
    <row r="30" spans="1:14" x14ac:dyDescent="0.25">
      <c r="A30" s="1">
        <v>2018</v>
      </c>
      <c r="B30" s="1">
        <v>3</v>
      </c>
      <c r="C30" s="1" t="s">
        <v>21</v>
      </c>
      <c r="D30" s="1" t="s">
        <v>22</v>
      </c>
      <c r="E30" s="1" t="s">
        <v>23</v>
      </c>
      <c r="F30" s="1" t="s">
        <v>32</v>
      </c>
      <c r="G30" s="1">
        <v>226366.95652173911</v>
      </c>
      <c r="H30" s="1">
        <v>226366.95652185599</v>
      </c>
      <c r="I30" s="1" t="s">
        <v>76</v>
      </c>
      <c r="J30" s="1" t="s">
        <v>101</v>
      </c>
      <c r="K30" s="1" t="s">
        <v>121</v>
      </c>
      <c r="L30" s="1">
        <v>5760</v>
      </c>
      <c r="M30" s="1" t="s">
        <v>122</v>
      </c>
      <c r="N30" s="1" t="s">
        <v>145</v>
      </c>
    </row>
    <row r="31" spans="1:14" x14ac:dyDescent="0.25">
      <c r="A31" s="1">
        <v>2018</v>
      </c>
      <c r="B31" s="1">
        <v>3</v>
      </c>
      <c r="C31" s="1" t="s">
        <v>21</v>
      </c>
      <c r="D31" s="1" t="s">
        <v>22</v>
      </c>
      <c r="E31" s="1" t="s">
        <v>23</v>
      </c>
      <c r="F31" s="1" t="s">
        <v>34</v>
      </c>
      <c r="G31" s="1">
        <v>82956.261411913598</v>
      </c>
      <c r="H31" s="1">
        <v>83129.086956095998</v>
      </c>
      <c r="I31" s="1" t="s">
        <v>76</v>
      </c>
      <c r="J31" s="1" t="s">
        <v>101</v>
      </c>
      <c r="K31" s="1" t="s">
        <v>121</v>
      </c>
      <c r="L31" s="1">
        <v>8640</v>
      </c>
      <c r="M31" s="1" t="s">
        <v>122</v>
      </c>
      <c r="N31" s="1" t="s">
        <v>145</v>
      </c>
    </row>
    <row r="32" spans="1:14" x14ac:dyDescent="0.25">
      <c r="A32" s="1">
        <v>2018</v>
      </c>
      <c r="B32" s="1">
        <v>3</v>
      </c>
      <c r="C32" s="1" t="s">
        <v>21</v>
      </c>
      <c r="D32" s="1" t="s">
        <v>22</v>
      </c>
      <c r="E32" s="1" t="s">
        <v>23</v>
      </c>
      <c r="F32" s="1" t="s">
        <v>32</v>
      </c>
      <c r="G32" s="1">
        <v>4008.5815217391</v>
      </c>
      <c r="H32" s="1">
        <v>4008.5815217412</v>
      </c>
      <c r="I32" s="1" t="s">
        <v>73</v>
      </c>
      <c r="J32" s="1" t="s">
        <v>86</v>
      </c>
      <c r="K32" s="1" t="s">
        <v>121</v>
      </c>
      <c r="L32" s="1">
        <v>102</v>
      </c>
      <c r="M32" s="1" t="s">
        <v>122</v>
      </c>
      <c r="N32" s="1" t="s">
        <v>146</v>
      </c>
    </row>
    <row r="33" spans="1:14" x14ac:dyDescent="0.25">
      <c r="A33" s="1">
        <v>2018</v>
      </c>
      <c r="B33" s="1">
        <v>3</v>
      </c>
      <c r="C33" s="1" t="s">
        <v>21</v>
      </c>
      <c r="D33" s="1" t="s">
        <v>22</v>
      </c>
      <c r="E33" s="1" t="s">
        <v>23</v>
      </c>
      <c r="F33" s="1" t="s">
        <v>32</v>
      </c>
      <c r="G33" s="1">
        <v>2436.5887681159002</v>
      </c>
      <c r="H33" s="1">
        <v>2436.5887681171998</v>
      </c>
      <c r="I33" s="1" t="s">
        <v>73</v>
      </c>
      <c r="J33" s="1" t="s">
        <v>86</v>
      </c>
      <c r="K33" s="1" t="s">
        <v>121</v>
      </c>
      <c r="L33" s="1">
        <v>62</v>
      </c>
      <c r="M33" s="1" t="s">
        <v>122</v>
      </c>
      <c r="N33" s="1" t="s">
        <v>147</v>
      </c>
    </row>
    <row r="34" spans="1:14" x14ac:dyDescent="0.25">
      <c r="A34" s="1">
        <v>2018</v>
      </c>
      <c r="B34" s="1">
        <v>3</v>
      </c>
      <c r="C34" s="1" t="s">
        <v>21</v>
      </c>
      <c r="D34" s="1" t="s">
        <v>22</v>
      </c>
      <c r="E34" s="1" t="s">
        <v>23</v>
      </c>
      <c r="F34" s="1" t="s">
        <v>32</v>
      </c>
      <c r="G34" s="1">
        <v>2279.3894927535998</v>
      </c>
      <c r="H34" s="1">
        <v>2279.3894927547999</v>
      </c>
      <c r="I34" s="1" t="s">
        <v>73</v>
      </c>
      <c r="J34" s="1" t="s">
        <v>86</v>
      </c>
      <c r="K34" s="1" t="s">
        <v>121</v>
      </c>
      <c r="L34" s="1">
        <v>58</v>
      </c>
      <c r="M34" s="1" t="s">
        <v>122</v>
      </c>
      <c r="N34" s="1" t="s">
        <v>148</v>
      </c>
    </row>
    <row r="35" spans="1:14" x14ac:dyDescent="0.25">
      <c r="A35" s="1">
        <v>2018</v>
      </c>
      <c r="B35" s="1">
        <v>3</v>
      </c>
      <c r="C35" s="1" t="s">
        <v>21</v>
      </c>
      <c r="D35" s="1" t="s">
        <v>22</v>
      </c>
      <c r="E35" s="1" t="s">
        <v>23</v>
      </c>
      <c r="F35" s="1" t="s">
        <v>32</v>
      </c>
      <c r="G35" s="1">
        <v>10571.651268116</v>
      </c>
      <c r="H35" s="1">
        <v>10571.651268121401</v>
      </c>
      <c r="I35" s="1" t="s">
        <v>73</v>
      </c>
      <c r="J35" s="1" t="s">
        <v>86</v>
      </c>
      <c r="K35" s="1" t="s">
        <v>121</v>
      </c>
      <c r="L35" s="1">
        <v>269</v>
      </c>
      <c r="M35" s="1" t="s">
        <v>122</v>
      </c>
      <c r="N35" s="1" t="s">
        <v>144</v>
      </c>
    </row>
    <row r="36" spans="1:14" x14ac:dyDescent="0.25">
      <c r="A36" s="1">
        <v>2018</v>
      </c>
      <c r="B36" s="1">
        <v>3</v>
      </c>
      <c r="C36" s="1" t="s">
        <v>21</v>
      </c>
      <c r="D36" s="1" t="s">
        <v>22</v>
      </c>
      <c r="E36" s="1" t="s">
        <v>23</v>
      </c>
      <c r="F36" s="1" t="s">
        <v>32</v>
      </c>
      <c r="G36" s="1">
        <v>1650.5923913043</v>
      </c>
      <c r="H36" s="1">
        <v>1650.5923913052</v>
      </c>
      <c r="I36" s="1" t="s">
        <v>73</v>
      </c>
      <c r="J36" s="1" t="s">
        <v>86</v>
      </c>
      <c r="K36" s="1" t="s">
        <v>121</v>
      </c>
      <c r="L36" s="1">
        <v>42</v>
      </c>
      <c r="M36" s="1" t="s">
        <v>122</v>
      </c>
      <c r="N36" s="1" t="s">
        <v>136</v>
      </c>
    </row>
    <row r="37" spans="1:14" x14ac:dyDescent="0.25">
      <c r="A37" s="1">
        <v>2018</v>
      </c>
      <c r="B37" s="1">
        <v>3</v>
      </c>
      <c r="C37" s="1" t="s">
        <v>21</v>
      </c>
      <c r="D37" s="1" t="s">
        <v>22</v>
      </c>
      <c r="E37" s="1" t="s">
        <v>23</v>
      </c>
      <c r="F37" s="1" t="s">
        <v>32</v>
      </c>
      <c r="G37" s="1">
        <v>5462.6748188406</v>
      </c>
      <c r="H37" s="1">
        <v>5462.6748188434003</v>
      </c>
      <c r="I37" s="1" t="s">
        <v>73</v>
      </c>
      <c r="J37" s="1" t="s">
        <v>86</v>
      </c>
      <c r="K37" s="1" t="s">
        <v>121</v>
      </c>
      <c r="L37" s="1">
        <v>139</v>
      </c>
      <c r="M37" s="1" t="s">
        <v>122</v>
      </c>
      <c r="N37" s="1" t="s">
        <v>149</v>
      </c>
    </row>
    <row r="38" spans="1:14" x14ac:dyDescent="0.25">
      <c r="A38" s="1">
        <v>2018</v>
      </c>
      <c r="B38" s="1">
        <v>3</v>
      </c>
      <c r="C38" s="1" t="s">
        <v>21</v>
      </c>
      <c r="D38" s="1" t="s">
        <v>22</v>
      </c>
      <c r="E38" s="1" t="s">
        <v>23</v>
      </c>
      <c r="F38" s="1" t="s">
        <v>32</v>
      </c>
      <c r="G38" s="1">
        <v>12104.344202898599</v>
      </c>
      <c r="H38" s="1">
        <v>12104.3442029048</v>
      </c>
      <c r="I38" s="1" t="s">
        <v>73</v>
      </c>
      <c r="J38" s="1" t="s">
        <v>86</v>
      </c>
      <c r="K38" s="1" t="s">
        <v>121</v>
      </c>
      <c r="L38" s="1">
        <v>308</v>
      </c>
      <c r="M38" s="1" t="s">
        <v>122</v>
      </c>
      <c r="N38" s="1" t="s">
        <v>150</v>
      </c>
    </row>
    <row r="39" spans="1:14" x14ac:dyDescent="0.25">
      <c r="A39" s="1">
        <v>2018</v>
      </c>
      <c r="B39" s="1">
        <v>3</v>
      </c>
      <c r="C39" s="1" t="s">
        <v>21</v>
      </c>
      <c r="D39" s="1" t="s">
        <v>22</v>
      </c>
      <c r="E39" s="1" t="s">
        <v>23</v>
      </c>
      <c r="F39" s="1" t="s">
        <v>32</v>
      </c>
      <c r="G39" s="1">
        <v>4833.8777173913004</v>
      </c>
      <c r="H39" s="1">
        <v>4833.8777173937997</v>
      </c>
      <c r="I39" s="1" t="s">
        <v>73</v>
      </c>
      <c r="J39" s="1" t="s">
        <v>86</v>
      </c>
      <c r="K39" s="1" t="s">
        <v>121</v>
      </c>
      <c r="L39" s="1">
        <v>123</v>
      </c>
      <c r="M39" s="1" t="s">
        <v>122</v>
      </c>
      <c r="N39" s="1" t="s">
        <v>151</v>
      </c>
    </row>
    <row r="40" spans="1:14" x14ac:dyDescent="0.25">
      <c r="A40" s="1">
        <v>2018</v>
      </c>
      <c r="B40" s="1">
        <v>3</v>
      </c>
      <c r="C40" s="1" t="s">
        <v>21</v>
      </c>
      <c r="D40" s="1" t="s">
        <v>22</v>
      </c>
      <c r="E40" s="1" t="s">
        <v>23</v>
      </c>
      <c r="F40" s="1" t="s">
        <v>32</v>
      </c>
      <c r="G40" s="1">
        <v>5148.2762681159002</v>
      </c>
      <c r="H40" s="1">
        <v>5148.2762681185995</v>
      </c>
      <c r="I40" s="1" t="s">
        <v>73</v>
      </c>
      <c r="J40" s="1" t="s">
        <v>86</v>
      </c>
      <c r="K40" s="1" t="s">
        <v>121</v>
      </c>
      <c r="L40" s="1">
        <v>131</v>
      </c>
      <c r="M40" s="1" t="s">
        <v>122</v>
      </c>
      <c r="N40" s="1" t="s">
        <v>152</v>
      </c>
    </row>
    <row r="41" spans="1:14" x14ac:dyDescent="0.25">
      <c r="A41" s="1">
        <v>2018</v>
      </c>
      <c r="B41" s="1">
        <v>3</v>
      </c>
      <c r="C41" s="1" t="s">
        <v>21</v>
      </c>
      <c r="D41" s="1" t="s">
        <v>22</v>
      </c>
      <c r="E41" s="1" t="s">
        <v>23</v>
      </c>
      <c r="F41" s="1" t="s">
        <v>32</v>
      </c>
      <c r="G41" s="1">
        <v>5305.4755434783001</v>
      </c>
      <c r="H41" s="1">
        <v>5305.4755434810004</v>
      </c>
      <c r="I41" s="1" t="s">
        <v>73</v>
      </c>
      <c r="J41" s="1" t="s">
        <v>86</v>
      </c>
      <c r="K41" s="1" t="s">
        <v>121</v>
      </c>
      <c r="L41" s="1">
        <v>135</v>
      </c>
      <c r="M41" s="1" t="s">
        <v>122</v>
      </c>
      <c r="N41" s="1" t="s">
        <v>153</v>
      </c>
    </row>
    <row r="42" spans="1:14" x14ac:dyDescent="0.25">
      <c r="A42" s="1">
        <v>2018</v>
      </c>
      <c r="B42" s="1">
        <v>3</v>
      </c>
      <c r="C42" s="1" t="s">
        <v>21</v>
      </c>
      <c r="D42" s="1" t="s">
        <v>22</v>
      </c>
      <c r="E42" s="1" t="s">
        <v>23</v>
      </c>
      <c r="F42" s="1" t="s">
        <v>32</v>
      </c>
      <c r="G42" s="1">
        <v>4951.7771739130003</v>
      </c>
      <c r="H42" s="1">
        <v>4951.7771739155996</v>
      </c>
      <c r="I42" s="1" t="s">
        <v>73</v>
      </c>
      <c r="J42" s="1" t="s">
        <v>86</v>
      </c>
      <c r="K42" s="1" t="s">
        <v>121</v>
      </c>
      <c r="L42" s="1">
        <v>126</v>
      </c>
      <c r="M42" s="1" t="s">
        <v>122</v>
      </c>
      <c r="N42" s="1" t="s">
        <v>154</v>
      </c>
    </row>
    <row r="43" spans="1:14" x14ac:dyDescent="0.25">
      <c r="A43" s="1">
        <v>2018</v>
      </c>
      <c r="B43" s="1">
        <v>3</v>
      </c>
      <c r="C43" s="1" t="s">
        <v>21</v>
      </c>
      <c r="D43" s="1" t="s">
        <v>22</v>
      </c>
      <c r="E43" s="1" t="s">
        <v>23</v>
      </c>
      <c r="F43" s="1" t="s">
        <v>32</v>
      </c>
      <c r="G43" s="1">
        <v>9628.4556159420008</v>
      </c>
      <c r="H43" s="1">
        <v>9628.4556159469994</v>
      </c>
      <c r="I43" s="1" t="s">
        <v>73</v>
      </c>
      <c r="J43" s="1" t="s">
        <v>86</v>
      </c>
      <c r="K43" s="1" t="s">
        <v>121</v>
      </c>
      <c r="L43" s="1">
        <v>245</v>
      </c>
      <c r="M43" s="1" t="s">
        <v>122</v>
      </c>
      <c r="N43" s="1" t="s">
        <v>155</v>
      </c>
    </row>
    <row r="44" spans="1:14" x14ac:dyDescent="0.25">
      <c r="A44" s="1">
        <v>2018</v>
      </c>
      <c r="B44" s="1">
        <v>3</v>
      </c>
      <c r="C44" s="1" t="s">
        <v>21</v>
      </c>
      <c r="D44" s="1" t="s">
        <v>22</v>
      </c>
      <c r="E44" s="1" t="s">
        <v>23</v>
      </c>
      <c r="F44" s="1" t="s">
        <v>34</v>
      </c>
      <c r="G44" s="1">
        <v>1353.8000994305</v>
      </c>
      <c r="H44" s="1">
        <v>1356.6205162973999</v>
      </c>
      <c r="I44" s="1" t="s">
        <v>73</v>
      </c>
      <c r="J44" s="1" t="s">
        <v>86</v>
      </c>
      <c r="K44" s="1" t="s">
        <v>121</v>
      </c>
      <c r="L44" s="1">
        <v>141</v>
      </c>
      <c r="M44" s="1" t="s">
        <v>122</v>
      </c>
      <c r="N44" s="1" t="s">
        <v>156</v>
      </c>
    </row>
    <row r="45" spans="1:14" x14ac:dyDescent="0.25">
      <c r="A45" s="1">
        <v>2018</v>
      </c>
      <c r="B45" s="1">
        <v>3</v>
      </c>
      <c r="C45" s="1" t="s">
        <v>21</v>
      </c>
      <c r="D45" s="1" t="s">
        <v>22</v>
      </c>
      <c r="E45" s="1" t="s">
        <v>23</v>
      </c>
      <c r="F45" s="1" t="s">
        <v>34</v>
      </c>
      <c r="G45" s="1">
        <v>2697.9987797161998</v>
      </c>
      <c r="H45" s="1">
        <v>2703.6196104934002</v>
      </c>
      <c r="I45" s="1" t="s">
        <v>73</v>
      </c>
      <c r="J45" s="1" t="s">
        <v>86</v>
      </c>
      <c r="K45" s="1" t="s">
        <v>121</v>
      </c>
      <c r="L45" s="1">
        <v>281</v>
      </c>
      <c r="M45" s="1" t="s">
        <v>122</v>
      </c>
      <c r="N45" s="1" t="s">
        <v>157</v>
      </c>
    </row>
    <row r="46" spans="1:14" x14ac:dyDescent="0.25">
      <c r="A46" s="1">
        <v>2018</v>
      </c>
      <c r="B46" s="1">
        <v>3</v>
      </c>
      <c r="C46" s="1" t="s">
        <v>21</v>
      </c>
      <c r="D46" s="1" t="s">
        <v>22</v>
      </c>
      <c r="E46" s="1" t="s">
        <v>23</v>
      </c>
      <c r="F46" s="1" t="s">
        <v>34</v>
      </c>
      <c r="G46" s="1">
        <v>4608.6811895507999</v>
      </c>
      <c r="H46" s="1">
        <v>4618.2826086719997</v>
      </c>
      <c r="I46" s="1" t="s">
        <v>73</v>
      </c>
      <c r="J46" s="1" t="s">
        <v>86</v>
      </c>
      <c r="K46" s="1" t="s">
        <v>121</v>
      </c>
      <c r="L46" s="1">
        <v>480</v>
      </c>
      <c r="M46" s="1" t="s">
        <v>122</v>
      </c>
      <c r="N46" s="1" t="s">
        <v>158</v>
      </c>
    </row>
    <row r="47" spans="1:14" x14ac:dyDescent="0.25">
      <c r="A47" s="1">
        <v>2018</v>
      </c>
      <c r="B47" s="1">
        <v>3</v>
      </c>
      <c r="C47" s="1" t="s">
        <v>21</v>
      </c>
      <c r="D47" s="1" t="s">
        <v>22</v>
      </c>
      <c r="E47" s="1" t="s">
        <v>23</v>
      </c>
      <c r="F47" s="1" t="s">
        <v>34</v>
      </c>
      <c r="G47" s="1">
        <v>1392.2057760101</v>
      </c>
      <c r="H47" s="1">
        <v>1395.106204703</v>
      </c>
      <c r="I47" s="1" t="s">
        <v>73</v>
      </c>
      <c r="J47" s="1" t="s">
        <v>86</v>
      </c>
      <c r="K47" s="1" t="s">
        <v>121</v>
      </c>
      <c r="L47" s="1">
        <v>145</v>
      </c>
      <c r="M47" s="1" t="s">
        <v>122</v>
      </c>
      <c r="N47" s="1" t="s">
        <v>159</v>
      </c>
    </row>
    <row r="48" spans="1:14" x14ac:dyDescent="0.25">
      <c r="A48" s="1">
        <v>2018</v>
      </c>
      <c r="B48" s="1">
        <v>3</v>
      </c>
      <c r="C48" s="1" t="s">
        <v>21</v>
      </c>
      <c r="D48" s="1" t="s">
        <v>22</v>
      </c>
      <c r="E48" s="1" t="s">
        <v>23</v>
      </c>
      <c r="F48" s="1" t="s">
        <v>34</v>
      </c>
      <c r="G48" s="1">
        <v>1997.0951821387</v>
      </c>
      <c r="H48" s="1">
        <v>2001.2557970912001</v>
      </c>
      <c r="I48" s="1" t="s">
        <v>73</v>
      </c>
      <c r="J48" s="1" t="s">
        <v>86</v>
      </c>
      <c r="K48" s="1" t="s">
        <v>121</v>
      </c>
      <c r="L48" s="1">
        <v>208</v>
      </c>
      <c r="M48" s="1" t="s">
        <v>122</v>
      </c>
      <c r="N48" s="1" t="s">
        <v>160</v>
      </c>
    </row>
    <row r="49" spans="1:14" x14ac:dyDescent="0.25">
      <c r="A49" s="1">
        <v>2018</v>
      </c>
      <c r="B49" s="1">
        <v>3</v>
      </c>
      <c r="C49" s="1" t="s">
        <v>21</v>
      </c>
      <c r="D49" s="1" t="s">
        <v>22</v>
      </c>
      <c r="E49" s="1" t="s">
        <v>23</v>
      </c>
      <c r="F49" s="1" t="s">
        <v>34</v>
      </c>
      <c r="G49" s="1">
        <v>1344.1986802855999</v>
      </c>
      <c r="H49" s="1">
        <v>1346.999094196</v>
      </c>
      <c r="I49" s="1" t="s">
        <v>73</v>
      </c>
      <c r="J49" s="1" t="s">
        <v>86</v>
      </c>
      <c r="K49" s="1" t="s">
        <v>121</v>
      </c>
      <c r="L49" s="1">
        <v>140</v>
      </c>
      <c r="M49" s="1" t="s">
        <v>122</v>
      </c>
      <c r="N49" s="1" t="s">
        <v>161</v>
      </c>
    </row>
    <row r="50" spans="1:14" x14ac:dyDescent="0.25">
      <c r="A50" s="1">
        <v>2018</v>
      </c>
      <c r="B50" s="1">
        <v>3</v>
      </c>
      <c r="C50" s="1" t="s">
        <v>21</v>
      </c>
      <c r="D50" s="1" t="s">
        <v>22</v>
      </c>
      <c r="E50" s="1" t="s">
        <v>23</v>
      </c>
      <c r="F50" s="1" t="s">
        <v>34</v>
      </c>
      <c r="G50" s="1">
        <v>2304.3405947753999</v>
      </c>
      <c r="H50" s="1">
        <v>2309.1413043359998</v>
      </c>
      <c r="I50" s="1" t="s">
        <v>73</v>
      </c>
      <c r="J50" s="1" t="s">
        <v>86</v>
      </c>
      <c r="K50" s="1" t="s">
        <v>121</v>
      </c>
      <c r="L50" s="1">
        <v>240</v>
      </c>
      <c r="M50" s="1" t="s">
        <v>122</v>
      </c>
      <c r="N50" s="1" t="s">
        <v>162</v>
      </c>
    </row>
    <row r="51" spans="1:14" x14ac:dyDescent="0.25">
      <c r="A51" s="1">
        <v>2018</v>
      </c>
      <c r="B51" s="1">
        <v>3</v>
      </c>
      <c r="C51" s="1" t="s">
        <v>21</v>
      </c>
      <c r="D51" s="1" t="s">
        <v>22</v>
      </c>
      <c r="E51" s="1" t="s">
        <v>23</v>
      </c>
      <c r="F51" s="1" t="s">
        <v>32</v>
      </c>
      <c r="G51" s="1">
        <v>18863.913043478398</v>
      </c>
      <c r="H51" s="1">
        <v>18863.913043487999</v>
      </c>
      <c r="I51" s="1" t="s">
        <v>73</v>
      </c>
      <c r="J51" s="1" t="s">
        <v>86</v>
      </c>
      <c r="K51" s="1" t="s">
        <v>121</v>
      </c>
      <c r="L51" s="1">
        <v>480</v>
      </c>
      <c r="M51" s="1" t="s">
        <v>122</v>
      </c>
      <c r="N51" s="1" t="s">
        <v>163</v>
      </c>
    </row>
    <row r="52" spans="1:14" x14ac:dyDescent="0.25">
      <c r="A52" s="1">
        <v>2018</v>
      </c>
      <c r="B52" s="1">
        <v>3</v>
      </c>
      <c r="C52" s="1" t="s">
        <v>21</v>
      </c>
      <c r="D52" s="1" t="s">
        <v>22</v>
      </c>
      <c r="E52" s="1" t="s">
        <v>23</v>
      </c>
      <c r="F52" s="1" t="s">
        <v>32</v>
      </c>
      <c r="G52" s="1">
        <v>5659.1739130434999</v>
      </c>
      <c r="H52" s="1">
        <v>5659.1739130464002</v>
      </c>
      <c r="I52" s="1" t="s">
        <v>73</v>
      </c>
      <c r="J52" s="1" t="s">
        <v>86</v>
      </c>
      <c r="K52" s="1" t="s">
        <v>121</v>
      </c>
      <c r="L52" s="1">
        <v>144</v>
      </c>
      <c r="M52" s="1" t="s">
        <v>122</v>
      </c>
      <c r="N52" s="1" t="s">
        <v>164</v>
      </c>
    </row>
    <row r="53" spans="1:14" x14ac:dyDescent="0.25">
      <c r="A53" s="1">
        <v>2018</v>
      </c>
      <c r="B53" s="1">
        <v>3</v>
      </c>
      <c r="C53" s="1" t="s">
        <v>21</v>
      </c>
      <c r="D53" s="1" t="s">
        <v>22</v>
      </c>
      <c r="E53" s="1" t="s">
        <v>23</v>
      </c>
      <c r="F53" s="1" t="s">
        <v>32</v>
      </c>
      <c r="G53" s="1">
        <v>1886.3913043478001</v>
      </c>
      <c r="H53" s="1">
        <v>1886.3913043488001</v>
      </c>
      <c r="I53" s="1" t="s">
        <v>73</v>
      </c>
      <c r="J53" s="1" t="s">
        <v>86</v>
      </c>
      <c r="K53" s="1" t="s">
        <v>121</v>
      </c>
      <c r="L53" s="1">
        <v>48</v>
      </c>
      <c r="M53" s="1" t="s">
        <v>122</v>
      </c>
      <c r="N53" s="1" t="s">
        <v>165</v>
      </c>
    </row>
    <row r="54" spans="1:14" x14ac:dyDescent="0.25">
      <c r="A54" s="1">
        <v>2018</v>
      </c>
      <c r="B54" s="1">
        <v>3</v>
      </c>
      <c r="C54" s="1" t="s">
        <v>21</v>
      </c>
      <c r="D54" s="1" t="s">
        <v>22</v>
      </c>
      <c r="E54" s="1" t="s">
        <v>23</v>
      </c>
      <c r="F54" s="1" t="s">
        <v>34</v>
      </c>
      <c r="G54" s="1">
        <v>1276.9887462710999</v>
      </c>
      <c r="H54" s="1">
        <v>1279.6491394862001</v>
      </c>
      <c r="I54" s="1" t="s">
        <v>75</v>
      </c>
      <c r="J54" s="1" t="s">
        <v>88</v>
      </c>
      <c r="K54" s="1" t="s">
        <v>121</v>
      </c>
      <c r="L54" s="1">
        <v>133</v>
      </c>
      <c r="M54" s="1" t="s">
        <v>122</v>
      </c>
      <c r="N54" s="1" t="s">
        <v>166</v>
      </c>
    </row>
    <row r="55" spans="1:14" x14ac:dyDescent="0.25">
      <c r="A55" s="1">
        <v>2018</v>
      </c>
      <c r="B55" s="1">
        <v>3</v>
      </c>
      <c r="C55" s="1" t="s">
        <v>21</v>
      </c>
      <c r="D55" s="1" t="s">
        <v>22</v>
      </c>
      <c r="E55" s="1" t="s">
        <v>23</v>
      </c>
      <c r="F55" s="1" t="s">
        <v>32</v>
      </c>
      <c r="G55" s="1">
        <v>18863.9130434783</v>
      </c>
      <c r="H55" s="1">
        <v>18863.913043487999</v>
      </c>
      <c r="I55" s="1" t="s">
        <v>73</v>
      </c>
      <c r="J55" s="1" t="s">
        <v>93</v>
      </c>
      <c r="K55" s="1" t="s">
        <v>121</v>
      </c>
      <c r="L55" s="1">
        <v>480</v>
      </c>
      <c r="M55" s="1" t="s">
        <v>122</v>
      </c>
      <c r="N55" s="1" t="s">
        <v>167</v>
      </c>
    </row>
    <row r="56" spans="1:14" x14ac:dyDescent="0.25">
      <c r="A56" s="1">
        <v>2018</v>
      </c>
      <c r="B56" s="1">
        <v>3</v>
      </c>
      <c r="C56" s="1" t="s">
        <v>21</v>
      </c>
      <c r="D56" s="1" t="s">
        <v>22</v>
      </c>
      <c r="E56" s="1" t="s">
        <v>23</v>
      </c>
      <c r="F56" s="1" t="s">
        <v>32</v>
      </c>
      <c r="G56" s="1">
        <v>3694.1829710144998</v>
      </c>
      <c r="H56" s="1">
        <v>3694.1829710164002</v>
      </c>
      <c r="I56" s="1" t="s">
        <v>73</v>
      </c>
      <c r="J56" s="1" t="s">
        <v>93</v>
      </c>
      <c r="K56" s="1" t="s">
        <v>121</v>
      </c>
      <c r="L56" s="1">
        <v>94</v>
      </c>
      <c r="M56" s="1" t="s">
        <v>122</v>
      </c>
      <c r="N56" s="1" t="s">
        <v>140</v>
      </c>
    </row>
    <row r="57" spans="1:14" x14ac:dyDescent="0.25">
      <c r="A57" s="1">
        <v>2018</v>
      </c>
      <c r="B57" s="1">
        <v>3</v>
      </c>
      <c r="C57" s="1" t="s">
        <v>21</v>
      </c>
      <c r="D57" s="1" t="s">
        <v>22</v>
      </c>
      <c r="E57" s="1" t="s">
        <v>23</v>
      </c>
      <c r="F57" s="1" t="s">
        <v>32</v>
      </c>
      <c r="G57" s="1">
        <v>4087.1811594203</v>
      </c>
      <c r="H57" s="1">
        <v>4087.1811594224</v>
      </c>
      <c r="I57" s="1" t="s">
        <v>73</v>
      </c>
      <c r="J57" s="1" t="s">
        <v>93</v>
      </c>
      <c r="K57" s="1" t="s">
        <v>121</v>
      </c>
      <c r="L57" s="1">
        <v>104</v>
      </c>
      <c r="M57" s="1" t="s">
        <v>122</v>
      </c>
      <c r="N57" s="1" t="s">
        <v>142</v>
      </c>
    </row>
    <row r="58" spans="1:14" x14ac:dyDescent="0.25">
      <c r="A58" s="1">
        <v>2018</v>
      </c>
      <c r="B58" s="1">
        <v>3</v>
      </c>
      <c r="C58" s="1" t="s">
        <v>21</v>
      </c>
      <c r="D58" s="1" t="s">
        <v>22</v>
      </c>
      <c r="E58" s="1" t="s">
        <v>23</v>
      </c>
      <c r="F58" s="1" t="s">
        <v>32</v>
      </c>
      <c r="G58" s="1">
        <v>2868.8867753621998</v>
      </c>
      <c r="H58" s="1">
        <v>2868.8867753638001</v>
      </c>
      <c r="I58" s="1" t="s">
        <v>73</v>
      </c>
      <c r="J58" s="1" t="s">
        <v>93</v>
      </c>
      <c r="K58" s="1" t="s">
        <v>121</v>
      </c>
      <c r="L58" s="1">
        <v>73</v>
      </c>
      <c r="M58" s="1" t="s">
        <v>122</v>
      </c>
      <c r="N58" s="1" t="s">
        <v>144</v>
      </c>
    </row>
    <row r="59" spans="1:14" x14ac:dyDescent="0.25">
      <c r="A59" s="1">
        <v>2018</v>
      </c>
      <c r="B59" s="1">
        <v>3</v>
      </c>
      <c r="C59" s="1" t="s">
        <v>21</v>
      </c>
      <c r="D59" s="1" t="s">
        <v>22</v>
      </c>
      <c r="E59" s="1" t="s">
        <v>23</v>
      </c>
      <c r="F59" s="1" t="s">
        <v>32</v>
      </c>
      <c r="G59" s="1">
        <v>5501.9746376812</v>
      </c>
      <c r="H59" s="1">
        <v>5501.9746376840003</v>
      </c>
      <c r="I59" s="1" t="s">
        <v>73</v>
      </c>
      <c r="J59" s="1" t="s">
        <v>93</v>
      </c>
      <c r="K59" s="1" t="s">
        <v>121</v>
      </c>
      <c r="L59" s="1">
        <v>140</v>
      </c>
      <c r="M59" s="1" t="s">
        <v>122</v>
      </c>
      <c r="N59" s="1" t="s">
        <v>136</v>
      </c>
    </row>
    <row r="60" spans="1:14" x14ac:dyDescent="0.25">
      <c r="A60" s="1">
        <v>2018</v>
      </c>
      <c r="B60" s="1">
        <v>3</v>
      </c>
      <c r="C60" s="1" t="s">
        <v>21</v>
      </c>
      <c r="D60" s="1" t="s">
        <v>22</v>
      </c>
      <c r="E60" s="1" t="s">
        <v>23</v>
      </c>
      <c r="F60" s="1" t="s">
        <v>32</v>
      </c>
      <c r="G60" s="1">
        <v>5659.1739130434999</v>
      </c>
      <c r="H60" s="1">
        <v>5659.1739130464002</v>
      </c>
      <c r="I60" s="1" t="s">
        <v>73</v>
      </c>
      <c r="J60" s="1" t="s">
        <v>93</v>
      </c>
      <c r="K60" s="1" t="s">
        <v>121</v>
      </c>
      <c r="L60" s="1">
        <v>144</v>
      </c>
      <c r="M60" s="1" t="s">
        <v>122</v>
      </c>
      <c r="N60" s="1" t="s">
        <v>150</v>
      </c>
    </row>
    <row r="61" spans="1:14" x14ac:dyDescent="0.25">
      <c r="A61" s="1">
        <v>2018</v>
      </c>
      <c r="B61" s="1">
        <v>3</v>
      </c>
      <c r="C61" s="1" t="s">
        <v>21</v>
      </c>
      <c r="D61" s="1" t="s">
        <v>22</v>
      </c>
      <c r="E61" s="1" t="s">
        <v>23</v>
      </c>
      <c r="F61" s="1" t="s">
        <v>34</v>
      </c>
      <c r="G61" s="1">
        <v>432.0638615204</v>
      </c>
      <c r="H61" s="1">
        <v>432.96399456300003</v>
      </c>
      <c r="I61" s="1" t="s">
        <v>73</v>
      </c>
      <c r="J61" s="1" t="s">
        <v>93</v>
      </c>
      <c r="K61" s="1" t="s">
        <v>121</v>
      </c>
      <c r="L61" s="1">
        <v>45</v>
      </c>
      <c r="M61" s="1" t="s">
        <v>122</v>
      </c>
      <c r="N61" s="1" t="s">
        <v>168</v>
      </c>
    </row>
    <row r="62" spans="1:14" x14ac:dyDescent="0.25">
      <c r="A62" s="1">
        <v>2018</v>
      </c>
      <c r="B62" s="1">
        <v>3</v>
      </c>
      <c r="C62" s="1" t="s">
        <v>21</v>
      </c>
      <c r="D62" s="1" t="s">
        <v>22</v>
      </c>
      <c r="E62" s="1" t="s">
        <v>23</v>
      </c>
      <c r="F62" s="1" t="s">
        <v>34</v>
      </c>
      <c r="G62" s="1">
        <v>1977.8923438490001</v>
      </c>
      <c r="H62" s="1">
        <v>1982.0129528883999</v>
      </c>
      <c r="I62" s="1" t="s">
        <v>73</v>
      </c>
      <c r="J62" s="1" t="s">
        <v>82</v>
      </c>
      <c r="K62" s="1" t="s">
        <v>121</v>
      </c>
      <c r="L62" s="1">
        <v>206</v>
      </c>
      <c r="M62" s="1" t="s">
        <v>122</v>
      </c>
      <c r="N62" s="1" t="s">
        <v>169</v>
      </c>
    </row>
    <row r="63" spans="1:14" x14ac:dyDescent="0.25">
      <c r="A63" s="1">
        <v>2018</v>
      </c>
      <c r="B63" s="1">
        <v>3</v>
      </c>
      <c r="C63" s="1" t="s">
        <v>21</v>
      </c>
      <c r="D63" s="1" t="s">
        <v>22</v>
      </c>
      <c r="E63" s="1" t="s">
        <v>23</v>
      </c>
      <c r="F63" s="1" t="s">
        <v>32</v>
      </c>
      <c r="G63" s="1">
        <v>8174.3623188406</v>
      </c>
      <c r="H63" s="1">
        <v>8174.3623188448</v>
      </c>
      <c r="I63" s="1" t="s">
        <v>73</v>
      </c>
      <c r="J63" s="1" t="s">
        <v>82</v>
      </c>
      <c r="K63" s="1" t="s">
        <v>121</v>
      </c>
      <c r="L63" s="1">
        <v>208</v>
      </c>
      <c r="M63" s="1" t="s">
        <v>122</v>
      </c>
      <c r="N63" s="1" t="s">
        <v>170</v>
      </c>
    </row>
    <row r="64" spans="1:14" x14ac:dyDescent="0.25">
      <c r="A64" s="1">
        <v>2018</v>
      </c>
      <c r="B64" s="1">
        <v>3</v>
      </c>
      <c r="C64" s="1" t="s">
        <v>21</v>
      </c>
      <c r="D64" s="1" t="s">
        <v>22</v>
      </c>
      <c r="E64" s="1" t="s">
        <v>23</v>
      </c>
      <c r="F64" s="1" t="s">
        <v>34</v>
      </c>
      <c r="G64" s="1">
        <v>2054.7036970080999</v>
      </c>
      <c r="H64" s="1">
        <v>2058.9843296996</v>
      </c>
      <c r="I64" s="1" t="s">
        <v>73</v>
      </c>
      <c r="J64" s="1" t="s">
        <v>82</v>
      </c>
      <c r="K64" s="1" t="s">
        <v>121</v>
      </c>
      <c r="L64" s="1">
        <v>214</v>
      </c>
      <c r="M64" s="1" t="s">
        <v>122</v>
      </c>
      <c r="N64" s="1" t="s">
        <v>171</v>
      </c>
    </row>
    <row r="65" spans="1:14" x14ac:dyDescent="0.25">
      <c r="A65" s="1">
        <v>2018</v>
      </c>
      <c r="B65" s="1">
        <v>3</v>
      </c>
      <c r="C65" s="1" t="s">
        <v>21</v>
      </c>
      <c r="D65" s="1" t="s">
        <v>22</v>
      </c>
      <c r="E65" s="1" t="s">
        <v>23</v>
      </c>
      <c r="F65" s="1" t="s">
        <v>34</v>
      </c>
      <c r="G65" s="1">
        <v>1541.0277727560001</v>
      </c>
      <c r="H65" s="1">
        <v>1544.2382472746999</v>
      </c>
      <c r="I65" s="1" t="s">
        <v>73</v>
      </c>
      <c r="J65" s="1" t="s">
        <v>82</v>
      </c>
      <c r="K65" s="1" t="s">
        <v>121</v>
      </c>
      <c r="L65" s="1">
        <v>160.5</v>
      </c>
      <c r="M65" s="1" t="s">
        <v>122</v>
      </c>
      <c r="N65" s="1" t="s">
        <v>160</v>
      </c>
    </row>
    <row r="66" spans="1:14" x14ac:dyDescent="0.25">
      <c r="A66" s="1">
        <v>2018</v>
      </c>
      <c r="B66" s="1">
        <v>3</v>
      </c>
      <c r="C66" s="1" t="s">
        <v>21</v>
      </c>
      <c r="D66" s="1" t="s">
        <v>22</v>
      </c>
      <c r="E66" s="1" t="s">
        <v>23</v>
      </c>
      <c r="F66" s="1" t="s">
        <v>34</v>
      </c>
      <c r="G66" s="1">
        <v>763.31282201930003</v>
      </c>
      <c r="H66" s="1">
        <v>764.90305706130005</v>
      </c>
      <c r="I66" s="1" t="s">
        <v>73</v>
      </c>
      <c r="J66" s="1" t="s">
        <v>82</v>
      </c>
      <c r="K66" s="1" t="s">
        <v>121</v>
      </c>
      <c r="L66" s="1">
        <v>79.5</v>
      </c>
      <c r="M66" s="1" t="s">
        <v>122</v>
      </c>
      <c r="N66" s="1" t="s">
        <v>172</v>
      </c>
    </row>
    <row r="67" spans="1:14" x14ac:dyDescent="0.25">
      <c r="A67" s="1">
        <v>2018</v>
      </c>
      <c r="B67" s="1">
        <v>3</v>
      </c>
      <c r="C67" s="1" t="s">
        <v>21</v>
      </c>
      <c r="D67" s="1" t="s">
        <v>22</v>
      </c>
      <c r="E67" s="1" t="s">
        <v>23</v>
      </c>
      <c r="F67" s="1" t="s">
        <v>34</v>
      </c>
      <c r="G67" s="1">
        <v>1315.3944228508999</v>
      </c>
      <c r="H67" s="1">
        <v>1318.1348278917999</v>
      </c>
      <c r="I67" s="1" t="s">
        <v>73</v>
      </c>
      <c r="J67" s="1" t="s">
        <v>82</v>
      </c>
      <c r="K67" s="1" t="s">
        <v>121</v>
      </c>
      <c r="L67" s="1">
        <v>137</v>
      </c>
      <c r="M67" s="1" t="s">
        <v>122</v>
      </c>
      <c r="N67" s="1" t="s">
        <v>173</v>
      </c>
    </row>
    <row r="68" spans="1:14" x14ac:dyDescent="0.25">
      <c r="A68" s="1">
        <v>2018</v>
      </c>
      <c r="B68" s="1">
        <v>3</v>
      </c>
      <c r="C68" s="1" t="s">
        <v>21</v>
      </c>
      <c r="D68" s="1" t="s">
        <v>22</v>
      </c>
      <c r="E68" s="1" t="s">
        <v>23</v>
      </c>
      <c r="F68" s="1" t="s">
        <v>34</v>
      </c>
      <c r="G68" s="1">
        <v>772.91424116420001</v>
      </c>
      <c r="H68" s="1">
        <v>774.5244791627</v>
      </c>
      <c r="I68" s="1" t="s">
        <v>73</v>
      </c>
      <c r="J68" s="1" t="s">
        <v>82</v>
      </c>
      <c r="K68" s="1" t="s">
        <v>121</v>
      </c>
      <c r="L68" s="1">
        <v>80.5</v>
      </c>
      <c r="M68" s="1" t="s">
        <v>122</v>
      </c>
      <c r="N68" s="1" t="s">
        <v>129</v>
      </c>
    </row>
    <row r="69" spans="1:14" x14ac:dyDescent="0.25">
      <c r="A69" s="1">
        <v>2018</v>
      </c>
      <c r="B69" s="1">
        <v>3</v>
      </c>
      <c r="C69" s="1" t="s">
        <v>21</v>
      </c>
      <c r="D69" s="1" t="s">
        <v>22</v>
      </c>
      <c r="E69" s="1" t="s">
        <v>23</v>
      </c>
      <c r="F69" s="1" t="s">
        <v>32</v>
      </c>
      <c r="G69" s="1">
        <v>8174.3623188406</v>
      </c>
      <c r="H69" s="1">
        <v>8174.3623188448</v>
      </c>
      <c r="I69" s="1" t="s">
        <v>74</v>
      </c>
      <c r="J69" s="1" t="s">
        <v>78</v>
      </c>
      <c r="K69" s="1" t="s">
        <v>121</v>
      </c>
      <c r="L69" s="1">
        <v>208</v>
      </c>
      <c r="M69" s="1" t="s">
        <v>122</v>
      </c>
      <c r="N69" s="1" t="s">
        <v>170</v>
      </c>
    </row>
    <row r="70" spans="1:14" x14ac:dyDescent="0.25">
      <c r="A70" s="1">
        <v>2018</v>
      </c>
      <c r="B70" s="1">
        <v>3</v>
      </c>
      <c r="C70" s="1" t="s">
        <v>21</v>
      </c>
      <c r="D70" s="1" t="s">
        <v>22</v>
      </c>
      <c r="E70" s="1" t="s">
        <v>23</v>
      </c>
      <c r="F70" s="1" t="s">
        <v>34</v>
      </c>
      <c r="G70" s="1">
        <v>614.49082527339999</v>
      </c>
      <c r="H70" s="1">
        <v>615.77101448960002</v>
      </c>
      <c r="I70" s="1" t="s">
        <v>74</v>
      </c>
      <c r="J70" s="1" t="s">
        <v>78</v>
      </c>
      <c r="K70" s="1" t="s">
        <v>121</v>
      </c>
      <c r="L70" s="1">
        <v>64</v>
      </c>
      <c r="M70" s="1" t="s">
        <v>122</v>
      </c>
      <c r="N70" s="1" t="s">
        <v>174</v>
      </c>
    </row>
    <row r="71" spans="1:14" x14ac:dyDescent="0.25">
      <c r="A71" s="1">
        <v>2018</v>
      </c>
      <c r="B71" s="1">
        <v>3</v>
      </c>
      <c r="C71" s="1" t="s">
        <v>21</v>
      </c>
      <c r="D71" s="1" t="s">
        <v>22</v>
      </c>
      <c r="E71" s="1" t="s">
        <v>23</v>
      </c>
      <c r="F71" s="1" t="s">
        <v>34</v>
      </c>
      <c r="G71" s="1">
        <v>748.91069330200003</v>
      </c>
      <c r="H71" s="1">
        <v>750.4709239092</v>
      </c>
      <c r="I71" s="1" t="s">
        <v>74</v>
      </c>
      <c r="J71" s="1" t="s">
        <v>78</v>
      </c>
      <c r="K71" s="1" t="s">
        <v>121</v>
      </c>
      <c r="L71" s="1">
        <v>78</v>
      </c>
      <c r="M71" s="1" t="s">
        <v>122</v>
      </c>
      <c r="N71" s="1" t="s">
        <v>175</v>
      </c>
    </row>
    <row r="72" spans="1:14" x14ac:dyDescent="0.25">
      <c r="A72" s="1">
        <v>2018</v>
      </c>
      <c r="B72" s="1">
        <v>3</v>
      </c>
      <c r="C72" s="1" t="s">
        <v>21</v>
      </c>
      <c r="D72" s="1" t="s">
        <v>22</v>
      </c>
      <c r="E72" s="1" t="s">
        <v>23</v>
      </c>
      <c r="F72" s="1" t="s">
        <v>34</v>
      </c>
      <c r="G72" s="1">
        <v>1541.0277727560001</v>
      </c>
      <c r="H72" s="1">
        <v>1544.2382472746999</v>
      </c>
      <c r="I72" s="1" t="s">
        <v>74</v>
      </c>
      <c r="J72" s="1" t="s">
        <v>78</v>
      </c>
      <c r="K72" s="1" t="s">
        <v>121</v>
      </c>
      <c r="L72" s="1">
        <v>160.5</v>
      </c>
      <c r="M72" s="1" t="s">
        <v>122</v>
      </c>
      <c r="N72" s="1" t="s">
        <v>160</v>
      </c>
    </row>
    <row r="73" spans="1:14" x14ac:dyDescent="0.25">
      <c r="A73" s="1">
        <v>2018</v>
      </c>
      <c r="B73" s="1">
        <v>3</v>
      </c>
      <c r="C73" s="1" t="s">
        <v>21</v>
      </c>
      <c r="D73" s="1" t="s">
        <v>22</v>
      </c>
      <c r="E73" s="1" t="s">
        <v>23</v>
      </c>
      <c r="F73" s="1" t="s">
        <v>34</v>
      </c>
      <c r="G73" s="1">
        <v>763.31282201930003</v>
      </c>
      <c r="H73" s="1">
        <v>764.90305706130005</v>
      </c>
      <c r="I73" s="1" t="s">
        <v>74</v>
      </c>
      <c r="J73" s="1" t="s">
        <v>78</v>
      </c>
      <c r="K73" s="1" t="s">
        <v>121</v>
      </c>
      <c r="L73" s="1">
        <v>79.5</v>
      </c>
      <c r="M73" s="1" t="s">
        <v>122</v>
      </c>
      <c r="N73" s="1" t="s">
        <v>172</v>
      </c>
    </row>
    <row r="74" spans="1:14" x14ac:dyDescent="0.25">
      <c r="A74" s="1">
        <v>2018</v>
      </c>
      <c r="B74" s="1">
        <v>3</v>
      </c>
      <c r="C74" s="1" t="s">
        <v>21</v>
      </c>
      <c r="D74" s="1" t="s">
        <v>22</v>
      </c>
      <c r="E74" s="1" t="s">
        <v>23</v>
      </c>
      <c r="F74" s="1" t="s">
        <v>34</v>
      </c>
      <c r="G74" s="1">
        <v>1661.0455120674001</v>
      </c>
      <c r="H74" s="1">
        <v>1664.5060235422</v>
      </c>
      <c r="I74" s="1" t="s">
        <v>74</v>
      </c>
      <c r="J74" s="1" t="s">
        <v>78</v>
      </c>
      <c r="K74" s="1" t="s">
        <v>121</v>
      </c>
      <c r="L74" s="1">
        <v>173</v>
      </c>
      <c r="M74" s="1" t="s">
        <v>122</v>
      </c>
      <c r="N74" s="1" t="s">
        <v>124</v>
      </c>
    </row>
    <row r="75" spans="1:14" x14ac:dyDescent="0.25">
      <c r="A75" s="1">
        <v>2018</v>
      </c>
      <c r="B75" s="1">
        <v>3</v>
      </c>
      <c r="C75" s="1" t="s">
        <v>21</v>
      </c>
      <c r="D75" s="1" t="s">
        <v>22</v>
      </c>
      <c r="E75" s="1" t="s">
        <v>23</v>
      </c>
      <c r="F75" s="1" t="s">
        <v>34</v>
      </c>
      <c r="G75" s="1">
        <v>2304.3405947753999</v>
      </c>
      <c r="H75" s="1">
        <v>2309.1413043359998</v>
      </c>
      <c r="I75" s="1" t="s">
        <v>73</v>
      </c>
      <c r="J75" s="1" t="s">
        <v>85</v>
      </c>
      <c r="K75" s="1" t="s">
        <v>121</v>
      </c>
      <c r="L75" s="1">
        <v>240</v>
      </c>
      <c r="M75" s="1" t="s">
        <v>122</v>
      </c>
      <c r="N75" s="1" t="s">
        <v>176</v>
      </c>
    </row>
    <row r="76" spans="1:14" x14ac:dyDescent="0.25">
      <c r="A76" s="1">
        <v>2018</v>
      </c>
      <c r="B76" s="1">
        <v>3</v>
      </c>
      <c r="C76" s="1" t="s">
        <v>21</v>
      </c>
      <c r="D76" s="1" t="s">
        <v>22</v>
      </c>
      <c r="E76" s="1" t="s">
        <v>23</v>
      </c>
      <c r="F76" s="1" t="s">
        <v>34</v>
      </c>
      <c r="G76" s="1">
        <v>2313.9420139202998</v>
      </c>
      <c r="H76" s="1">
        <v>2318.7627264374</v>
      </c>
      <c r="I76" s="1" t="s">
        <v>73</v>
      </c>
      <c r="J76" s="1" t="s">
        <v>85</v>
      </c>
      <c r="K76" s="1" t="s">
        <v>121</v>
      </c>
      <c r="L76" s="1">
        <v>241</v>
      </c>
      <c r="M76" s="1" t="s">
        <v>122</v>
      </c>
      <c r="N76" s="1" t="s">
        <v>177</v>
      </c>
    </row>
    <row r="77" spans="1:14" x14ac:dyDescent="0.25">
      <c r="A77" s="1">
        <v>2018</v>
      </c>
      <c r="B77" s="1">
        <v>3</v>
      </c>
      <c r="C77" s="1" t="s">
        <v>21</v>
      </c>
      <c r="D77" s="1" t="s">
        <v>22</v>
      </c>
      <c r="E77" s="1" t="s">
        <v>23</v>
      </c>
      <c r="F77" s="1" t="s">
        <v>34</v>
      </c>
      <c r="G77" s="1">
        <v>2304.3405947753999</v>
      </c>
      <c r="H77" s="1">
        <v>2309.1413043359998</v>
      </c>
      <c r="I77" s="1" t="s">
        <v>73</v>
      </c>
      <c r="J77" s="1" t="s">
        <v>85</v>
      </c>
      <c r="K77" s="1" t="s">
        <v>121</v>
      </c>
      <c r="L77" s="1">
        <v>240</v>
      </c>
      <c r="M77" s="1" t="s">
        <v>122</v>
      </c>
      <c r="N77" s="1" t="s">
        <v>178</v>
      </c>
    </row>
    <row r="78" spans="1:14" x14ac:dyDescent="0.25">
      <c r="A78" s="1">
        <v>2018</v>
      </c>
      <c r="B78" s="1">
        <v>3</v>
      </c>
      <c r="C78" s="1" t="s">
        <v>21</v>
      </c>
      <c r="D78" s="1" t="s">
        <v>22</v>
      </c>
      <c r="E78" s="1" t="s">
        <v>23</v>
      </c>
      <c r="F78" s="1" t="s">
        <v>34</v>
      </c>
      <c r="G78" s="1">
        <v>614.49082527339999</v>
      </c>
      <c r="H78" s="1">
        <v>615.77101448960002</v>
      </c>
      <c r="I78" s="1" t="s">
        <v>73</v>
      </c>
      <c r="J78" s="1" t="s">
        <v>85</v>
      </c>
      <c r="K78" s="1" t="s">
        <v>121</v>
      </c>
      <c r="L78" s="1">
        <v>64</v>
      </c>
      <c r="M78" s="1" t="s">
        <v>122</v>
      </c>
      <c r="N78" s="1" t="s">
        <v>174</v>
      </c>
    </row>
    <row r="79" spans="1:14" x14ac:dyDescent="0.25">
      <c r="A79" s="1">
        <v>2018</v>
      </c>
      <c r="B79" s="1">
        <v>3</v>
      </c>
      <c r="C79" s="1" t="s">
        <v>21</v>
      </c>
      <c r="D79" s="1" t="s">
        <v>22</v>
      </c>
      <c r="E79" s="1" t="s">
        <v>23</v>
      </c>
      <c r="F79" s="1" t="s">
        <v>34</v>
      </c>
      <c r="G79" s="1">
        <v>4608.6811895507999</v>
      </c>
      <c r="H79" s="1">
        <v>4618.2826086719997</v>
      </c>
      <c r="I79" s="1" t="s">
        <v>73</v>
      </c>
      <c r="J79" s="1" t="s">
        <v>85</v>
      </c>
      <c r="K79" s="1" t="s">
        <v>121</v>
      </c>
      <c r="L79" s="1">
        <v>480</v>
      </c>
      <c r="M79" s="1" t="s">
        <v>122</v>
      </c>
      <c r="N79" s="1" t="s">
        <v>174</v>
      </c>
    </row>
    <row r="80" spans="1:14" x14ac:dyDescent="0.25">
      <c r="A80" s="1">
        <v>2018</v>
      </c>
      <c r="B80" s="1">
        <v>3</v>
      </c>
      <c r="C80" s="1" t="s">
        <v>21</v>
      </c>
      <c r="D80" s="1" t="s">
        <v>22</v>
      </c>
      <c r="E80" s="1" t="s">
        <v>23</v>
      </c>
      <c r="F80" s="1" t="s">
        <v>34</v>
      </c>
      <c r="G80" s="1">
        <v>3072.4541263671999</v>
      </c>
      <c r="H80" s="1">
        <v>3078.8550724480001</v>
      </c>
      <c r="I80" s="1" t="s">
        <v>73</v>
      </c>
      <c r="J80" s="1" t="s">
        <v>85</v>
      </c>
      <c r="K80" s="1" t="s">
        <v>121</v>
      </c>
      <c r="L80" s="1">
        <v>320</v>
      </c>
      <c r="M80" s="1" t="s">
        <v>122</v>
      </c>
      <c r="N80" s="1" t="s">
        <v>174</v>
      </c>
    </row>
    <row r="81" spans="1:14" x14ac:dyDescent="0.25">
      <c r="A81" s="1">
        <v>2018</v>
      </c>
      <c r="B81" s="1">
        <v>3</v>
      </c>
      <c r="C81" s="1" t="s">
        <v>21</v>
      </c>
      <c r="D81" s="1" t="s">
        <v>22</v>
      </c>
      <c r="E81" s="1" t="s">
        <v>23</v>
      </c>
      <c r="F81" s="1" t="s">
        <v>34</v>
      </c>
      <c r="G81" s="1">
        <v>1977.8923438489001</v>
      </c>
      <c r="H81" s="1">
        <v>1982.0129528883999</v>
      </c>
      <c r="I81" s="1" t="s">
        <v>73</v>
      </c>
      <c r="J81" s="1" t="s">
        <v>85</v>
      </c>
      <c r="K81" s="1" t="s">
        <v>121</v>
      </c>
      <c r="L81" s="1">
        <v>206</v>
      </c>
      <c r="M81" s="1" t="s">
        <v>122</v>
      </c>
      <c r="N81" s="1" t="s">
        <v>175</v>
      </c>
    </row>
    <row r="82" spans="1:14" x14ac:dyDescent="0.25">
      <c r="A82" s="1">
        <v>2018</v>
      </c>
      <c r="B82" s="1">
        <v>3</v>
      </c>
      <c r="C82" s="1" t="s">
        <v>21</v>
      </c>
      <c r="D82" s="1" t="s">
        <v>22</v>
      </c>
      <c r="E82" s="1" t="s">
        <v>23</v>
      </c>
      <c r="F82" s="1" t="s">
        <v>34</v>
      </c>
      <c r="G82" s="1">
        <v>1276.9887462714</v>
      </c>
      <c r="H82" s="1">
        <v>1279.6491394862001</v>
      </c>
      <c r="I82" s="1" t="s">
        <v>73</v>
      </c>
      <c r="J82" s="1" t="s">
        <v>85</v>
      </c>
      <c r="K82" s="1" t="s">
        <v>121</v>
      </c>
      <c r="L82" s="1">
        <v>133</v>
      </c>
      <c r="M82" s="1" t="s">
        <v>122</v>
      </c>
      <c r="N82" s="1" t="s">
        <v>179</v>
      </c>
    </row>
    <row r="83" spans="1:14" x14ac:dyDescent="0.25">
      <c r="A83" s="1">
        <v>2018</v>
      </c>
      <c r="B83" s="1">
        <v>3</v>
      </c>
      <c r="C83" s="1" t="s">
        <v>21</v>
      </c>
      <c r="D83" s="1" t="s">
        <v>22</v>
      </c>
      <c r="E83" s="1" t="s">
        <v>23</v>
      </c>
      <c r="F83" s="1" t="s">
        <v>34</v>
      </c>
      <c r="G83" s="1">
        <v>1315.3944228508999</v>
      </c>
      <c r="H83" s="1">
        <v>1318.1348278917999</v>
      </c>
      <c r="I83" s="1" t="s">
        <v>73</v>
      </c>
      <c r="J83" s="1" t="s">
        <v>85</v>
      </c>
      <c r="K83" s="1" t="s">
        <v>121</v>
      </c>
      <c r="L83" s="1">
        <v>137</v>
      </c>
      <c r="M83" s="1" t="s">
        <v>122</v>
      </c>
      <c r="N83" s="1" t="s">
        <v>175</v>
      </c>
    </row>
    <row r="84" spans="1:14" x14ac:dyDescent="0.25">
      <c r="A84" s="1">
        <v>2018</v>
      </c>
      <c r="B84" s="1">
        <v>3</v>
      </c>
      <c r="C84" s="1" t="s">
        <v>21</v>
      </c>
      <c r="D84" s="1" t="s">
        <v>22</v>
      </c>
      <c r="E84" s="1" t="s">
        <v>23</v>
      </c>
      <c r="F84" s="1" t="s">
        <v>34</v>
      </c>
      <c r="G84" s="1">
        <v>1536.2270631836</v>
      </c>
      <c r="H84" s="1">
        <v>1539.4275362240001</v>
      </c>
      <c r="I84" s="1" t="s">
        <v>73</v>
      </c>
      <c r="J84" s="1" t="s">
        <v>85</v>
      </c>
      <c r="K84" s="1" t="s">
        <v>121</v>
      </c>
      <c r="L84" s="1">
        <v>160</v>
      </c>
      <c r="M84" s="1" t="s">
        <v>122</v>
      </c>
      <c r="N84" s="1" t="s">
        <v>180</v>
      </c>
    </row>
    <row r="85" spans="1:14" x14ac:dyDescent="0.25">
      <c r="A85" s="1">
        <v>2018</v>
      </c>
      <c r="B85" s="1">
        <v>3</v>
      </c>
      <c r="C85" s="1" t="s">
        <v>21</v>
      </c>
      <c r="D85" s="1" t="s">
        <v>22</v>
      </c>
      <c r="E85" s="1" t="s">
        <v>23</v>
      </c>
      <c r="F85" s="1" t="s">
        <v>34</v>
      </c>
      <c r="G85" s="1">
        <v>1315.3944228508999</v>
      </c>
      <c r="H85" s="1">
        <v>1318.1348278917999</v>
      </c>
      <c r="I85" s="1" t="s">
        <v>73</v>
      </c>
      <c r="J85" s="1" t="s">
        <v>85</v>
      </c>
      <c r="K85" s="1" t="s">
        <v>121</v>
      </c>
      <c r="L85" s="1">
        <v>137</v>
      </c>
      <c r="M85" s="1" t="s">
        <v>122</v>
      </c>
      <c r="N85" s="1" t="s">
        <v>181</v>
      </c>
    </row>
    <row r="86" spans="1:14" x14ac:dyDescent="0.25">
      <c r="A86" s="1">
        <v>2018</v>
      </c>
      <c r="B86" s="1">
        <v>3</v>
      </c>
      <c r="C86" s="1" t="s">
        <v>21</v>
      </c>
      <c r="D86" s="1" t="s">
        <v>22</v>
      </c>
      <c r="E86" s="1" t="s">
        <v>23</v>
      </c>
      <c r="F86" s="1" t="s">
        <v>34</v>
      </c>
      <c r="G86" s="1">
        <v>144.02128717350001</v>
      </c>
      <c r="H86" s="1">
        <v>144.32133152099999</v>
      </c>
      <c r="I86" s="1" t="s">
        <v>73</v>
      </c>
      <c r="J86" s="1" t="s">
        <v>85</v>
      </c>
      <c r="K86" s="1" t="s">
        <v>121</v>
      </c>
      <c r="L86" s="1">
        <v>15</v>
      </c>
      <c r="M86" s="1" t="s">
        <v>122</v>
      </c>
      <c r="N86" s="1" t="s">
        <v>182</v>
      </c>
    </row>
    <row r="87" spans="1:14" x14ac:dyDescent="0.25">
      <c r="A87" s="1">
        <v>2018</v>
      </c>
      <c r="B87" s="1">
        <v>3</v>
      </c>
      <c r="C87" s="1" t="s">
        <v>21</v>
      </c>
      <c r="D87" s="1" t="s">
        <v>22</v>
      </c>
      <c r="E87" s="1" t="s">
        <v>23</v>
      </c>
      <c r="F87" s="1" t="s">
        <v>34</v>
      </c>
      <c r="G87" s="1">
        <v>969.7433336345</v>
      </c>
      <c r="H87" s="1">
        <v>971.76363224140005</v>
      </c>
      <c r="I87" s="1" t="s">
        <v>73</v>
      </c>
      <c r="J87" s="1" t="s">
        <v>85</v>
      </c>
      <c r="K87" s="1" t="s">
        <v>121</v>
      </c>
      <c r="L87" s="1">
        <v>101</v>
      </c>
      <c r="M87" s="1" t="s">
        <v>122</v>
      </c>
      <c r="N87" s="1" t="s">
        <v>159</v>
      </c>
    </row>
    <row r="88" spans="1:14" x14ac:dyDescent="0.25">
      <c r="A88" s="1">
        <v>2018</v>
      </c>
      <c r="B88" s="1">
        <v>3</v>
      </c>
      <c r="C88" s="1" t="s">
        <v>21</v>
      </c>
      <c r="D88" s="1" t="s">
        <v>22</v>
      </c>
      <c r="E88" s="1" t="s">
        <v>23</v>
      </c>
      <c r="F88" s="1" t="s">
        <v>34</v>
      </c>
      <c r="G88" s="1">
        <v>1536.2270631836</v>
      </c>
      <c r="H88" s="1">
        <v>1539.4275362240001</v>
      </c>
      <c r="I88" s="1" t="s">
        <v>73</v>
      </c>
      <c r="J88" s="1" t="s">
        <v>85</v>
      </c>
      <c r="K88" s="1" t="s">
        <v>121</v>
      </c>
      <c r="L88" s="1">
        <v>160</v>
      </c>
      <c r="M88" s="1" t="s">
        <v>122</v>
      </c>
      <c r="N88" s="1" t="s">
        <v>183</v>
      </c>
    </row>
    <row r="89" spans="1:14" x14ac:dyDescent="0.25">
      <c r="A89" s="1">
        <v>2018</v>
      </c>
      <c r="B89" s="1">
        <v>3</v>
      </c>
      <c r="C89" s="1" t="s">
        <v>21</v>
      </c>
      <c r="D89" s="1" t="s">
        <v>22</v>
      </c>
      <c r="E89" s="1" t="s">
        <v>23</v>
      </c>
      <c r="F89" s="1" t="s">
        <v>34</v>
      </c>
      <c r="G89" s="1">
        <v>1008.1490102142</v>
      </c>
      <c r="H89" s="1">
        <v>1010.249320647</v>
      </c>
      <c r="I89" s="1" t="s">
        <v>73</v>
      </c>
      <c r="J89" s="1" t="s">
        <v>85</v>
      </c>
      <c r="K89" s="1" t="s">
        <v>121</v>
      </c>
      <c r="L89" s="1">
        <v>105</v>
      </c>
      <c r="M89" s="1" t="s">
        <v>122</v>
      </c>
      <c r="N89" s="1" t="s">
        <v>184</v>
      </c>
    </row>
    <row r="90" spans="1:14" x14ac:dyDescent="0.25">
      <c r="A90" s="1">
        <v>2018</v>
      </c>
      <c r="B90" s="1">
        <v>3</v>
      </c>
      <c r="C90" s="1" t="s">
        <v>21</v>
      </c>
      <c r="D90" s="1" t="s">
        <v>22</v>
      </c>
      <c r="E90" s="1" t="s">
        <v>23</v>
      </c>
      <c r="F90" s="1" t="s">
        <v>34</v>
      </c>
      <c r="G90" s="1">
        <v>1200.1773931122</v>
      </c>
      <c r="H90" s="1">
        <v>1202.6777626749999</v>
      </c>
      <c r="I90" s="1" t="s">
        <v>73</v>
      </c>
      <c r="J90" s="1" t="s">
        <v>85</v>
      </c>
      <c r="K90" s="1" t="s">
        <v>121</v>
      </c>
      <c r="L90" s="1">
        <v>125</v>
      </c>
      <c r="M90" s="1" t="s">
        <v>122</v>
      </c>
      <c r="N90" s="1" t="s">
        <v>184</v>
      </c>
    </row>
    <row r="91" spans="1:14" x14ac:dyDescent="0.25">
      <c r="A91" s="1">
        <v>2018</v>
      </c>
      <c r="B91" s="1">
        <v>3</v>
      </c>
      <c r="C91" s="1" t="s">
        <v>21</v>
      </c>
      <c r="D91" s="1" t="s">
        <v>22</v>
      </c>
      <c r="E91" s="1" t="s">
        <v>23</v>
      </c>
      <c r="F91" s="1" t="s">
        <v>34</v>
      </c>
      <c r="G91" s="1">
        <v>1824.2696375304999</v>
      </c>
      <c r="H91" s="1">
        <v>1828.0701992659999</v>
      </c>
      <c r="I91" s="1" t="s">
        <v>73</v>
      </c>
      <c r="J91" s="1" t="s">
        <v>85</v>
      </c>
      <c r="K91" s="1" t="s">
        <v>121</v>
      </c>
      <c r="L91" s="1">
        <v>190</v>
      </c>
      <c r="M91" s="1" t="s">
        <v>122</v>
      </c>
      <c r="N91" s="1" t="s">
        <v>185</v>
      </c>
    </row>
    <row r="92" spans="1:14" x14ac:dyDescent="0.25">
      <c r="A92" s="1">
        <v>2018</v>
      </c>
      <c r="B92" s="1">
        <v>3</v>
      </c>
      <c r="C92" s="1" t="s">
        <v>21</v>
      </c>
      <c r="D92" s="1" t="s">
        <v>22</v>
      </c>
      <c r="E92" s="1" t="s">
        <v>23</v>
      </c>
      <c r="F92" s="1" t="s">
        <v>34</v>
      </c>
      <c r="G92" s="1">
        <v>1862.6753141101001</v>
      </c>
      <c r="H92" s="1">
        <v>1866.5558876716</v>
      </c>
      <c r="I92" s="1" t="s">
        <v>73</v>
      </c>
      <c r="J92" s="1" t="s">
        <v>85</v>
      </c>
      <c r="K92" s="1" t="s">
        <v>121</v>
      </c>
      <c r="L92" s="1">
        <v>194</v>
      </c>
      <c r="M92" s="1" t="s">
        <v>122</v>
      </c>
      <c r="N92" s="1" t="s">
        <v>186</v>
      </c>
    </row>
    <row r="93" spans="1:14" x14ac:dyDescent="0.25">
      <c r="A93" s="1">
        <v>2018</v>
      </c>
      <c r="B93" s="1">
        <v>3</v>
      </c>
      <c r="C93" s="1" t="s">
        <v>21</v>
      </c>
      <c r="D93" s="1" t="s">
        <v>22</v>
      </c>
      <c r="E93" s="1" t="s">
        <v>23</v>
      </c>
      <c r="F93" s="1" t="s">
        <v>32</v>
      </c>
      <c r="G93" s="1">
        <v>18863.9130434783</v>
      </c>
      <c r="H93" s="1">
        <v>18863.913043487999</v>
      </c>
      <c r="I93" s="1" t="s">
        <v>73</v>
      </c>
      <c r="J93" s="1" t="s">
        <v>87</v>
      </c>
      <c r="K93" s="1" t="s">
        <v>121</v>
      </c>
      <c r="L93" s="1">
        <v>480</v>
      </c>
      <c r="M93" s="1" t="s">
        <v>122</v>
      </c>
      <c r="N93" s="1" t="s">
        <v>187</v>
      </c>
    </row>
    <row r="94" spans="1:14" x14ac:dyDescent="0.25">
      <c r="A94" s="1">
        <v>2018</v>
      </c>
      <c r="B94" s="1">
        <v>3</v>
      </c>
      <c r="C94" s="1" t="s">
        <v>21</v>
      </c>
      <c r="D94" s="1" t="s">
        <v>22</v>
      </c>
      <c r="E94" s="1" t="s">
        <v>23</v>
      </c>
      <c r="F94" s="1" t="s">
        <v>34</v>
      </c>
      <c r="G94" s="1">
        <v>681.70075928769995</v>
      </c>
      <c r="H94" s="1">
        <v>683.12096919939995</v>
      </c>
      <c r="I94" s="1" t="s">
        <v>73</v>
      </c>
      <c r="J94" s="1" t="s">
        <v>87</v>
      </c>
      <c r="K94" s="1" t="s">
        <v>121</v>
      </c>
      <c r="L94" s="1">
        <v>71</v>
      </c>
      <c r="M94" s="1" t="s">
        <v>122</v>
      </c>
      <c r="N94" s="1" t="s">
        <v>188</v>
      </c>
    </row>
    <row r="95" spans="1:14" x14ac:dyDescent="0.25">
      <c r="A95" s="1">
        <v>2018</v>
      </c>
      <c r="B95" s="1">
        <v>3</v>
      </c>
      <c r="C95" s="1" t="s">
        <v>21</v>
      </c>
      <c r="D95" s="1" t="s">
        <v>22</v>
      </c>
      <c r="E95" s="1" t="s">
        <v>23</v>
      </c>
      <c r="F95" s="1" t="s">
        <v>34</v>
      </c>
      <c r="G95" s="1">
        <v>48.007095724499997</v>
      </c>
      <c r="H95" s="1">
        <v>48.107110507000002</v>
      </c>
      <c r="I95" s="1" t="s">
        <v>73</v>
      </c>
      <c r="J95" s="1" t="s">
        <v>87</v>
      </c>
      <c r="K95" s="1" t="s">
        <v>121</v>
      </c>
      <c r="L95" s="1">
        <v>5</v>
      </c>
      <c r="M95" s="1" t="s">
        <v>122</v>
      </c>
      <c r="N95" s="1" t="s">
        <v>135</v>
      </c>
    </row>
    <row r="96" spans="1:14" x14ac:dyDescent="0.25">
      <c r="A96" s="1">
        <v>2018</v>
      </c>
      <c r="B96" s="1">
        <v>3</v>
      </c>
      <c r="C96" s="1" t="s">
        <v>21</v>
      </c>
      <c r="D96" s="1" t="s">
        <v>22</v>
      </c>
      <c r="E96" s="1" t="s">
        <v>23</v>
      </c>
      <c r="F96" s="1" t="s">
        <v>34</v>
      </c>
      <c r="G96" s="1">
        <v>748.91069330200003</v>
      </c>
      <c r="H96" s="1">
        <v>750.4709239092</v>
      </c>
      <c r="I96" s="1" t="s">
        <v>73</v>
      </c>
      <c r="J96" s="1" t="s">
        <v>87</v>
      </c>
      <c r="K96" s="1" t="s">
        <v>121</v>
      </c>
      <c r="L96" s="1">
        <v>78</v>
      </c>
      <c r="M96" s="1" t="s">
        <v>122</v>
      </c>
      <c r="N96" s="1" t="s">
        <v>189</v>
      </c>
    </row>
    <row r="97" spans="1:14" x14ac:dyDescent="0.25">
      <c r="A97" s="1">
        <v>2018</v>
      </c>
      <c r="B97" s="1">
        <v>3</v>
      </c>
      <c r="C97" s="1" t="s">
        <v>21</v>
      </c>
      <c r="D97" s="1" t="s">
        <v>22</v>
      </c>
      <c r="E97" s="1" t="s">
        <v>23</v>
      </c>
      <c r="F97" s="1" t="s">
        <v>34</v>
      </c>
      <c r="G97" s="1">
        <v>1536.2270631836</v>
      </c>
      <c r="H97" s="1">
        <v>1539.4275362240001</v>
      </c>
      <c r="I97" s="1" t="s">
        <v>73</v>
      </c>
      <c r="J97" s="1" t="s">
        <v>87</v>
      </c>
      <c r="K97" s="1" t="s">
        <v>121</v>
      </c>
      <c r="L97" s="1">
        <v>160</v>
      </c>
      <c r="M97" s="1" t="s">
        <v>122</v>
      </c>
      <c r="N97" s="1" t="s">
        <v>190</v>
      </c>
    </row>
    <row r="98" spans="1:14" x14ac:dyDescent="0.25">
      <c r="A98" s="1">
        <v>2018</v>
      </c>
      <c r="B98" s="1">
        <v>3</v>
      </c>
      <c r="C98" s="1" t="s">
        <v>21</v>
      </c>
      <c r="D98" s="1" t="s">
        <v>22</v>
      </c>
      <c r="E98" s="1" t="s">
        <v>23</v>
      </c>
      <c r="F98" s="1" t="s">
        <v>34</v>
      </c>
      <c r="G98" s="1">
        <v>1977.8923438489001</v>
      </c>
      <c r="H98" s="1">
        <v>1982.0129528883999</v>
      </c>
      <c r="I98" s="1" t="s">
        <v>73</v>
      </c>
      <c r="J98" s="1" t="s">
        <v>87</v>
      </c>
      <c r="K98" s="1" t="s">
        <v>121</v>
      </c>
      <c r="L98" s="1">
        <v>206</v>
      </c>
      <c r="M98" s="1" t="s">
        <v>122</v>
      </c>
      <c r="N98" s="1" t="s">
        <v>177</v>
      </c>
    </row>
    <row r="99" spans="1:14" x14ac:dyDescent="0.25">
      <c r="A99" s="1">
        <v>2018</v>
      </c>
      <c r="B99" s="1">
        <v>3</v>
      </c>
      <c r="C99" s="1" t="s">
        <v>21</v>
      </c>
      <c r="D99" s="1" t="s">
        <v>22</v>
      </c>
      <c r="E99" s="1" t="s">
        <v>23</v>
      </c>
      <c r="F99" s="1" t="s">
        <v>34</v>
      </c>
      <c r="G99" s="1">
        <v>2304.3405947752999</v>
      </c>
      <c r="H99" s="1">
        <v>2309.1413043359998</v>
      </c>
      <c r="I99" s="1" t="s">
        <v>74</v>
      </c>
      <c r="J99" s="1" t="s">
        <v>92</v>
      </c>
      <c r="K99" s="1" t="s">
        <v>121</v>
      </c>
      <c r="L99" s="1">
        <v>240</v>
      </c>
      <c r="M99" s="1" t="s">
        <v>122</v>
      </c>
      <c r="N99" s="1" t="s">
        <v>191</v>
      </c>
    </row>
    <row r="100" spans="1:14" x14ac:dyDescent="0.25">
      <c r="A100" s="1">
        <v>2018</v>
      </c>
      <c r="B100" s="1">
        <v>3</v>
      </c>
      <c r="C100" s="1" t="s">
        <v>21</v>
      </c>
      <c r="D100" s="1" t="s">
        <v>22</v>
      </c>
      <c r="E100" s="1" t="s">
        <v>23</v>
      </c>
      <c r="F100" s="1" t="s">
        <v>34</v>
      </c>
      <c r="G100" s="1">
        <v>2304.3405947753999</v>
      </c>
      <c r="H100" s="1">
        <v>2309.1413043359998</v>
      </c>
      <c r="I100" s="1" t="s">
        <v>74</v>
      </c>
      <c r="J100" s="1" t="s">
        <v>92</v>
      </c>
      <c r="K100" s="1" t="s">
        <v>121</v>
      </c>
      <c r="L100" s="1">
        <v>240</v>
      </c>
      <c r="M100" s="1" t="s">
        <v>122</v>
      </c>
      <c r="N100" s="1" t="s">
        <v>192</v>
      </c>
    </row>
    <row r="101" spans="1:14" x14ac:dyDescent="0.25">
      <c r="A101" s="1">
        <v>2018</v>
      </c>
      <c r="B101" s="1">
        <v>3</v>
      </c>
      <c r="C101" s="1" t="s">
        <v>21</v>
      </c>
      <c r="D101" s="1" t="s">
        <v>22</v>
      </c>
      <c r="E101" s="1" t="s">
        <v>23</v>
      </c>
      <c r="F101" s="1" t="s">
        <v>34</v>
      </c>
      <c r="G101" s="1">
        <v>4608.6811895506999</v>
      </c>
      <c r="H101" s="1">
        <v>4618.2826086719997</v>
      </c>
      <c r="I101" s="1" t="s">
        <v>74</v>
      </c>
      <c r="J101" s="1" t="s">
        <v>92</v>
      </c>
      <c r="K101" s="1" t="s">
        <v>121</v>
      </c>
      <c r="L101" s="1">
        <v>480</v>
      </c>
      <c r="M101" s="1" t="s">
        <v>122</v>
      </c>
      <c r="N101" s="1" t="s">
        <v>51</v>
      </c>
    </row>
    <row r="102" spans="1:14" x14ac:dyDescent="0.25">
      <c r="A102" s="1">
        <v>2018</v>
      </c>
      <c r="B102" s="1">
        <v>3</v>
      </c>
      <c r="C102" s="1" t="s">
        <v>21</v>
      </c>
      <c r="D102" s="1" t="s">
        <v>22</v>
      </c>
      <c r="E102" s="1" t="s">
        <v>23</v>
      </c>
      <c r="F102" s="1" t="s">
        <v>34</v>
      </c>
      <c r="G102" s="1">
        <v>2304.3405947753999</v>
      </c>
      <c r="H102" s="1">
        <v>2309.1413043359998</v>
      </c>
      <c r="I102" s="1" t="s">
        <v>74</v>
      </c>
      <c r="J102" s="1" t="s">
        <v>92</v>
      </c>
      <c r="K102" s="1" t="s">
        <v>121</v>
      </c>
      <c r="L102" s="1">
        <v>240</v>
      </c>
      <c r="M102" s="1" t="s">
        <v>122</v>
      </c>
      <c r="N102" s="1" t="s">
        <v>53</v>
      </c>
    </row>
    <row r="103" spans="1:14" x14ac:dyDescent="0.25">
      <c r="A103" s="1">
        <v>2018</v>
      </c>
      <c r="B103" s="1">
        <v>3</v>
      </c>
      <c r="C103" s="1" t="s">
        <v>21</v>
      </c>
      <c r="D103" s="1" t="s">
        <v>22</v>
      </c>
      <c r="E103" s="1" t="s">
        <v>23</v>
      </c>
      <c r="F103" s="1" t="s">
        <v>34</v>
      </c>
      <c r="G103" s="1">
        <v>1281.7894558437999</v>
      </c>
      <c r="H103" s="1">
        <v>1284.4598505368999</v>
      </c>
      <c r="I103" s="1" t="s">
        <v>74</v>
      </c>
      <c r="J103" s="1" t="s">
        <v>92</v>
      </c>
      <c r="K103" s="1" t="s">
        <v>121</v>
      </c>
      <c r="L103" s="1">
        <v>133.5</v>
      </c>
      <c r="M103" s="1" t="s">
        <v>122</v>
      </c>
      <c r="N103" s="1" t="s">
        <v>53</v>
      </c>
    </row>
    <row r="104" spans="1:14" x14ac:dyDescent="0.25">
      <c r="A104" s="1">
        <v>2018</v>
      </c>
      <c r="B104" s="1">
        <v>3</v>
      </c>
      <c r="C104" s="1" t="s">
        <v>21</v>
      </c>
      <c r="D104" s="1" t="s">
        <v>22</v>
      </c>
      <c r="E104" s="1" t="s">
        <v>23</v>
      </c>
      <c r="F104" s="1" t="s">
        <v>34</v>
      </c>
      <c r="G104" s="1">
        <v>2304.3405947753999</v>
      </c>
      <c r="H104" s="1">
        <v>2309.1413043359998</v>
      </c>
      <c r="I104" s="1" t="s">
        <v>74</v>
      </c>
      <c r="J104" s="1" t="s">
        <v>92</v>
      </c>
      <c r="K104" s="1" t="s">
        <v>121</v>
      </c>
      <c r="L104" s="1">
        <v>240</v>
      </c>
      <c r="M104" s="1" t="s">
        <v>122</v>
      </c>
      <c r="N104" s="1" t="s">
        <v>52</v>
      </c>
    </row>
    <row r="105" spans="1:14" x14ac:dyDescent="0.25">
      <c r="A105" s="1">
        <v>2018</v>
      </c>
      <c r="B105" s="1">
        <v>3</v>
      </c>
      <c r="C105" s="1" t="s">
        <v>21</v>
      </c>
      <c r="D105" s="1" t="s">
        <v>22</v>
      </c>
      <c r="E105" s="1" t="s">
        <v>23</v>
      </c>
      <c r="F105" s="1" t="s">
        <v>34</v>
      </c>
      <c r="G105" s="1">
        <v>1022.5511389316</v>
      </c>
      <c r="H105" s="1">
        <v>1024.6814537990999</v>
      </c>
      <c r="I105" s="1" t="s">
        <v>74</v>
      </c>
      <c r="J105" s="1" t="s">
        <v>92</v>
      </c>
      <c r="K105" s="1" t="s">
        <v>121</v>
      </c>
      <c r="L105" s="1">
        <v>106.5</v>
      </c>
      <c r="M105" s="1" t="s">
        <v>122</v>
      </c>
      <c r="N105" s="1" t="s">
        <v>52</v>
      </c>
    </row>
    <row r="106" spans="1:14" x14ac:dyDescent="0.25">
      <c r="A106" s="1">
        <v>2018</v>
      </c>
      <c r="B106" s="1">
        <v>4</v>
      </c>
      <c r="C106" s="1" t="s">
        <v>57</v>
      </c>
      <c r="D106" s="1" t="s">
        <v>22</v>
      </c>
      <c r="E106" s="1" t="s">
        <v>23</v>
      </c>
      <c r="F106" s="1" t="s">
        <v>32</v>
      </c>
      <c r="G106" s="1">
        <v>10312.611574074101</v>
      </c>
      <c r="H106" s="1">
        <v>10312.611574069</v>
      </c>
      <c r="I106" s="1" t="s">
        <v>76</v>
      </c>
      <c r="J106" s="1" t="s">
        <v>104</v>
      </c>
      <c r="K106" s="1" t="s">
        <v>121</v>
      </c>
      <c r="L106" s="1">
        <v>137</v>
      </c>
      <c r="M106" s="1" t="s">
        <v>122</v>
      </c>
      <c r="N106" s="1" t="s">
        <v>193</v>
      </c>
    </row>
    <row r="107" spans="1:14" x14ac:dyDescent="0.25">
      <c r="A107" s="1">
        <v>2018</v>
      </c>
      <c r="B107" s="1">
        <v>4</v>
      </c>
      <c r="C107" s="1" t="s">
        <v>57</v>
      </c>
      <c r="D107" s="1" t="s">
        <v>22</v>
      </c>
      <c r="E107" s="1" t="s">
        <v>23</v>
      </c>
      <c r="F107" s="1" t="s">
        <v>34</v>
      </c>
      <c r="G107" s="1">
        <v>2037.0909090908999</v>
      </c>
      <c r="H107" s="1">
        <v>2037.090909088</v>
      </c>
      <c r="I107" s="1" t="s">
        <v>73</v>
      </c>
      <c r="J107" s="1" t="s">
        <v>84</v>
      </c>
      <c r="K107" s="1" t="s">
        <v>121</v>
      </c>
      <c r="L107" s="1">
        <v>160</v>
      </c>
      <c r="M107" s="1" t="s">
        <v>122</v>
      </c>
      <c r="N107" s="1" t="s">
        <v>194</v>
      </c>
    </row>
    <row r="108" spans="1:14" x14ac:dyDescent="0.25">
      <c r="A108" s="1">
        <v>2018</v>
      </c>
      <c r="B108" s="1">
        <v>4</v>
      </c>
      <c r="C108" s="1" t="s">
        <v>57</v>
      </c>
      <c r="D108" s="1" t="s">
        <v>22</v>
      </c>
      <c r="E108" s="1" t="s">
        <v>23</v>
      </c>
      <c r="F108" s="1" t="s">
        <v>34</v>
      </c>
      <c r="G108" s="1">
        <v>3055.6363636363999</v>
      </c>
      <c r="H108" s="1">
        <v>3055.6363636320002</v>
      </c>
      <c r="I108" s="1" t="s">
        <v>73</v>
      </c>
      <c r="J108" s="1" t="s">
        <v>84</v>
      </c>
      <c r="K108" s="1" t="s">
        <v>121</v>
      </c>
      <c r="L108" s="1">
        <v>240</v>
      </c>
      <c r="M108" s="1" t="s">
        <v>122</v>
      </c>
      <c r="N108" s="1" t="s">
        <v>195</v>
      </c>
    </row>
    <row r="109" spans="1:14" x14ac:dyDescent="0.25">
      <c r="A109" s="1">
        <v>2018</v>
      </c>
      <c r="B109" s="1">
        <v>4</v>
      </c>
      <c r="C109" s="1" t="s">
        <v>57</v>
      </c>
      <c r="D109" s="1" t="s">
        <v>22</v>
      </c>
      <c r="E109" s="1" t="s">
        <v>23</v>
      </c>
      <c r="F109" s="1" t="s">
        <v>34</v>
      </c>
      <c r="G109" s="1">
        <v>2151.6772727273001</v>
      </c>
      <c r="H109" s="1">
        <v>2151.6772727242001</v>
      </c>
      <c r="I109" s="1" t="s">
        <v>73</v>
      </c>
      <c r="J109" s="1" t="s">
        <v>84</v>
      </c>
      <c r="K109" s="1" t="s">
        <v>121</v>
      </c>
      <c r="L109" s="1">
        <v>169</v>
      </c>
      <c r="M109" s="1" t="s">
        <v>122</v>
      </c>
      <c r="N109" s="1" t="s">
        <v>61</v>
      </c>
    </row>
    <row r="110" spans="1:14" x14ac:dyDescent="0.25">
      <c r="A110" s="1">
        <v>2018</v>
      </c>
      <c r="B110" s="1">
        <v>4</v>
      </c>
      <c r="C110" s="1" t="s">
        <v>57</v>
      </c>
      <c r="D110" s="1" t="s">
        <v>22</v>
      </c>
      <c r="E110" s="1" t="s">
        <v>23</v>
      </c>
      <c r="F110" s="1" t="s">
        <v>34</v>
      </c>
      <c r="G110" s="1">
        <v>1871.5772727272999</v>
      </c>
      <c r="H110" s="1">
        <v>1871.5772727246001</v>
      </c>
      <c r="I110" s="1" t="s">
        <v>73</v>
      </c>
      <c r="J110" s="1" t="s">
        <v>84</v>
      </c>
      <c r="K110" s="1" t="s">
        <v>121</v>
      </c>
      <c r="L110" s="1">
        <v>147</v>
      </c>
      <c r="M110" s="1" t="s">
        <v>122</v>
      </c>
      <c r="N110" s="1" t="s">
        <v>196</v>
      </c>
    </row>
    <row r="111" spans="1:14" x14ac:dyDescent="0.25">
      <c r="A111" s="1">
        <v>2018</v>
      </c>
      <c r="B111" s="1">
        <v>4</v>
      </c>
      <c r="C111" s="1" t="s">
        <v>57</v>
      </c>
      <c r="D111" s="1" t="s">
        <v>22</v>
      </c>
      <c r="E111" s="1" t="s">
        <v>23</v>
      </c>
      <c r="F111" s="1" t="s">
        <v>34</v>
      </c>
      <c r="G111" s="1">
        <v>3908.6681818182001</v>
      </c>
      <c r="H111" s="1">
        <v>3908.6681818125999</v>
      </c>
      <c r="I111" s="1" t="s">
        <v>73</v>
      </c>
      <c r="J111" s="1" t="s">
        <v>84</v>
      </c>
      <c r="K111" s="1" t="s">
        <v>121</v>
      </c>
      <c r="L111" s="1">
        <v>307</v>
      </c>
      <c r="M111" s="1" t="s">
        <v>122</v>
      </c>
      <c r="N111" s="1" t="s">
        <v>197</v>
      </c>
    </row>
    <row r="112" spans="1:14" x14ac:dyDescent="0.25">
      <c r="A112" s="1">
        <v>2018</v>
      </c>
      <c r="B112" s="1">
        <v>4</v>
      </c>
      <c r="C112" s="1" t="s">
        <v>57</v>
      </c>
      <c r="D112" s="1" t="s">
        <v>22</v>
      </c>
      <c r="E112" s="1" t="s">
        <v>23</v>
      </c>
      <c r="F112" s="1" t="s">
        <v>34</v>
      </c>
      <c r="G112" s="1">
        <v>2533.6318181818001</v>
      </c>
      <c r="H112" s="1">
        <v>2533.6318181781999</v>
      </c>
      <c r="I112" s="1" t="s">
        <v>73</v>
      </c>
      <c r="J112" s="1" t="s">
        <v>84</v>
      </c>
      <c r="K112" s="1" t="s">
        <v>121</v>
      </c>
      <c r="L112" s="1">
        <v>199</v>
      </c>
      <c r="M112" s="1" t="s">
        <v>122</v>
      </c>
      <c r="N112" s="1" t="s">
        <v>198</v>
      </c>
    </row>
    <row r="113" spans="1:14" x14ac:dyDescent="0.25">
      <c r="A113" s="1">
        <v>2018</v>
      </c>
      <c r="B113" s="1">
        <v>4</v>
      </c>
      <c r="C113" s="1" t="s">
        <v>57</v>
      </c>
      <c r="D113" s="1" t="s">
        <v>22</v>
      </c>
      <c r="E113" s="1" t="s">
        <v>23</v>
      </c>
      <c r="F113" s="1" t="s">
        <v>34</v>
      </c>
      <c r="G113" s="1">
        <v>1591.4772727273</v>
      </c>
      <c r="H113" s="1">
        <v>1591.4772727249999</v>
      </c>
      <c r="I113" s="1" t="s">
        <v>73</v>
      </c>
      <c r="J113" s="1" t="s">
        <v>84</v>
      </c>
      <c r="K113" s="1" t="s">
        <v>121</v>
      </c>
      <c r="L113" s="1">
        <v>125</v>
      </c>
      <c r="M113" s="1" t="s">
        <v>122</v>
      </c>
      <c r="N113" s="1" t="s">
        <v>199</v>
      </c>
    </row>
    <row r="114" spans="1:14" x14ac:dyDescent="0.25">
      <c r="A114" s="1">
        <v>2018</v>
      </c>
      <c r="B114" s="1">
        <v>4</v>
      </c>
      <c r="C114" s="1" t="s">
        <v>57</v>
      </c>
      <c r="D114" s="1" t="s">
        <v>22</v>
      </c>
      <c r="E114" s="1" t="s">
        <v>23</v>
      </c>
      <c r="F114" s="1" t="s">
        <v>34</v>
      </c>
      <c r="G114" s="1">
        <v>3284.8090909091002</v>
      </c>
      <c r="H114" s="1">
        <v>3284.8090909043999</v>
      </c>
      <c r="I114" s="1" t="s">
        <v>73</v>
      </c>
      <c r="J114" s="1" t="s">
        <v>84</v>
      </c>
      <c r="K114" s="1" t="s">
        <v>121</v>
      </c>
      <c r="L114" s="1">
        <v>258</v>
      </c>
      <c r="M114" s="1" t="s">
        <v>122</v>
      </c>
      <c r="N114" s="1" t="s">
        <v>189</v>
      </c>
    </row>
    <row r="115" spans="1:14" x14ac:dyDescent="0.25">
      <c r="A115" s="1">
        <v>2018</v>
      </c>
      <c r="B115" s="1">
        <v>4</v>
      </c>
      <c r="C115" s="1" t="s">
        <v>57</v>
      </c>
      <c r="D115" s="1" t="s">
        <v>22</v>
      </c>
      <c r="E115" s="1" t="s">
        <v>23</v>
      </c>
      <c r="F115" s="1" t="s">
        <v>34</v>
      </c>
      <c r="G115" s="1">
        <v>2202.6045454545001</v>
      </c>
      <c r="H115" s="1">
        <v>2202.6045454514001</v>
      </c>
      <c r="I115" s="1" t="s">
        <v>73</v>
      </c>
      <c r="J115" s="1" t="s">
        <v>84</v>
      </c>
      <c r="K115" s="1" t="s">
        <v>121</v>
      </c>
      <c r="L115" s="1">
        <v>173</v>
      </c>
      <c r="M115" s="1" t="s">
        <v>122</v>
      </c>
      <c r="N115" s="1" t="s">
        <v>200</v>
      </c>
    </row>
    <row r="116" spans="1:14" x14ac:dyDescent="0.25">
      <c r="A116" s="1">
        <v>2018</v>
      </c>
      <c r="B116" s="1">
        <v>4</v>
      </c>
      <c r="C116" s="1" t="s">
        <v>57</v>
      </c>
      <c r="D116" s="1" t="s">
        <v>22</v>
      </c>
      <c r="E116" s="1" t="s">
        <v>23</v>
      </c>
      <c r="F116" s="1" t="s">
        <v>34</v>
      </c>
      <c r="G116" s="1">
        <v>2037.0909090908999</v>
      </c>
      <c r="H116" s="1">
        <v>2037.090909088</v>
      </c>
      <c r="I116" s="1" t="s">
        <v>73</v>
      </c>
      <c r="J116" s="1" t="s">
        <v>84</v>
      </c>
      <c r="K116" s="1" t="s">
        <v>121</v>
      </c>
      <c r="L116" s="1">
        <v>160</v>
      </c>
      <c r="M116" s="1" t="s">
        <v>122</v>
      </c>
      <c r="N116" s="1" t="s">
        <v>60</v>
      </c>
    </row>
    <row r="117" spans="1:14" x14ac:dyDescent="0.25">
      <c r="A117" s="1">
        <v>2018</v>
      </c>
      <c r="B117" s="1">
        <v>4</v>
      </c>
      <c r="C117" s="1" t="s">
        <v>57</v>
      </c>
      <c r="D117" s="1" t="s">
        <v>22</v>
      </c>
      <c r="E117" s="1" t="s">
        <v>23</v>
      </c>
      <c r="F117" s="1" t="s">
        <v>34</v>
      </c>
      <c r="G117" s="1">
        <v>2037.0909090908999</v>
      </c>
      <c r="H117" s="1">
        <v>2037.090909088</v>
      </c>
      <c r="I117" s="1" t="s">
        <v>73</v>
      </c>
      <c r="J117" s="1" t="s">
        <v>84</v>
      </c>
      <c r="K117" s="1" t="s">
        <v>121</v>
      </c>
      <c r="L117" s="1">
        <v>160</v>
      </c>
      <c r="M117" s="1" t="s">
        <v>122</v>
      </c>
      <c r="N117" s="1" t="s">
        <v>201</v>
      </c>
    </row>
    <row r="118" spans="1:14" x14ac:dyDescent="0.25">
      <c r="A118" s="1">
        <v>2018</v>
      </c>
      <c r="B118" s="1">
        <v>4</v>
      </c>
      <c r="C118" s="1" t="s">
        <v>57</v>
      </c>
      <c r="D118" s="1" t="s">
        <v>22</v>
      </c>
      <c r="E118" s="1" t="s">
        <v>23</v>
      </c>
      <c r="F118" s="1" t="s">
        <v>34</v>
      </c>
      <c r="G118" s="1">
        <v>2037.0909090908999</v>
      </c>
      <c r="H118" s="1">
        <v>2037.090909088</v>
      </c>
      <c r="I118" s="1" t="s">
        <v>73</v>
      </c>
      <c r="J118" s="1" t="s">
        <v>84</v>
      </c>
      <c r="K118" s="1" t="s">
        <v>121</v>
      </c>
      <c r="L118" s="1">
        <v>160</v>
      </c>
      <c r="M118" s="1" t="s">
        <v>122</v>
      </c>
      <c r="N118" s="1" t="s">
        <v>202</v>
      </c>
    </row>
    <row r="119" spans="1:14" x14ac:dyDescent="0.25">
      <c r="A119" s="1">
        <v>2018</v>
      </c>
      <c r="B119" s="1">
        <v>4</v>
      </c>
      <c r="C119" s="1" t="s">
        <v>57</v>
      </c>
      <c r="D119" s="1" t="s">
        <v>22</v>
      </c>
      <c r="E119" s="1" t="s">
        <v>23</v>
      </c>
      <c r="F119" s="1" t="s">
        <v>34</v>
      </c>
      <c r="G119" s="1">
        <v>2100.75</v>
      </c>
      <c r="H119" s="1">
        <v>2100.749999997</v>
      </c>
      <c r="I119" s="1" t="s">
        <v>73</v>
      </c>
      <c r="J119" s="1" t="s">
        <v>84</v>
      </c>
      <c r="K119" s="1" t="s">
        <v>121</v>
      </c>
      <c r="L119" s="1">
        <v>165</v>
      </c>
      <c r="M119" s="1" t="s">
        <v>122</v>
      </c>
      <c r="N119" s="1" t="s">
        <v>203</v>
      </c>
    </row>
    <row r="120" spans="1:14" x14ac:dyDescent="0.25">
      <c r="A120" s="1">
        <v>2018</v>
      </c>
      <c r="B120" s="1">
        <v>4</v>
      </c>
      <c r="C120" s="1" t="s">
        <v>57</v>
      </c>
      <c r="D120" s="1" t="s">
        <v>22</v>
      </c>
      <c r="E120" s="1" t="s">
        <v>23</v>
      </c>
      <c r="F120" s="1" t="s">
        <v>34</v>
      </c>
      <c r="G120" s="1">
        <v>3654.0318181818002</v>
      </c>
      <c r="H120" s="1">
        <v>3654.0318181766002</v>
      </c>
      <c r="I120" s="1" t="s">
        <v>73</v>
      </c>
      <c r="J120" s="1" t="s">
        <v>84</v>
      </c>
      <c r="K120" s="1" t="s">
        <v>121</v>
      </c>
      <c r="L120" s="1">
        <v>287</v>
      </c>
      <c r="M120" s="1" t="s">
        <v>122</v>
      </c>
      <c r="N120" s="1" t="s">
        <v>51</v>
      </c>
    </row>
    <row r="121" spans="1:14" x14ac:dyDescent="0.25">
      <c r="A121" s="1">
        <v>2018</v>
      </c>
      <c r="B121" s="1">
        <v>4</v>
      </c>
      <c r="C121" s="1" t="s">
        <v>57</v>
      </c>
      <c r="D121" s="1" t="s">
        <v>22</v>
      </c>
      <c r="E121" s="1" t="s">
        <v>23</v>
      </c>
      <c r="F121" s="1" t="s">
        <v>34</v>
      </c>
      <c r="G121" s="1">
        <v>1362.3045454544999</v>
      </c>
      <c r="H121" s="1">
        <v>1362.3045454526</v>
      </c>
      <c r="I121" s="1" t="s">
        <v>73</v>
      </c>
      <c r="J121" s="1" t="s">
        <v>84</v>
      </c>
      <c r="K121" s="1" t="s">
        <v>121</v>
      </c>
      <c r="L121" s="1">
        <v>107</v>
      </c>
      <c r="M121" s="1" t="s">
        <v>122</v>
      </c>
      <c r="N121" s="1" t="s">
        <v>185</v>
      </c>
    </row>
    <row r="122" spans="1:14" x14ac:dyDescent="0.25">
      <c r="A122" s="1">
        <v>2018</v>
      </c>
      <c r="B122" s="1">
        <v>4</v>
      </c>
      <c r="C122" s="1" t="s">
        <v>57</v>
      </c>
      <c r="D122" s="1" t="s">
        <v>22</v>
      </c>
      <c r="E122" s="1" t="s">
        <v>23</v>
      </c>
      <c r="F122" s="1" t="s">
        <v>32</v>
      </c>
      <c r="G122" s="1">
        <v>7602.7282407407001</v>
      </c>
      <c r="H122" s="1">
        <v>7602.7282407370003</v>
      </c>
      <c r="I122" s="1" t="s">
        <v>73</v>
      </c>
      <c r="J122" s="1" t="s">
        <v>90</v>
      </c>
      <c r="K122" s="1" t="s">
        <v>121</v>
      </c>
      <c r="L122" s="1">
        <v>101</v>
      </c>
      <c r="M122" s="1" t="s">
        <v>122</v>
      </c>
      <c r="N122" s="1" t="s">
        <v>204</v>
      </c>
    </row>
    <row r="123" spans="1:14" x14ac:dyDescent="0.25">
      <c r="A123" s="1">
        <v>2018</v>
      </c>
      <c r="B123" s="1">
        <v>4</v>
      </c>
      <c r="C123" s="1" t="s">
        <v>57</v>
      </c>
      <c r="D123" s="1" t="s">
        <v>22</v>
      </c>
      <c r="E123" s="1" t="s">
        <v>23</v>
      </c>
      <c r="F123" s="1" t="s">
        <v>32</v>
      </c>
      <c r="G123" s="1">
        <v>8355.4736111110997</v>
      </c>
      <c r="H123" s="1">
        <v>8355.4736111069997</v>
      </c>
      <c r="I123" s="1" t="s">
        <v>73</v>
      </c>
      <c r="J123" s="1" t="s">
        <v>90</v>
      </c>
      <c r="K123" s="1" t="s">
        <v>121</v>
      </c>
      <c r="L123" s="1">
        <v>111</v>
      </c>
      <c r="M123" s="1" t="s">
        <v>122</v>
      </c>
      <c r="N123" s="1" t="s">
        <v>136</v>
      </c>
    </row>
    <row r="124" spans="1:14" x14ac:dyDescent="0.25">
      <c r="A124" s="1">
        <v>2018</v>
      </c>
      <c r="B124" s="1">
        <v>4</v>
      </c>
      <c r="C124" s="1" t="s">
        <v>57</v>
      </c>
      <c r="D124" s="1" t="s">
        <v>22</v>
      </c>
      <c r="E124" s="1" t="s">
        <v>23</v>
      </c>
      <c r="F124" s="1" t="s">
        <v>32</v>
      </c>
      <c r="G124" s="1">
        <v>7828.5518518519002</v>
      </c>
      <c r="H124" s="1">
        <v>7828.5518518480003</v>
      </c>
      <c r="I124" s="1" t="s">
        <v>73</v>
      </c>
      <c r="J124" s="1" t="s">
        <v>90</v>
      </c>
      <c r="K124" s="1" t="s">
        <v>121</v>
      </c>
      <c r="L124" s="1">
        <v>104</v>
      </c>
      <c r="M124" s="1" t="s">
        <v>122</v>
      </c>
      <c r="N124" s="1" t="s">
        <v>164</v>
      </c>
    </row>
    <row r="125" spans="1:14" x14ac:dyDescent="0.25">
      <c r="A125" s="1">
        <v>2018</v>
      </c>
      <c r="B125" s="1">
        <v>4</v>
      </c>
      <c r="C125" s="1" t="s">
        <v>57</v>
      </c>
      <c r="D125" s="1" t="s">
        <v>22</v>
      </c>
      <c r="E125" s="1" t="s">
        <v>23</v>
      </c>
      <c r="F125" s="1" t="s">
        <v>32</v>
      </c>
      <c r="G125" s="1">
        <v>36131.777777777803</v>
      </c>
      <c r="H125" s="1">
        <v>36131.777777759999</v>
      </c>
      <c r="I125" s="1" t="s">
        <v>73</v>
      </c>
      <c r="J125" s="1" t="s">
        <v>90</v>
      </c>
      <c r="K125" s="1" t="s">
        <v>121</v>
      </c>
      <c r="L125" s="1">
        <v>480</v>
      </c>
      <c r="M125" s="1" t="s">
        <v>122</v>
      </c>
      <c r="N125" s="1" t="s">
        <v>59</v>
      </c>
    </row>
    <row r="126" spans="1:14" x14ac:dyDescent="0.25">
      <c r="A126" s="1">
        <v>2018</v>
      </c>
      <c r="B126" s="1">
        <v>4</v>
      </c>
      <c r="C126" s="1" t="s">
        <v>57</v>
      </c>
      <c r="D126" s="1" t="s">
        <v>22</v>
      </c>
      <c r="E126" s="1" t="s">
        <v>23</v>
      </c>
      <c r="F126" s="1" t="s">
        <v>32</v>
      </c>
      <c r="G126" s="1">
        <v>10237.337037037099</v>
      </c>
      <c r="H126" s="1">
        <v>10237.337037032001</v>
      </c>
      <c r="I126" s="1" t="s">
        <v>73</v>
      </c>
      <c r="J126" s="1" t="s">
        <v>90</v>
      </c>
      <c r="K126" s="1" t="s">
        <v>121</v>
      </c>
      <c r="L126" s="1">
        <v>136</v>
      </c>
      <c r="M126" s="1" t="s">
        <v>122</v>
      </c>
      <c r="N126" s="1" t="s">
        <v>151</v>
      </c>
    </row>
    <row r="127" spans="1:14" x14ac:dyDescent="0.25">
      <c r="A127" s="1">
        <v>2018</v>
      </c>
      <c r="B127" s="1">
        <v>4</v>
      </c>
      <c r="C127" s="1" t="s">
        <v>57</v>
      </c>
      <c r="D127" s="1" t="s">
        <v>22</v>
      </c>
      <c r="E127" s="1" t="s">
        <v>23</v>
      </c>
      <c r="F127" s="1" t="s">
        <v>32</v>
      </c>
      <c r="G127" s="1">
        <v>17162.594444444399</v>
      </c>
      <c r="H127" s="1">
        <v>17162.594444435999</v>
      </c>
      <c r="I127" s="1" t="s">
        <v>73</v>
      </c>
      <c r="J127" s="1" t="s">
        <v>90</v>
      </c>
      <c r="K127" s="1" t="s">
        <v>121</v>
      </c>
      <c r="L127" s="1">
        <v>228</v>
      </c>
      <c r="M127" s="1" t="s">
        <v>122</v>
      </c>
      <c r="N127" s="1" t="s">
        <v>205</v>
      </c>
    </row>
    <row r="128" spans="1:14" x14ac:dyDescent="0.25">
      <c r="A128" s="1">
        <v>2018</v>
      </c>
      <c r="B128" s="1">
        <v>4</v>
      </c>
      <c r="C128" s="1" t="s">
        <v>57</v>
      </c>
      <c r="D128" s="1" t="s">
        <v>22</v>
      </c>
      <c r="E128" s="1" t="s">
        <v>23</v>
      </c>
      <c r="F128" s="1" t="s">
        <v>34</v>
      </c>
      <c r="G128" s="1">
        <v>4889.0181818183</v>
      </c>
      <c r="H128" s="1">
        <v>4889.0181818111996</v>
      </c>
      <c r="I128" s="1" t="s">
        <v>73</v>
      </c>
      <c r="J128" s="1" t="s">
        <v>82</v>
      </c>
      <c r="K128" s="1" t="s">
        <v>121</v>
      </c>
      <c r="L128" s="1">
        <v>384</v>
      </c>
      <c r="M128" s="1" t="s">
        <v>122</v>
      </c>
      <c r="N128" s="1" t="s">
        <v>179</v>
      </c>
    </row>
    <row r="129" spans="1:14" x14ac:dyDescent="0.25">
      <c r="A129" s="1">
        <v>2018</v>
      </c>
      <c r="B129" s="1">
        <v>4</v>
      </c>
      <c r="C129" s="1" t="s">
        <v>57</v>
      </c>
      <c r="D129" s="1" t="s">
        <v>22</v>
      </c>
      <c r="E129" s="1" t="s">
        <v>23</v>
      </c>
      <c r="F129" s="1" t="s">
        <v>34</v>
      </c>
      <c r="G129" s="1">
        <v>2024.3590909090999</v>
      </c>
      <c r="H129" s="1">
        <v>2024.3590909062</v>
      </c>
      <c r="I129" s="1" t="s">
        <v>73</v>
      </c>
      <c r="J129" s="1" t="s">
        <v>82</v>
      </c>
      <c r="K129" s="1" t="s">
        <v>121</v>
      </c>
      <c r="L129" s="1">
        <v>159</v>
      </c>
      <c r="M129" s="1" t="s">
        <v>122</v>
      </c>
      <c r="N129" s="1" t="s">
        <v>161</v>
      </c>
    </row>
    <row r="130" spans="1:14" x14ac:dyDescent="0.25">
      <c r="A130" s="1">
        <v>2018</v>
      </c>
      <c r="B130" s="1">
        <v>4</v>
      </c>
      <c r="C130" s="1" t="s">
        <v>57</v>
      </c>
      <c r="D130" s="1" t="s">
        <v>22</v>
      </c>
      <c r="E130" s="1" t="s">
        <v>23</v>
      </c>
      <c r="F130" s="1" t="s">
        <v>34</v>
      </c>
      <c r="G130" s="1">
        <v>1362.3045454544999</v>
      </c>
      <c r="H130" s="1">
        <v>1362.3045454526</v>
      </c>
      <c r="I130" s="1" t="s">
        <v>73</v>
      </c>
      <c r="J130" s="1" t="s">
        <v>82</v>
      </c>
      <c r="K130" s="1" t="s">
        <v>121</v>
      </c>
      <c r="L130" s="1">
        <v>107</v>
      </c>
      <c r="M130" s="1" t="s">
        <v>122</v>
      </c>
      <c r="N130" s="1" t="s">
        <v>125</v>
      </c>
    </row>
    <row r="131" spans="1:14" x14ac:dyDescent="0.25">
      <c r="A131" s="1">
        <v>2018</v>
      </c>
      <c r="B131" s="1">
        <v>4</v>
      </c>
      <c r="C131" s="1" t="s">
        <v>57</v>
      </c>
      <c r="D131" s="1" t="s">
        <v>22</v>
      </c>
      <c r="E131" s="1" t="s">
        <v>23</v>
      </c>
      <c r="F131" s="1" t="s">
        <v>34</v>
      </c>
      <c r="G131" s="1">
        <v>1362.3045454544999</v>
      </c>
      <c r="H131" s="1">
        <v>1362.3045454526</v>
      </c>
      <c r="I131" s="1" t="s">
        <v>73</v>
      </c>
      <c r="J131" s="1" t="s">
        <v>82</v>
      </c>
      <c r="K131" s="1" t="s">
        <v>121</v>
      </c>
      <c r="L131" s="1">
        <v>107</v>
      </c>
      <c r="M131" s="1" t="s">
        <v>122</v>
      </c>
      <c r="N131" s="1" t="s">
        <v>185</v>
      </c>
    </row>
    <row r="132" spans="1:14" x14ac:dyDescent="0.25">
      <c r="A132" s="1">
        <v>2018</v>
      </c>
      <c r="B132" s="1">
        <v>4</v>
      </c>
      <c r="C132" s="1" t="s">
        <v>57</v>
      </c>
      <c r="D132" s="1" t="s">
        <v>22</v>
      </c>
      <c r="E132" s="1" t="s">
        <v>23</v>
      </c>
      <c r="F132" s="1" t="s">
        <v>34</v>
      </c>
      <c r="G132" s="1">
        <v>1044.0090909091</v>
      </c>
      <c r="H132" s="1">
        <v>1044.0090909076</v>
      </c>
      <c r="I132" s="1" t="s">
        <v>73</v>
      </c>
      <c r="J132" s="1" t="s">
        <v>86</v>
      </c>
      <c r="K132" s="1" t="s">
        <v>121</v>
      </c>
      <c r="L132" s="1">
        <v>82</v>
      </c>
      <c r="M132" s="1" t="s">
        <v>122</v>
      </c>
      <c r="N132" s="1" t="s">
        <v>206</v>
      </c>
    </row>
    <row r="133" spans="1:14" x14ac:dyDescent="0.25">
      <c r="A133" s="1">
        <v>2018</v>
      </c>
      <c r="B133" s="1">
        <v>4</v>
      </c>
      <c r="C133" s="1" t="s">
        <v>57</v>
      </c>
      <c r="D133" s="1" t="s">
        <v>22</v>
      </c>
      <c r="E133" s="1" t="s">
        <v>23</v>
      </c>
      <c r="F133" s="1" t="s">
        <v>34</v>
      </c>
      <c r="G133" s="1">
        <v>1566.0136363636</v>
      </c>
      <c r="H133" s="1">
        <v>1566.0136363613999</v>
      </c>
      <c r="I133" s="1" t="s">
        <v>73</v>
      </c>
      <c r="J133" s="1" t="s">
        <v>86</v>
      </c>
      <c r="K133" s="1" t="s">
        <v>121</v>
      </c>
      <c r="L133" s="1">
        <v>123</v>
      </c>
      <c r="M133" s="1" t="s">
        <v>122</v>
      </c>
      <c r="N133" s="1" t="s">
        <v>207</v>
      </c>
    </row>
    <row r="134" spans="1:14" x14ac:dyDescent="0.25">
      <c r="A134" s="1">
        <v>2018</v>
      </c>
      <c r="B134" s="1">
        <v>4</v>
      </c>
      <c r="C134" s="1" t="s">
        <v>57</v>
      </c>
      <c r="D134" s="1" t="s">
        <v>22</v>
      </c>
      <c r="E134" s="1" t="s">
        <v>23</v>
      </c>
      <c r="F134" s="1" t="s">
        <v>32</v>
      </c>
      <c r="G134" s="1">
        <v>12871.9458333333</v>
      </c>
      <c r="H134" s="1">
        <v>12871.945833326999</v>
      </c>
      <c r="I134" s="1" t="s">
        <v>73</v>
      </c>
      <c r="J134" s="1" t="s">
        <v>86</v>
      </c>
      <c r="K134" s="1" t="s">
        <v>121</v>
      </c>
      <c r="L134" s="1">
        <v>171</v>
      </c>
      <c r="M134" s="1" t="s">
        <v>122</v>
      </c>
      <c r="N134" s="1" t="s">
        <v>208</v>
      </c>
    </row>
    <row r="135" spans="1:14" x14ac:dyDescent="0.25">
      <c r="A135" s="1">
        <v>2018</v>
      </c>
      <c r="B135" s="1">
        <v>4</v>
      </c>
      <c r="C135" s="1" t="s">
        <v>57</v>
      </c>
      <c r="D135" s="1" t="s">
        <v>22</v>
      </c>
      <c r="E135" s="1" t="s">
        <v>23</v>
      </c>
      <c r="F135" s="1" t="s">
        <v>32</v>
      </c>
      <c r="G135" s="1">
        <v>11667.553240740701</v>
      </c>
      <c r="H135" s="1">
        <v>11667.553240735</v>
      </c>
      <c r="I135" s="1" t="s">
        <v>73</v>
      </c>
      <c r="J135" s="1" t="s">
        <v>86</v>
      </c>
      <c r="K135" s="1" t="s">
        <v>121</v>
      </c>
      <c r="L135" s="1">
        <v>155</v>
      </c>
      <c r="M135" s="1" t="s">
        <v>122</v>
      </c>
      <c r="N135" s="1" t="s">
        <v>209</v>
      </c>
    </row>
    <row r="136" spans="1:14" x14ac:dyDescent="0.25">
      <c r="A136" s="1">
        <v>2018</v>
      </c>
      <c r="B136" s="1">
        <v>4</v>
      </c>
      <c r="C136" s="1" t="s">
        <v>57</v>
      </c>
      <c r="D136" s="1" t="s">
        <v>22</v>
      </c>
      <c r="E136" s="1" t="s">
        <v>23</v>
      </c>
      <c r="F136" s="1" t="s">
        <v>32</v>
      </c>
      <c r="G136" s="1">
        <v>6172.5120370369996</v>
      </c>
      <c r="H136" s="1">
        <v>6172.5120370340001</v>
      </c>
      <c r="I136" s="1" t="s">
        <v>73</v>
      </c>
      <c r="J136" s="1" t="s">
        <v>86</v>
      </c>
      <c r="K136" s="1" t="s">
        <v>121</v>
      </c>
      <c r="L136" s="1">
        <v>82</v>
      </c>
      <c r="M136" s="1" t="s">
        <v>122</v>
      </c>
      <c r="N136" s="1" t="s">
        <v>210</v>
      </c>
    </row>
    <row r="137" spans="1:14" x14ac:dyDescent="0.25">
      <c r="A137" s="1">
        <v>2018</v>
      </c>
      <c r="B137" s="1">
        <v>4</v>
      </c>
      <c r="C137" s="1" t="s">
        <v>57</v>
      </c>
      <c r="D137" s="1" t="s">
        <v>22</v>
      </c>
      <c r="E137" s="1" t="s">
        <v>23</v>
      </c>
      <c r="F137" s="1" t="s">
        <v>32</v>
      </c>
      <c r="G137" s="1">
        <v>5419.7666666667001</v>
      </c>
      <c r="H137" s="1">
        <v>5419.7666666639998</v>
      </c>
      <c r="I137" s="1" t="s">
        <v>73</v>
      </c>
      <c r="J137" s="1" t="s">
        <v>86</v>
      </c>
      <c r="K137" s="1" t="s">
        <v>121</v>
      </c>
      <c r="L137" s="1">
        <v>72</v>
      </c>
      <c r="M137" s="1" t="s">
        <v>122</v>
      </c>
      <c r="N137" s="1" t="s">
        <v>211</v>
      </c>
    </row>
    <row r="138" spans="1:14" x14ac:dyDescent="0.25">
      <c r="A138" s="1">
        <v>2018</v>
      </c>
      <c r="B138" s="1">
        <v>4</v>
      </c>
      <c r="C138" s="1" t="s">
        <v>57</v>
      </c>
      <c r="D138" s="1" t="s">
        <v>22</v>
      </c>
      <c r="E138" s="1" t="s">
        <v>23</v>
      </c>
      <c r="F138" s="1" t="s">
        <v>32</v>
      </c>
      <c r="G138" s="1">
        <v>7376.9046296296001</v>
      </c>
      <c r="H138" s="1">
        <v>7376.9046296260003</v>
      </c>
      <c r="I138" s="1" t="s">
        <v>73</v>
      </c>
      <c r="J138" s="1" t="s">
        <v>86</v>
      </c>
      <c r="K138" s="1" t="s">
        <v>121</v>
      </c>
      <c r="L138" s="1">
        <v>98</v>
      </c>
      <c r="M138" s="1" t="s">
        <v>122</v>
      </c>
      <c r="N138" s="1" t="s">
        <v>212</v>
      </c>
    </row>
    <row r="139" spans="1:14" x14ac:dyDescent="0.25">
      <c r="A139" s="1">
        <v>2018</v>
      </c>
      <c r="B139" s="1">
        <v>4</v>
      </c>
      <c r="C139" s="1" t="s">
        <v>57</v>
      </c>
      <c r="D139" s="1" t="s">
        <v>22</v>
      </c>
      <c r="E139" s="1" t="s">
        <v>23</v>
      </c>
      <c r="F139" s="1" t="s">
        <v>32</v>
      </c>
      <c r="G139" s="1">
        <v>5269.2175925926003</v>
      </c>
      <c r="H139" s="1">
        <v>5269.2175925900001</v>
      </c>
      <c r="I139" s="1" t="s">
        <v>73</v>
      </c>
      <c r="J139" s="1" t="s">
        <v>86</v>
      </c>
      <c r="K139" s="1" t="s">
        <v>121</v>
      </c>
      <c r="L139" s="1">
        <v>70</v>
      </c>
      <c r="M139" s="1" t="s">
        <v>122</v>
      </c>
      <c r="N139" s="1" t="s">
        <v>213</v>
      </c>
    </row>
    <row r="140" spans="1:14" x14ac:dyDescent="0.25">
      <c r="A140" s="1">
        <v>2018</v>
      </c>
      <c r="B140" s="1">
        <v>4</v>
      </c>
      <c r="C140" s="1" t="s">
        <v>57</v>
      </c>
      <c r="D140" s="1" t="s">
        <v>22</v>
      </c>
      <c r="E140" s="1" t="s">
        <v>23</v>
      </c>
      <c r="F140" s="1" t="s">
        <v>32</v>
      </c>
      <c r="G140" s="1">
        <v>11818.1023148148</v>
      </c>
      <c r="H140" s="1">
        <v>11818.102314809001</v>
      </c>
      <c r="I140" s="1" t="s">
        <v>73</v>
      </c>
      <c r="J140" s="1" t="s">
        <v>86</v>
      </c>
      <c r="K140" s="1" t="s">
        <v>121</v>
      </c>
      <c r="L140" s="1">
        <v>157</v>
      </c>
      <c r="M140" s="1" t="s">
        <v>122</v>
      </c>
      <c r="N140" s="1" t="s">
        <v>214</v>
      </c>
    </row>
    <row r="141" spans="1:14" x14ac:dyDescent="0.25">
      <c r="A141" s="1">
        <v>2018</v>
      </c>
      <c r="B141" s="1">
        <v>4</v>
      </c>
      <c r="C141" s="1" t="s">
        <v>57</v>
      </c>
      <c r="D141" s="1" t="s">
        <v>22</v>
      </c>
      <c r="E141" s="1" t="s">
        <v>23</v>
      </c>
      <c r="F141" s="1" t="s">
        <v>32</v>
      </c>
      <c r="G141" s="1">
        <v>7527.4537037036998</v>
      </c>
      <c r="H141" s="1">
        <v>7527.4537037</v>
      </c>
      <c r="I141" s="1" t="s">
        <v>73</v>
      </c>
      <c r="J141" s="1" t="s">
        <v>86</v>
      </c>
      <c r="K141" s="1" t="s">
        <v>121</v>
      </c>
      <c r="L141" s="1">
        <v>100</v>
      </c>
      <c r="M141" s="1" t="s">
        <v>122</v>
      </c>
      <c r="N141" s="1" t="s">
        <v>215</v>
      </c>
    </row>
    <row r="142" spans="1:14" x14ac:dyDescent="0.25">
      <c r="A142" s="1">
        <v>2018</v>
      </c>
      <c r="B142" s="1">
        <v>4</v>
      </c>
      <c r="C142" s="1" t="s">
        <v>57</v>
      </c>
      <c r="D142" s="1" t="s">
        <v>22</v>
      </c>
      <c r="E142" s="1" t="s">
        <v>23</v>
      </c>
      <c r="F142" s="1" t="s">
        <v>32</v>
      </c>
      <c r="G142" s="1">
        <v>14151.612962963</v>
      </c>
      <c r="H142" s="1">
        <v>14151.612962956</v>
      </c>
      <c r="I142" s="1" t="s">
        <v>73</v>
      </c>
      <c r="J142" s="1" t="s">
        <v>86</v>
      </c>
      <c r="K142" s="1" t="s">
        <v>121</v>
      </c>
      <c r="L142" s="1">
        <v>188</v>
      </c>
      <c r="M142" s="1" t="s">
        <v>122</v>
      </c>
      <c r="N142" s="1" t="s">
        <v>205</v>
      </c>
    </row>
    <row r="143" spans="1:14" x14ac:dyDescent="0.25">
      <c r="A143" s="1">
        <v>2018</v>
      </c>
      <c r="B143" s="1">
        <v>4</v>
      </c>
      <c r="C143" s="1" t="s">
        <v>57</v>
      </c>
      <c r="D143" s="1" t="s">
        <v>22</v>
      </c>
      <c r="E143" s="1" t="s">
        <v>23</v>
      </c>
      <c r="F143" s="1" t="s">
        <v>32</v>
      </c>
      <c r="G143" s="1">
        <v>11667.553240740701</v>
      </c>
      <c r="H143" s="1">
        <v>11667.553240735</v>
      </c>
      <c r="I143" s="1" t="s">
        <v>73</v>
      </c>
      <c r="J143" s="1" t="s">
        <v>86</v>
      </c>
      <c r="K143" s="1" t="s">
        <v>121</v>
      </c>
      <c r="L143" s="1">
        <v>155</v>
      </c>
      <c r="M143" s="1" t="s">
        <v>122</v>
      </c>
      <c r="N143" s="1" t="s">
        <v>216</v>
      </c>
    </row>
    <row r="144" spans="1:14" x14ac:dyDescent="0.25">
      <c r="A144" s="1">
        <v>2018</v>
      </c>
      <c r="B144" s="1">
        <v>4</v>
      </c>
      <c r="C144" s="1" t="s">
        <v>57</v>
      </c>
      <c r="D144" s="1" t="s">
        <v>22</v>
      </c>
      <c r="E144" s="1" t="s">
        <v>23</v>
      </c>
      <c r="F144" s="1" t="s">
        <v>32</v>
      </c>
      <c r="G144" s="1">
        <v>4140.0995370370001</v>
      </c>
      <c r="H144" s="1">
        <v>4140.0995370350001</v>
      </c>
      <c r="I144" s="1" t="s">
        <v>73</v>
      </c>
      <c r="J144" s="1" t="s">
        <v>86</v>
      </c>
      <c r="K144" s="1" t="s">
        <v>121</v>
      </c>
      <c r="L144" s="1">
        <v>55</v>
      </c>
      <c r="M144" s="1" t="s">
        <v>122</v>
      </c>
      <c r="N144" s="1" t="s">
        <v>217</v>
      </c>
    </row>
    <row r="145" spans="1:14" x14ac:dyDescent="0.25">
      <c r="A145" s="1">
        <v>2018</v>
      </c>
      <c r="B145" s="1">
        <v>4</v>
      </c>
      <c r="C145" s="1" t="s">
        <v>57</v>
      </c>
      <c r="D145" s="1" t="s">
        <v>22</v>
      </c>
      <c r="E145" s="1" t="s">
        <v>23</v>
      </c>
      <c r="F145" s="1" t="s">
        <v>32</v>
      </c>
      <c r="G145" s="1">
        <v>12495.5731481482</v>
      </c>
      <c r="H145" s="1">
        <v>12495.573148142001</v>
      </c>
      <c r="I145" s="1" t="s">
        <v>73</v>
      </c>
      <c r="J145" s="1" t="s">
        <v>86</v>
      </c>
      <c r="K145" s="1" t="s">
        <v>121</v>
      </c>
      <c r="L145" s="1">
        <v>166</v>
      </c>
      <c r="M145" s="1" t="s">
        <v>122</v>
      </c>
      <c r="N145" s="1" t="s">
        <v>218</v>
      </c>
    </row>
    <row r="146" spans="1:14" x14ac:dyDescent="0.25">
      <c r="A146" s="1">
        <v>2018</v>
      </c>
      <c r="B146" s="1">
        <v>4</v>
      </c>
      <c r="C146" s="1" t="s">
        <v>57</v>
      </c>
      <c r="D146" s="1" t="s">
        <v>22</v>
      </c>
      <c r="E146" s="1" t="s">
        <v>23</v>
      </c>
      <c r="F146" s="1" t="s">
        <v>32</v>
      </c>
      <c r="G146" s="1">
        <v>10538.435185185201</v>
      </c>
      <c r="H146" s="1">
        <v>10538.43518518</v>
      </c>
      <c r="I146" s="1" t="s">
        <v>73</v>
      </c>
      <c r="J146" s="1" t="s">
        <v>86</v>
      </c>
      <c r="K146" s="1" t="s">
        <v>121</v>
      </c>
      <c r="L146" s="1">
        <v>140</v>
      </c>
      <c r="M146" s="1" t="s">
        <v>122</v>
      </c>
      <c r="N146" s="1" t="s">
        <v>219</v>
      </c>
    </row>
    <row r="147" spans="1:14" x14ac:dyDescent="0.25">
      <c r="A147" s="1">
        <v>2018</v>
      </c>
      <c r="B147" s="1">
        <v>4</v>
      </c>
      <c r="C147" s="1" t="s">
        <v>57</v>
      </c>
      <c r="D147" s="1" t="s">
        <v>22</v>
      </c>
      <c r="E147" s="1" t="s">
        <v>23</v>
      </c>
      <c r="F147" s="1" t="s">
        <v>34</v>
      </c>
      <c r="G147" s="1">
        <v>1222.2545454545</v>
      </c>
      <c r="H147" s="1">
        <v>1222.2545454527999</v>
      </c>
      <c r="I147" s="1" t="s">
        <v>73</v>
      </c>
      <c r="J147" s="1" t="s">
        <v>86</v>
      </c>
      <c r="K147" s="1" t="s">
        <v>121</v>
      </c>
      <c r="L147" s="1">
        <v>96</v>
      </c>
      <c r="M147" s="1" t="s">
        <v>122</v>
      </c>
      <c r="N147" s="1" t="s">
        <v>220</v>
      </c>
    </row>
    <row r="148" spans="1:14" x14ac:dyDescent="0.25">
      <c r="A148" s="1">
        <v>2018</v>
      </c>
      <c r="B148" s="1">
        <v>4</v>
      </c>
      <c r="C148" s="1" t="s">
        <v>57</v>
      </c>
      <c r="D148" s="1" t="s">
        <v>22</v>
      </c>
      <c r="E148" s="1" t="s">
        <v>23</v>
      </c>
      <c r="F148" s="1" t="s">
        <v>34</v>
      </c>
      <c r="G148" s="1">
        <v>2533.6318181819001</v>
      </c>
      <c r="H148" s="1">
        <v>2533.6318181781999</v>
      </c>
      <c r="I148" s="1" t="s">
        <v>73</v>
      </c>
      <c r="J148" s="1" t="s">
        <v>86</v>
      </c>
      <c r="K148" s="1" t="s">
        <v>121</v>
      </c>
      <c r="L148" s="1">
        <v>199</v>
      </c>
      <c r="M148" s="1" t="s">
        <v>122</v>
      </c>
      <c r="N148" s="1" t="s">
        <v>158</v>
      </c>
    </row>
    <row r="149" spans="1:14" x14ac:dyDescent="0.25">
      <c r="A149" s="1">
        <v>2018</v>
      </c>
      <c r="B149" s="1">
        <v>4</v>
      </c>
      <c r="C149" s="1" t="s">
        <v>57</v>
      </c>
      <c r="D149" s="1" t="s">
        <v>22</v>
      </c>
      <c r="E149" s="1" t="s">
        <v>23</v>
      </c>
      <c r="F149" s="1" t="s">
        <v>32</v>
      </c>
      <c r="G149" s="1">
        <v>36131.777777777897</v>
      </c>
      <c r="H149" s="1">
        <v>36131.777777759999</v>
      </c>
      <c r="I149" s="1" t="s">
        <v>73</v>
      </c>
      <c r="J149" s="1" t="s">
        <v>86</v>
      </c>
      <c r="K149" s="1" t="s">
        <v>121</v>
      </c>
      <c r="L149" s="1">
        <v>480</v>
      </c>
      <c r="M149" s="1" t="s">
        <v>122</v>
      </c>
      <c r="N149" s="1" t="s">
        <v>220</v>
      </c>
    </row>
    <row r="150" spans="1:14" x14ac:dyDescent="0.25">
      <c r="A150" s="1">
        <v>2018</v>
      </c>
      <c r="B150" s="1">
        <v>4</v>
      </c>
      <c r="C150" s="1" t="s">
        <v>57</v>
      </c>
      <c r="D150" s="1" t="s">
        <v>22</v>
      </c>
      <c r="E150" s="1" t="s">
        <v>23</v>
      </c>
      <c r="F150" s="1" t="s">
        <v>32</v>
      </c>
      <c r="G150" s="1">
        <v>8957.6699074074004</v>
      </c>
      <c r="H150" s="1">
        <v>8957.6699074030003</v>
      </c>
      <c r="I150" s="1" t="s">
        <v>73</v>
      </c>
      <c r="J150" s="1" t="s">
        <v>86</v>
      </c>
      <c r="K150" s="1" t="s">
        <v>121</v>
      </c>
      <c r="L150" s="1">
        <v>119</v>
      </c>
      <c r="M150" s="1" t="s">
        <v>122</v>
      </c>
      <c r="N150" s="1" t="s">
        <v>221</v>
      </c>
    </row>
    <row r="151" spans="1:14" x14ac:dyDescent="0.25">
      <c r="A151" s="1">
        <v>2018</v>
      </c>
      <c r="B151" s="1">
        <v>4</v>
      </c>
      <c r="C151" s="1" t="s">
        <v>57</v>
      </c>
      <c r="D151" s="1" t="s">
        <v>22</v>
      </c>
      <c r="E151" s="1" t="s">
        <v>23</v>
      </c>
      <c r="F151" s="1" t="s">
        <v>32</v>
      </c>
      <c r="G151" s="1">
        <v>19947.752314814799</v>
      </c>
      <c r="H151" s="1">
        <v>19947.752314804999</v>
      </c>
      <c r="I151" s="1" t="s">
        <v>73</v>
      </c>
      <c r="J151" s="1" t="s">
        <v>93</v>
      </c>
      <c r="K151" s="1" t="s">
        <v>121</v>
      </c>
      <c r="L151" s="1">
        <v>265</v>
      </c>
      <c r="M151" s="1" t="s">
        <v>122</v>
      </c>
      <c r="N151" s="1" t="s">
        <v>144</v>
      </c>
    </row>
    <row r="152" spans="1:14" x14ac:dyDescent="0.25">
      <c r="A152" s="1">
        <v>2018</v>
      </c>
      <c r="B152" s="1">
        <v>4</v>
      </c>
      <c r="C152" s="1" t="s">
        <v>57</v>
      </c>
      <c r="D152" s="1" t="s">
        <v>22</v>
      </c>
      <c r="E152" s="1" t="s">
        <v>23</v>
      </c>
      <c r="F152" s="1" t="s">
        <v>32</v>
      </c>
      <c r="G152" s="1">
        <v>1129.1180555556</v>
      </c>
      <c r="H152" s="1">
        <v>1129.118055555</v>
      </c>
      <c r="I152" s="1" t="s">
        <v>73</v>
      </c>
      <c r="J152" s="1" t="s">
        <v>93</v>
      </c>
      <c r="K152" s="1" t="s">
        <v>121</v>
      </c>
      <c r="L152" s="1">
        <v>15</v>
      </c>
      <c r="M152" s="1" t="s">
        <v>122</v>
      </c>
      <c r="N152" s="1" t="s">
        <v>139</v>
      </c>
    </row>
    <row r="153" spans="1:14" x14ac:dyDescent="0.25">
      <c r="A153" s="1">
        <v>2018</v>
      </c>
      <c r="B153" s="1">
        <v>4</v>
      </c>
      <c r="C153" s="1" t="s">
        <v>57</v>
      </c>
      <c r="D153" s="1" t="s">
        <v>22</v>
      </c>
      <c r="E153" s="1" t="s">
        <v>23</v>
      </c>
      <c r="F153" s="1" t="s">
        <v>34</v>
      </c>
      <c r="G153" s="1">
        <v>3055.6363636363999</v>
      </c>
      <c r="H153" s="1">
        <v>3055.6363636320002</v>
      </c>
      <c r="I153" s="1" t="s">
        <v>73</v>
      </c>
      <c r="J153" s="1" t="s">
        <v>103</v>
      </c>
      <c r="K153" s="1" t="s">
        <v>121</v>
      </c>
      <c r="L153" s="1">
        <v>240</v>
      </c>
      <c r="M153" s="1" t="s">
        <v>122</v>
      </c>
      <c r="N153" s="1" t="s">
        <v>60</v>
      </c>
    </row>
    <row r="154" spans="1:14" x14ac:dyDescent="0.25">
      <c r="A154" s="1">
        <v>2018</v>
      </c>
      <c r="B154" s="1">
        <v>4</v>
      </c>
      <c r="C154" s="1" t="s">
        <v>57</v>
      </c>
      <c r="D154" s="1" t="s">
        <v>22</v>
      </c>
      <c r="E154" s="1" t="s">
        <v>23</v>
      </c>
      <c r="F154" s="1" t="s">
        <v>34</v>
      </c>
      <c r="G154" s="1">
        <v>1400.5</v>
      </c>
      <c r="H154" s="1">
        <v>1400.499999998</v>
      </c>
      <c r="I154" s="1" t="s">
        <v>73</v>
      </c>
      <c r="J154" s="1" t="s">
        <v>103</v>
      </c>
      <c r="K154" s="1" t="s">
        <v>121</v>
      </c>
      <c r="L154" s="1">
        <v>110</v>
      </c>
      <c r="M154" s="1" t="s">
        <v>122</v>
      </c>
      <c r="N154" s="1" t="s">
        <v>222</v>
      </c>
    </row>
    <row r="155" spans="1:14" x14ac:dyDescent="0.25">
      <c r="A155" s="1">
        <v>2018</v>
      </c>
      <c r="B155" s="1">
        <v>4</v>
      </c>
      <c r="C155" s="1" t="s">
        <v>57</v>
      </c>
      <c r="D155" s="1" t="s">
        <v>22</v>
      </c>
      <c r="E155" s="1" t="s">
        <v>23</v>
      </c>
      <c r="F155" s="1" t="s">
        <v>32</v>
      </c>
      <c r="G155" s="1">
        <v>4140.0995370370001</v>
      </c>
      <c r="H155" s="1">
        <v>4140.0995370350001</v>
      </c>
      <c r="I155" s="1" t="s">
        <v>73</v>
      </c>
      <c r="J155" s="1" t="s">
        <v>103</v>
      </c>
      <c r="K155" s="1" t="s">
        <v>121</v>
      </c>
      <c r="L155" s="1">
        <v>55</v>
      </c>
      <c r="M155" s="1" t="s">
        <v>122</v>
      </c>
      <c r="N155" s="1" t="s">
        <v>223</v>
      </c>
    </row>
    <row r="156" spans="1:14" x14ac:dyDescent="0.25">
      <c r="A156" s="1">
        <v>2018</v>
      </c>
      <c r="B156" s="1">
        <v>4</v>
      </c>
      <c r="C156" s="1" t="s">
        <v>57</v>
      </c>
      <c r="D156" s="1" t="s">
        <v>22</v>
      </c>
      <c r="E156" s="1" t="s">
        <v>23</v>
      </c>
      <c r="F156" s="1" t="s">
        <v>34</v>
      </c>
      <c r="G156" s="1">
        <v>802.1045454545</v>
      </c>
      <c r="H156" s="1">
        <v>802.10454545339996</v>
      </c>
      <c r="I156" s="1" t="s">
        <v>75</v>
      </c>
      <c r="J156" s="1" t="s">
        <v>106</v>
      </c>
      <c r="K156" s="1" t="s">
        <v>121</v>
      </c>
      <c r="L156" s="1">
        <v>63</v>
      </c>
      <c r="M156" s="1" t="s">
        <v>122</v>
      </c>
      <c r="N156" s="1" t="s">
        <v>220</v>
      </c>
    </row>
    <row r="157" spans="1:14" x14ac:dyDescent="0.25">
      <c r="A157" s="1">
        <v>2018</v>
      </c>
      <c r="B157" s="1">
        <v>4</v>
      </c>
      <c r="C157" s="1" t="s">
        <v>57</v>
      </c>
      <c r="D157" s="1" t="s">
        <v>22</v>
      </c>
      <c r="E157" s="1" t="s">
        <v>23</v>
      </c>
      <c r="F157" s="1" t="s">
        <v>34</v>
      </c>
      <c r="G157" s="1">
        <v>3055.6363636363999</v>
      </c>
      <c r="H157" s="1">
        <v>3055.6363636320002</v>
      </c>
      <c r="I157" s="1" t="s">
        <v>73</v>
      </c>
      <c r="J157" s="1" t="s">
        <v>85</v>
      </c>
      <c r="K157" s="1" t="s">
        <v>121</v>
      </c>
      <c r="L157" s="1">
        <v>240</v>
      </c>
      <c r="M157" s="1" t="s">
        <v>122</v>
      </c>
      <c r="N157" s="1" t="s">
        <v>180</v>
      </c>
    </row>
    <row r="158" spans="1:14" x14ac:dyDescent="0.25">
      <c r="A158" s="1">
        <v>2018</v>
      </c>
      <c r="B158" s="1">
        <v>4</v>
      </c>
      <c r="C158" s="1" t="s">
        <v>57</v>
      </c>
      <c r="D158" s="1" t="s">
        <v>22</v>
      </c>
      <c r="E158" s="1" t="s">
        <v>23</v>
      </c>
      <c r="F158" s="1" t="s">
        <v>34</v>
      </c>
      <c r="G158" s="1">
        <v>2037.0909090908999</v>
      </c>
      <c r="H158" s="1">
        <v>2037.090909088</v>
      </c>
      <c r="I158" s="1" t="s">
        <v>73</v>
      </c>
      <c r="J158" s="1" t="s">
        <v>85</v>
      </c>
      <c r="K158" s="1" t="s">
        <v>121</v>
      </c>
      <c r="L158" s="1">
        <v>160</v>
      </c>
      <c r="M158" s="1" t="s">
        <v>122</v>
      </c>
      <c r="N158" s="1" t="s">
        <v>224</v>
      </c>
    </row>
    <row r="159" spans="1:14" x14ac:dyDescent="0.25">
      <c r="A159" s="1">
        <v>2018</v>
      </c>
      <c r="B159" s="1">
        <v>4</v>
      </c>
      <c r="C159" s="1" t="s">
        <v>57</v>
      </c>
      <c r="D159" s="1" t="s">
        <v>22</v>
      </c>
      <c r="E159" s="1" t="s">
        <v>23</v>
      </c>
      <c r="F159" s="1" t="s">
        <v>34</v>
      </c>
      <c r="G159" s="1">
        <v>1413.2318181818</v>
      </c>
      <c r="H159" s="1">
        <v>1413.2318181798</v>
      </c>
      <c r="I159" s="1" t="s">
        <v>73</v>
      </c>
      <c r="J159" s="1" t="s">
        <v>85</v>
      </c>
      <c r="K159" s="1" t="s">
        <v>121</v>
      </c>
      <c r="L159" s="1">
        <v>111</v>
      </c>
      <c r="M159" s="1" t="s">
        <v>122</v>
      </c>
      <c r="N159" s="1" t="s">
        <v>222</v>
      </c>
    </row>
    <row r="160" spans="1:14" x14ac:dyDescent="0.25">
      <c r="A160" s="1">
        <v>2018</v>
      </c>
      <c r="B160" s="1">
        <v>4</v>
      </c>
      <c r="C160" s="1" t="s">
        <v>57</v>
      </c>
      <c r="D160" s="1" t="s">
        <v>22</v>
      </c>
      <c r="E160" s="1" t="s">
        <v>23</v>
      </c>
      <c r="F160" s="1" t="s">
        <v>34</v>
      </c>
      <c r="G160" s="1">
        <v>3717.6909090908998</v>
      </c>
      <c r="H160" s="1">
        <v>3717.6909090856002</v>
      </c>
      <c r="I160" s="1" t="s">
        <v>73</v>
      </c>
      <c r="J160" s="1" t="s">
        <v>85</v>
      </c>
      <c r="K160" s="1" t="s">
        <v>121</v>
      </c>
      <c r="L160" s="1">
        <v>292</v>
      </c>
      <c r="M160" s="1" t="s">
        <v>122</v>
      </c>
      <c r="N160" s="1" t="s">
        <v>225</v>
      </c>
    </row>
    <row r="161" spans="1:14" x14ac:dyDescent="0.25">
      <c r="A161" s="1">
        <v>2018</v>
      </c>
      <c r="B161" s="1">
        <v>4</v>
      </c>
      <c r="C161" s="1" t="s">
        <v>57</v>
      </c>
      <c r="D161" s="1" t="s">
        <v>22</v>
      </c>
      <c r="E161" s="1" t="s">
        <v>23</v>
      </c>
      <c r="F161" s="1" t="s">
        <v>34</v>
      </c>
      <c r="G161" s="1">
        <v>2533.6318181818001</v>
      </c>
      <c r="H161" s="1">
        <v>2533.6318181781999</v>
      </c>
      <c r="I161" s="1" t="s">
        <v>73</v>
      </c>
      <c r="J161" s="1" t="s">
        <v>85</v>
      </c>
      <c r="K161" s="1" t="s">
        <v>121</v>
      </c>
      <c r="L161" s="1">
        <v>199</v>
      </c>
      <c r="M161" s="1" t="s">
        <v>122</v>
      </c>
      <c r="N161" s="1" t="s">
        <v>225</v>
      </c>
    </row>
    <row r="162" spans="1:14" x14ac:dyDescent="0.25">
      <c r="A162" s="1">
        <v>2018</v>
      </c>
      <c r="B162" s="1">
        <v>4</v>
      </c>
      <c r="C162" s="1" t="s">
        <v>57</v>
      </c>
      <c r="D162" s="1" t="s">
        <v>22</v>
      </c>
      <c r="E162" s="1" t="s">
        <v>23</v>
      </c>
      <c r="F162" s="1" t="s">
        <v>34</v>
      </c>
      <c r="G162" s="1">
        <v>3055.6363636363999</v>
      </c>
      <c r="H162" s="1">
        <v>3055.6363636320002</v>
      </c>
      <c r="I162" s="1" t="s">
        <v>73</v>
      </c>
      <c r="J162" s="1" t="s">
        <v>85</v>
      </c>
      <c r="K162" s="1" t="s">
        <v>121</v>
      </c>
      <c r="L162" s="1">
        <v>240</v>
      </c>
      <c r="M162" s="1" t="s">
        <v>122</v>
      </c>
      <c r="N162" s="1" t="s">
        <v>226</v>
      </c>
    </row>
    <row r="163" spans="1:14" x14ac:dyDescent="0.25">
      <c r="A163" s="1">
        <v>2018</v>
      </c>
      <c r="B163" s="1">
        <v>4</v>
      </c>
      <c r="C163" s="1" t="s">
        <v>57</v>
      </c>
      <c r="D163" s="1" t="s">
        <v>22</v>
      </c>
      <c r="E163" s="1" t="s">
        <v>23</v>
      </c>
      <c r="F163" s="1" t="s">
        <v>34</v>
      </c>
      <c r="G163" s="1">
        <v>2444.5090909091</v>
      </c>
      <c r="H163" s="1">
        <v>2444.5090909055998</v>
      </c>
      <c r="I163" s="1" t="s">
        <v>73</v>
      </c>
      <c r="J163" s="1" t="s">
        <v>85</v>
      </c>
      <c r="K163" s="1" t="s">
        <v>121</v>
      </c>
      <c r="L163" s="1">
        <v>192</v>
      </c>
      <c r="M163" s="1" t="s">
        <v>122</v>
      </c>
      <c r="N163" s="1" t="s">
        <v>190</v>
      </c>
    </row>
    <row r="164" spans="1:14" x14ac:dyDescent="0.25">
      <c r="A164" s="1">
        <v>2018</v>
      </c>
      <c r="B164" s="1">
        <v>4</v>
      </c>
      <c r="C164" s="1" t="s">
        <v>57</v>
      </c>
      <c r="D164" s="1" t="s">
        <v>22</v>
      </c>
      <c r="E164" s="1" t="s">
        <v>23</v>
      </c>
      <c r="F164" s="1" t="s">
        <v>34</v>
      </c>
      <c r="G164" s="1">
        <v>2037.0909090908999</v>
      </c>
      <c r="H164" s="1">
        <v>2037.090909088</v>
      </c>
      <c r="I164" s="1" t="s">
        <v>73</v>
      </c>
      <c r="J164" s="1" t="s">
        <v>85</v>
      </c>
      <c r="K164" s="1" t="s">
        <v>121</v>
      </c>
      <c r="L164" s="1">
        <v>160</v>
      </c>
      <c r="M164" s="1" t="s">
        <v>122</v>
      </c>
      <c r="N164" s="1" t="s">
        <v>227</v>
      </c>
    </row>
    <row r="165" spans="1:14" x14ac:dyDescent="0.25">
      <c r="A165" s="1">
        <v>2018</v>
      </c>
      <c r="B165" s="1">
        <v>4</v>
      </c>
      <c r="C165" s="1" t="s">
        <v>57</v>
      </c>
      <c r="D165" s="1" t="s">
        <v>22</v>
      </c>
      <c r="E165" s="1" t="s">
        <v>23</v>
      </c>
      <c r="F165" s="1" t="s">
        <v>34</v>
      </c>
      <c r="G165" s="1">
        <v>2826.4636363637001</v>
      </c>
      <c r="H165" s="1">
        <v>2826.4636363596001</v>
      </c>
      <c r="I165" s="1" t="s">
        <v>73</v>
      </c>
      <c r="J165" s="1" t="s">
        <v>87</v>
      </c>
      <c r="K165" s="1" t="s">
        <v>121</v>
      </c>
      <c r="L165" s="1">
        <v>222</v>
      </c>
      <c r="M165" s="1" t="s">
        <v>122</v>
      </c>
      <c r="N165" s="1" t="s">
        <v>196</v>
      </c>
    </row>
    <row r="166" spans="1:14" x14ac:dyDescent="0.25">
      <c r="A166" s="1">
        <v>2018</v>
      </c>
      <c r="B166" s="1">
        <v>4</v>
      </c>
      <c r="C166" s="1" t="s">
        <v>57</v>
      </c>
      <c r="D166" s="1" t="s">
        <v>22</v>
      </c>
      <c r="E166" s="1" t="s">
        <v>23</v>
      </c>
      <c r="F166" s="1" t="s">
        <v>34</v>
      </c>
      <c r="G166" s="1">
        <v>2826.4636363636</v>
      </c>
      <c r="H166" s="1">
        <v>2826.4636363596001</v>
      </c>
      <c r="I166" s="1" t="s">
        <v>73</v>
      </c>
      <c r="J166" s="1" t="s">
        <v>87</v>
      </c>
      <c r="K166" s="1" t="s">
        <v>121</v>
      </c>
      <c r="L166" s="1">
        <v>222</v>
      </c>
      <c r="M166" s="1" t="s">
        <v>122</v>
      </c>
      <c r="N166" s="1" t="s">
        <v>166</v>
      </c>
    </row>
    <row r="167" spans="1:14" x14ac:dyDescent="0.25">
      <c r="A167" s="1">
        <v>2018</v>
      </c>
      <c r="B167" s="1">
        <v>4</v>
      </c>
      <c r="C167" s="1" t="s">
        <v>57</v>
      </c>
      <c r="D167" s="1" t="s">
        <v>22</v>
      </c>
      <c r="E167" s="1" t="s">
        <v>23</v>
      </c>
      <c r="F167" s="1" t="s">
        <v>34</v>
      </c>
      <c r="G167" s="1">
        <v>3666.7636363636002</v>
      </c>
      <c r="H167" s="1">
        <v>3666.7636363584002</v>
      </c>
      <c r="I167" s="1" t="s">
        <v>75</v>
      </c>
      <c r="J167" s="1" t="s">
        <v>95</v>
      </c>
      <c r="K167" s="1" t="s">
        <v>121</v>
      </c>
      <c r="L167" s="1">
        <v>288</v>
      </c>
      <c r="M167" s="1" t="s">
        <v>122</v>
      </c>
      <c r="N167" s="1" t="s">
        <v>183</v>
      </c>
    </row>
    <row r="168" spans="1:14" x14ac:dyDescent="0.25">
      <c r="A168" s="1">
        <v>2018</v>
      </c>
      <c r="B168" s="1">
        <v>4</v>
      </c>
      <c r="C168" s="1" t="s">
        <v>57</v>
      </c>
      <c r="D168" s="1" t="s">
        <v>22</v>
      </c>
      <c r="E168" s="1" t="s">
        <v>23</v>
      </c>
      <c r="F168" s="1" t="s">
        <v>34</v>
      </c>
      <c r="G168" s="1">
        <v>97780.363636363603</v>
      </c>
      <c r="H168" s="1">
        <v>97780.363636224007</v>
      </c>
      <c r="I168" s="1" t="s">
        <v>76</v>
      </c>
      <c r="J168" s="1" t="s">
        <v>101</v>
      </c>
      <c r="K168" s="1" t="s">
        <v>121</v>
      </c>
      <c r="L168" s="1">
        <v>7680</v>
      </c>
      <c r="M168" s="1" t="s">
        <v>122</v>
      </c>
      <c r="N168" s="1" t="s">
        <v>145</v>
      </c>
    </row>
    <row r="169" spans="1:14" x14ac:dyDescent="0.25">
      <c r="A169" s="1">
        <v>2018</v>
      </c>
      <c r="B169" s="1">
        <v>4</v>
      </c>
      <c r="C169" s="1" t="s">
        <v>57</v>
      </c>
      <c r="D169" s="1" t="s">
        <v>22</v>
      </c>
      <c r="E169" s="1" t="s">
        <v>23</v>
      </c>
      <c r="F169" s="1" t="s">
        <v>32</v>
      </c>
      <c r="G169" s="1">
        <v>361317.77777777781</v>
      </c>
      <c r="H169" s="1">
        <v>361317.77777759999</v>
      </c>
      <c r="I169" s="1" t="s">
        <v>76</v>
      </c>
      <c r="J169" s="1" t="s">
        <v>101</v>
      </c>
      <c r="K169" s="1" t="s">
        <v>121</v>
      </c>
      <c r="L169" s="1">
        <v>4800</v>
      </c>
      <c r="M169" s="1" t="s">
        <v>122</v>
      </c>
      <c r="N169" s="1" t="s">
        <v>145</v>
      </c>
    </row>
    <row r="170" spans="1:14" x14ac:dyDescent="0.25">
      <c r="A170" s="1">
        <v>2018</v>
      </c>
      <c r="B170" s="1">
        <v>4</v>
      </c>
      <c r="C170" s="1" t="s">
        <v>57</v>
      </c>
      <c r="D170" s="1" t="s">
        <v>22</v>
      </c>
      <c r="E170" s="1" t="s">
        <v>23</v>
      </c>
      <c r="F170" s="1" t="s">
        <v>34</v>
      </c>
      <c r="G170" s="1">
        <v>1807.9181818182001</v>
      </c>
      <c r="H170" s="1">
        <v>1807.9181818156001</v>
      </c>
      <c r="I170" s="1" t="s">
        <v>74</v>
      </c>
      <c r="J170" s="1" t="s">
        <v>78</v>
      </c>
      <c r="K170" s="1" t="s">
        <v>121</v>
      </c>
      <c r="L170" s="1">
        <v>142</v>
      </c>
      <c r="M170" s="1" t="s">
        <v>122</v>
      </c>
      <c r="N170" s="1" t="s">
        <v>228</v>
      </c>
    </row>
    <row r="171" spans="1:14" x14ac:dyDescent="0.25">
      <c r="A171" s="1">
        <v>2018</v>
      </c>
      <c r="B171" s="1">
        <v>4</v>
      </c>
      <c r="C171" s="1" t="s">
        <v>57</v>
      </c>
      <c r="D171" s="1" t="s">
        <v>22</v>
      </c>
      <c r="E171" s="1" t="s">
        <v>23</v>
      </c>
      <c r="F171" s="1" t="s">
        <v>34</v>
      </c>
      <c r="G171" s="1">
        <v>1044.0090909091</v>
      </c>
      <c r="H171" s="1">
        <v>1044.0090909076</v>
      </c>
      <c r="I171" s="1" t="s">
        <v>74</v>
      </c>
      <c r="J171" s="1" t="s">
        <v>78</v>
      </c>
      <c r="K171" s="1" t="s">
        <v>121</v>
      </c>
      <c r="L171" s="1">
        <v>82</v>
      </c>
      <c r="M171" s="1" t="s">
        <v>122</v>
      </c>
      <c r="N171" s="1" t="s">
        <v>229</v>
      </c>
    </row>
    <row r="172" spans="1:14" x14ac:dyDescent="0.25">
      <c r="A172" s="1">
        <v>2018</v>
      </c>
      <c r="B172" s="1">
        <v>4</v>
      </c>
      <c r="C172" s="1" t="s">
        <v>57</v>
      </c>
      <c r="D172" s="1" t="s">
        <v>22</v>
      </c>
      <c r="E172" s="1" t="s">
        <v>23</v>
      </c>
      <c r="F172" s="1" t="s">
        <v>34</v>
      </c>
      <c r="G172" s="1">
        <v>3577.6409090909001</v>
      </c>
      <c r="H172" s="1">
        <v>3577.6409090858001</v>
      </c>
      <c r="I172" s="1" t="s">
        <v>74</v>
      </c>
      <c r="J172" s="1" t="s">
        <v>78</v>
      </c>
      <c r="K172" s="1" t="s">
        <v>121</v>
      </c>
      <c r="L172" s="1">
        <v>281</v>
      </c>
      <c r="M172" s="1" t="s">
        <v>122</v>
      </c>
      <c r="N172" s="1" t="s">
        <v>230</v>
      </c>
    </row>
    <row r="173" spans="1:14" x14ac:dyDescent="0.25">
      <c r="A173" s="1">
        <v>2018</v>
      </c>
      <c r="B173" s="1">
        <v>4</v>
      </c>
      <c r="C173" s="1" t="s">
        <v>57</v>
      </c>
      <c r="D173" s="1" t="s">
        <v>22</v>
      </c>
      <c r="E173" s="1" t="s">
        <v>23</v>
      </c>
      <c r="F173" s="1" t="s">
        <v>34</v>
      </c>
      <c r="G173" s="1">
        <v>3348.4681818181998</v>
      </c>
      <c r="H173" s="1">
        <v>3348.4681818134</v>
      </c>
      <c r="I173" s="1" t="s">
        <v>74</v>
      </c>
      <c r="J173" s="1" t="s">
        <v>78</v>
      </c>
      <c r="K173" s="1" t="s">
        <v>121</v>
      </c>
      <c r="L173" s="1">
        <v>263</v>
      </c>
      <c r="M173" s="1" t="s">
        <v>122</v>
      </c>
      <c r="N173" s="1" t="s">
        <v>61</v>
      </c>
    </row>
    <row r="174" spans="1:14" x14ac:dyDescent="0.25">
      <c r="A174" s="1">
        <v>2018</v>
      </c>
      <c r="B174" s="1">
        <v>4</v>
      </c>
      <c r="C174" s="1" t="s">
        <v>57</v>
      </c>
      <c r="D174" s="1" t="s">
        <v>22</v>
      </c>
      <c r="E174" s="1" t="s">
        <v>23</v>
      </c>
      <c r="F174" s="1" t="s">
        <v>34</v>
      </c>
      <c r="G174" s="1">
        <v>2762.8045454544999</v>
      </c>
      <c r="H174" s="1">
        <v>2762.8045454506</v>
      </c>
      <c r="I174" s="1" t="s">
        <v>74</v>
      </c>
      <c r="J174" s="1" t="s">
        <v>78</v>
      </c>
      <c r="K174" s="1" t="s">
        <v>121</v>
      </c>
      <c r="L174" s="1">
        <v>217</v>
      </c>
      <c r="M174" s="1" t="s">
        <v>122</v>
      </c>
      <c r="N174" s="1" t="s">
        <v>123</v>
      </c>
    </row>
    <row r="175" spans="1:14" x14ac:dyDescent="0.25">
      <c r="A175" s="1">
        <v>2018</v>
      </c>
      <c r="B175" s="1">
        <v>4</v>
      </c>
      <c r="C175" s="1" t="s">
        <v>57</v>
      </c>
      <c r="D175" s="1" t="s">
        <v>22</v>
      </c>
      <c r="E175" s="1" t="s">
        <v>23</v>
      </c>
      <c r="F175" s="1" t="s">
        <v>34</v>
      </c>
      <c r="G175" s="1">
        <v>2457.2409090909</v>
      </c>
      <c r="H175" s="1">
        <v>2457.2409090873998</v>
      </c>
      <c r="I175" s="1" t="s">
        <v>74</v>
      </c>
      <c r="J175" s="1" t="s">
        <v>78</v>
      </c>
      <c r="K175" s="1" t="s">
        <v>121</v>
      </c>
      <c r="L175" s="1">
        <v>193</v>
      </c>
      <c r="M175" s="1" t="s">
        <v>122</v>
      </c>
      <c r="N175" s="1" t="s">
        <v>191</v>
      </c>
    </row>
    <row r="176" spans="1:14" x14ac:dyDescent="0.25">
      <c r="A176" s="1">
        <v>2018</v>
      </c>
      <c r="B176" s="1">
        <v>4</v>
      </c>
      <c r="C176" s="1" t="s">
        <v>57</v>
      </c>
      <c r="D176" s="1" t="s">
        <v>22</v>
      </c>
      <c r="E176" s="1" t="s">
        <v>23</v>
      </c>
      <c r="F176" s="1" t="s">
        <v>34</v>
      </c>
      <c r="G176" s="1">
        <v>2151.6772727273001</v>
      </c>
      <c r="H176" s="1">
        <v>2151.6772727242001</v>
      </c>
      <c r="I176" s="1" t="s">
        <v>74</v>
      </c>
      <c r="J176" s="1" t="s">
        <v>78</v>
      </c>
      <c r="K176" s="1" t="s">
        <v>121</v>
      </c>
      <c r="L176" s="1">
        <v>169</v>
      </c>
      <c r="M176" s="1" t="s">
        <v>122</v>
      </c>
      <c r="N176" s="1" t="s">
        <v>123</v>
      </c>
    </row>
    <row r="177" spans="1:14" x14ac:dyDescent="0.25">
      <c r="A177" s="1">
        <v>2018</v>
      </c>
      <c r="B177" s="1">
        <v>5</v>
      </c>
      <c r="C177" s="1" t="s">
        <v>63</v>
      </c>
      <c r="D177" s="1" t="s">
        <v>22</v>
      </c>
      <c r="E177" s="1" t="s">
        <v>23</v>
      </c>
      <c r="F177" s="1" t="s">
        <v>34</v>
      </c>
      <c r="G177" s="1">
        <v>2382.5414634146</v>
      </c>
      <c r="H177" s="1">
        <v>2382.5414634048002</v>
      </c>
      <c r="I177" s="1" t="s">
        <v>73</v>
      </c>
      <c r="J177" s="1" t="s">
        <v>103</v>
      </c>
      <c r="K177" s="1" t="s">
        <v>121</v>
      </c>
      <c r="L177" s="1">
        <v>288</v>
      </c>
      <c r="M177" s="1" t="s">
        <v>122</v>
      </c>
      <c r="N177" s="1" t="s">
        <v>161</v>
      </c>
    </row>
    <row r="178" spans="1:14" x14ac:dyDescent="0.25">
      <c r="A178" s="1">
        <v>2018</v>
      </c>
      <c r="B178" s="1">
        <v>5</v>
      </c>
      <c r="C178" s="1" t="s">
        <v>63</v>
      </c>
      <c r="D178" s="1" t="s">
        <v>22</v>
      </c>
      <c r="E178" s="1" t="s">
        <v>23</v>
      </c>
      <c r="F178" s="1" t="s">
        <v>34</v>
      </c>
      <c r="G178" s="1">
        <v>1323.6341463414999</v>
      </c>
      <c r="H178" s="1">
        <v>1323.634146336</v>
      </c>
      <c r="I178" s="1" t="s">
        <v>73</v>
      </c>
      <c r="J178" s="1" t="s">
        <v>103</v>
      </c>
      <c r="K178" s="1" t="s">
        <v>121</v>
      </c>
      <c r="L178" s="1">
        <v>160</v>
      </c>
      <c r="M178" s="1" t="s">
        <v>122</v>
      </c>
      <c r="N178" s="1" t="s">
        <v>168</v>
      </c>
    </row>
    <row r="179" spans="1:14" x14ac:dyDescent="0.25">
      <c r="A179" s="1">
        <v>2018</v>
      </c>
      <c r="B179" s="1">
        <v>5</v>
      </c>
      <c r="C179" s="1" t="s">
        <v>63</v>
      </c>
      <c r="D179" s="1" t="s">
        <v>22</v>
      </c>
      <c r="E179" s="1" t="s">
        <v>23</v>
      </c>
      <c r="F179" s="1" t="s">
        <v>34</v>
      </c>
      <c r="G179" s="1">
        <v>3970.9024390243999</v>
      </c>
      <c r="H179" s="1">
        <v>3970.9024390079999</v>
      </c>
      <c r="I179" s="1" t="s">
        <v>73</v>
      </c>
      <c r="J179" s="1" t="s">
        <v>82</v>
      </c>
      <c r="K179" s="1" t="s">
        <v>121</v>
      </c>
      <c r="L179" s="1">
        <v>480</v>
      </c>
      <c r="M179" s="1" t="s">
        <v>122</v>
      </c>
      <c r="N179" s="1" t="s">
        <v>231</v>
      </c>
    </row>
    <row r="180" spans="1:14" x14ac:dyDescent="0.25">
      <c r="A180" s="1">
        <v>2018</v>
      </c>
      <c r="B180" s="1">
        <v>5</v>
      </c>
      <c r="C180" s="1" t="s">
        <v>63</v>
      </c>
      <c r="D180" s="1" t="s">
        <v>22</v>
      </c>
      <c r="E180" s="1" t="s">
        <v>23</v>
      </c>
      <c r="F180" s="1" t="s">
        <v>34</v>
      </c>
      <c r="G180" s="1">
        <v>3970.9024390243999</v>
      </c>
      <c r="H180" s="1">
        <v>3970.9024390079999</v>
      </c>
      <c r="I180" s="1" t="s">
        <v>73</v>
      </c>
      <c r="J180" s="1" t="s">
        <v>86</v>
      </c>
      <c r="K180" s="1" t="s">
        <v>121</v>
      </c>
      <c r="L180" s="1">
        <v>480</v>
      </c>
      <c r="M180" s="1" t="s">
        <v>122</v>
      </c>
      <c r="N180" s="1" t="s">
        <v>232</v>
      </c>
    </row>
    <row r="181" spans="1:14" x14ac:dyDescent="0.25">
      <c r="A181" s="1">
        <v>2018</v>
      </c>
      <c r="B181" s="1">
        <v>5</v>
      </c>
      <c r="C181" s="1" t="s">
        <v>63</v>
      </c>
      <c r="D181" s="1" t="s">
        <v>22</v>
      </c>
      <c r="E181" s="1" t="s">
        <v>23</v>
      </c>
      <c r="F181" s="1" t="s">
        <v>34</v>
      </c>
      <c r="G181" s="1">
        <v>794.18048780490005</v>
      </c>
      <c r="H181" s="1">
        <v>794.18048780159995</v>
      </c>
      <c r="I181" s="1" t="s">
        <v>73</v>
      </c>
      <c r="J181" s="1" t="s">
        <v>86</v>
      </c>
      <c r="K181" s="1" t="s">
        <v>121</v>
      </c>
      <c r="L181" s="1">
        <v>96</v>
      </c>
      <c r="M181" s="1" t="s">
        <v>122</v>
      </c>
      <c r="N181" s="1" t="s">
        <v>233</v>
      </c>
    </row>
    <row r="182" spans="1:14" x14ac:dyDescent="0.25">
      <c r="A182" s="1">
        <v>2018</v>
      </c>
      <c r="B182" s="1">
        <v>5</v>
      </c>
      <c r="C182" s="1" t="s">
        <v>63</v>
      </c>
      <c r="D182" s="1" t="s">
        <v>22</v>
      </c>
      <c r="E182" s="1" t="s">
        <v>23</v>
      </c>
      <c r="F182" s="1" t="s">
        <v>34</v>
      </c>
      <c r="G182" s="1">
        <v>1588.3609756098001</v>
      </c>
      <c r="H182" s="1">
        <v>1588.3609756031999</v>
      </c>
      <c r="I182" s="1" t="s">
        <v>73</v>
      </c>
      <c r="J182" s="1" t="s">
        <v>86</v>
      </c>
      <c r="K182" s="1" t="s">
        <v>121</v>
      </c>
      <c r="L182" s="1">
        <v>192</v>
      </c>
      <c r="M182" s="1" t="s">
        <v>122</v>
      </c>
      <c r="N182" s="1" t="s">
        <v>234</v>
      </c>
    </row>
    <row r="183" spans="1:14" x14ac:dyDescent="0.25">
      <c r="A183" s="1">
        <v>2018</v>
      </c>
      <c r="B183" s="1">
        <v>5</v>
      </c>
      <c r="C183" s="1" t="s">
        <v>63</v>
      </c>
      <c r="D183" s="1" t="s">
        <v>22</v>
      </c>
      <c r="E183" s="1" t="s">
        <v>23</v>
      </c>
      <c r="F183" s="1" t="s">
        <v>34</v>
      </c>
      <c r="G183" s="1">
        <v>1588.3609756098001</v>
      </c>
      <c r="H183" s="1">
        <v>1588.3609756031999</v>
      </c>
      <c r="I183" s="1" t="s">
        <v>73</v>
      </c>
      <c r="J183" s="1" t="s">
        <v>86</v>
      </c>
      <c r="K183" s="1" t="s">
        <v>121</v>
      </c>
      <c r="L183" s="1">
        <v>192</v>
      </c>
      <c r="M183" s="1" t="s">
        <v>122</v>
      </c>
      <c r="N183" s="1" t="s">
        <v>235</v>
      </c>
    </row>
    <row r="184" spans="1:14" x14ac:dyDescent="0.25">
      <c r="A184" s="1">
        <v>2018</v>
      </c>
      <c r="B184" s="1">
        <v>5</v>
      </c>
      <c r="C184" s="1" t="s">
        <v>63</v>
      </c>
      <c r="D184" s="1" t="s">
        <v>22</v>
      </c>
      <c r="E184" s="1" t="s">
        <v>23</v>
      </c>
      <c r="F184" s="1" t="s">
        <v>34</v>
      </c>
      <c r="G184" s="1">
        <v>1588.3609756097001</v>
      </c>
      <c r="H184" s="1">
        <v>1588.3609756031999</v>
      </c>
      <c r="I184" s="1" t="s">
        <v>73</v>
      </c>
      <c r="J184" s="1" t="s">
        <v>86</v>
      </c>
      <c r="K184" s="1" t="s">
        <v>121</v>
      </c>
      <c r="L184" s="1">
        <v>192</v>
      </c>
      <c r="M184" s="1" t="s">
        <v>122</v>
      </c>
      <c r="N184" s="1" t="s">
        <v>236</v>
      </c>
    </row>
    <row r="185" spans="1:14" x14ac:dyDescent="0.25">
      <c r="A185" s="1">
        <v>2018</v>
      </c>
      <c r="B185" s="1">
        <v>5</v>
      </c>
      <c r="C185" s="1" t="s">
        <v>63</v>
      </c>
      <c r="D185" s="1" t="s">
        <v>22</v>
      </c>
      <c r="E185" s="1" t="s">
        <v>23</v>
      </c>
      <c r="F185" s="1" t="s">
        <v>34</v>
      </c>
      <c r="G185" s="1">
        <v>1323.6341463414999</v>
      </c>
      <c r="H185" s="1">
        <v>1323.634146336</v>
      </c>
      <c r="I185" s="1" t="s">
        <v>73</v>
      </c>
      <c r="J185" s="1" t="s">
        <v>86</v>
      </c>
      <c r="K185" s="1" t="s">
        <v>121</v>
      </c>
      <c r="L185" s="1">
        <v>160</v>
      </c>
      <c r="M185" s="1" t="s">
        <v>122</v>
      </c>
      <c r="N185" s="1" t="s">
        <v>237</v>
      </c>
    </row>
    <row r="186" spans="1:14" x14ac:dyDescent="0.25">
      <c r="A186" s="1">
        <v>2018</v>
      </c>
      <c r="B186" s="1">
        <v>5</v>
      </c>
      <c r="C186" s="1" t="s">
        <v>63</v>
      </c>
      <c r="D186" s="1" t="s">
        <v>22</v>
      </c>
      <c r="E186" s="1" t="s">
        <v>23</v>
      </c>
      <c r="F186" s="1" t="s">
        <v>34</v>
      </c>
      <c r="G186" s="1">
        <v>992.72560975609997</v>
      </c>
      <c r="H186" s="1">
        <v>992.72560975199997</v>
      </c>
      <c r="I186" s="1" t="s">
        <v>73</v>
      </c>
      <c r="J186" s="1" t="s">
        <v>86</v>
      </c>
      <c r="K186" s="1" t="s">
        <v>121</v>
      </c>
      <c r="L186" s="1">
        <v>120</v>
      </c>
      <c r="M186" s="1" t="s">
        <v>122</v>
      </c>
      <c r="N186" s="1" t="s">
        <v>158</v>
      </c>
    </row>
    <row r="187" spans="1:14" x14ac:dyDescent="0.25">
      <c r="A187" s="1">
        <v>2018</v>
      </c>
      <c r="B187" s="1">
        <v>5</v>
      </c>
      <c r="C187" s="1" t="s">
        <v>63</v>
      </c>
      <c r="D187" s="1" t="s">
        <v>22</v>
      </c>
      <c r="E187" s="1" t="s">
        <v>23</v>
      </c>
      <c r="F187" s="1" t="s">
        <v>34</v>
      </c>
      <c r="G187" s="1">
        <v>1489.0884146341</v>
      </c>
      <c r="H187" s="1">
        <v>1489.088414628</v>
      </c>
      <c r="I187" s="1" t="s">
        <v>73</v>
      </c>
      <c r="J187" s="1" t="s">
        <v>86</v>
      </c>
      <c r="K187" s="1" t="s">
        <v>121</v>
      </c>
      <c r="L187" s="1">
        <v>180</v>
      </c>
      <c r="M187" s="1" t="s">
        <v>122</v>
      </c>
      <c r="N187" s="1" t="s">
        <v>238</v>
      </c>
    </row>
    <row r="188" spans="1:14" x14ac:dyDescent="0.25">
      <c r="A188" s="1">
        <v>2018</v>
      </c>
      <c r="B188" s="1">
        <v>5</v>
      </c>
      <c r="C188" s="1" t="s">
        <v>63</v>
      </c>
      <c r="D188" s="1" t="s">
        <v>22</v>
      </c>
      <c r="E188" s="1" t="s">
        <v>23</v>
      </c>
      <c r="F188" s="1" t="s">
        <v>34</v>
      </c>
      <c r="G188" s="1">
        <v>1654.5426829267999</v>
      </c>
      <c r="H188" s="1">
        <v>1654.5426829200001</v>
      </c>
      <c r="I188" s="1" t="s">
        <v>73</v>
      </c>
      <c r="J188" s="1" t="s">
        <v>86</v>
      </c>
      <c r="K188" s="1" t="s">
        <v>121</v>
      </c>
      <c r="L188" s="1">
        <v>200</v>
      </c>
      <c r="M188" s="1" t="s">
        <v>122</v>
      </c>
      <c r="N188" s="1" t="s">
        <v>189</v>
      </c>
    </row>
    <row r="189" spans="1:14" x14ac:dyDescent="0.25">
      <c r="A189" s="1">
        <v>2018</v>
      </c>
      <c r="B189" s="1">
        <v>5</v>
      </c>
      <c r="C189" s="1" t="s">
        <v>63</v>
      </c>
      <c r="D189" s="1" t="s">
        <v>22</v>
      </c>
      <c r="E189" s="1" t="s">
        <v>23</v>
      </c>
      <c r="F189" s="1" t="s">
        <v>34</v>
      </c>
      <c r="G189" s="1">
        <v>2142.6327743902002</v>
      </c>
      <c r="H189" s="1">
        <v>2142.6327743813999</v>
      </c>
      <c r="I189" s="1" t="s">
        <v>73</v>
      </c>
      <c r="J189" s="1" t="s">
        <v>86</v>
      </c>
      <c r="K189" s="1" t="s">
        <v>121</v>
      </c>
      <c r="L189" s="1">
        <v>259</v>
      </c>
      <c r="M189" s="1" t="s">
        <v>122</v>
      </c>
      <c r="N189" s="1" t="s">
        <v>171</v>
      </c>
    </row>
    <row r="190" spans="1:14" x14ac:dyDescent="0.25">
      <c r="A190" s="1">
        <v>2018</v>
      </c>
      <c r="B190" s="1">
        <v>5</v>
      </c>
      <c r="C190" s="1" t="s">
        <v>63</v>
      </c>
      <c r="D190" s="1" t="s">
        <v>22</v>
      </c>
      <c r="E190" s="1" t="s">
        <v>23</v>
      </c>
      <c r="F190" s="1" t="s">
        <v>32</v>
      </c>
      <c r="G190" s="1">
        <v>7703.4706439394004</v>
      </c>
      <c r="H190" s="1">
        <v>7703.4706439455003</v>
      </c>
      <c r="I190" s="1" t="s">
        <v>73</v>
      </c>
      <c r="J190" s="1" t="s">
        <v>86</v>
      </c>
      <c r="K190" s="1" t="s">
        <v>121</v>
      </c>
      <c r="L190" s="1">
        <v>155</v>
      </c>
      <c r="M190" s="1" t="s">
        <v>122</v>
      </c>
      <c r="N190" s="1" t="s">
        <v>218</v>
      </c>
    </row>
    <row r="191" spans="1:14" x14ac:dyDescent="0.25">
      <c r="A191" s="1">
        <v>2018</v>
      </c>
      <c r="B191" s="1">
        <v>5</v>
      </c>
      <c r="C191" s="1" t="s">
        <v>63</v>
      </c>
      <c r="D191" s="1" t="s">
        <v>22</v>
      </c>
      <c r="E191" s="1" t="s">
        <v>23</v>
      </c>
      <c r="F191" s="1" t="s">
        <v>32</v>
      </c>
      <c r="G191" s="1">
        <v>5168.7803030303003</v>
      </c>
      <c r="H191" s="1">
        <v>5168.7803030344003</v>
      </c>
      <c r="I191" s="1" t="s">
        <v>73</v>
      </c>
      <c r="J191" s="1" t="s">
        <v>86</v>
      </c>
      <c r="K191" s="1" t="s">
        <v>121</v>
      </c>
      <c r="L191" s="1">
        <v>104</v>
      </c>
      <c r="M191" s="1" t="s">
        <v>122</v>
      </c>
      <c r="N191" s="1" t="s">
        <v>219</v>
      </c>
    </row>
    <row r="192" spans="1:14" x14ac:dyDescent="0.25">
      <c r="A192" s="1">
        <v>2018</v>
      </c>
      <c r="B192" s="1">
        <v>5</v>
      </c>
      <c r="C192" s="1" t="s">
        <v>63</v>
      </c>
      <c r="D192" s="1" t="s">
        <v>22</v>
      </c>
      <c r="E192" s="1" t="s">
        <v>23</v>
      </c>
      <c r="F192" s="1" t="s">
        <v>32</v>
      </c>
      <c r="G192" s="1">
        <v>23855.909090909099</v>
      </c>
      <c r="H192" s="1">
        <v>23855.909090927998</v>
      </c>
      <c r="I192" s="1" t="s">
        <v>73</v>
      </c>
      <c r="J192" s="1" t="s">
        <v>86</v>
      </c>
      <c r="K192" s="1" t="s">
        <v>121</v>
      </c>
      <c r="L192" s="1">
        <v>480</v>
      </c>
      <c r="M192" s="1" t="s">
        <v>122</v>
      </c>
      <c r="N192" s="1" t="s">
        <v>239</v>
      </c>
    </row>
    <row r="193" spans="1:14" x14ac:dyDescent="0.25">
      <c r="A193" s="1">
        <v>2018</v>
      </c>
      <c r="B193" s="1">
        <v>5</v>
      </c>
      <c r="C193" s="1" t="s">
        <v>63</v>
      </c>
      <c r="D193" s="1" t="s">
        <v>22</v>
      </c>
      <c r="E193" s="1" t="s">
        <v>23</v>
      </c>
      <c r="F193" s="1" t="s">
        <v>32</v>
      </c>
      <c r="G193" s="1">
        <v>4075.384469697</v>
      </c>
      <c r="H193" s="1">
        <v>4075.3844697002</v>
      </c>
      <c r="I193" s="1" t="s">
        <v>73</v>
      </c>
      <c r="J193" s="1" t="s">
        <v>86</v>
      </c>
      <c r="K193" s="1" t="s">
        <v>121</v>
      </c>
      <c r="L193" s="1">
        <v>82</v>
      </c>
      <c r="M193" s="1" t="s">
        <v>122</v>
      </c>
      <c r="N193" s="1" t="s">
        <v>240</v>
      </c>
    </row>
    <row r="194" spans="1:14" x14ac:dyDescent="0.25">
      <c r="A194" s="1">
        <v>2018</v>
      </c>
      <c r="B194" s="1">
        <v>5</v>
      </c>
      <c r="C194" s="1" t="s">
        <v>63</v>
      </c>
      <c r="D194" s="1" t="s">
        <v>22</v>
      </c>
      <c r="E194" s="1" t="s">
        <v>23</v>
      </c>
      <c r="F194" s="1" t="s">
        <v>32</v>
      </c>
      <c r="G194" s="1">
        <v>2882.5890151515</v>
      </c>
      <c r="H194" s="1">
        <v>2882.5890151538001</v>
      </c>
      <c r="I194" s="1" t="s">
        <v>75</v>
      </c>
      <c r="J194" s="1" t="s">
        <v>88</v>
      </c>
      <c r="K194" s="1" t="s">
        <v>121</v>
      </c>
      <c r="L194" s="1">
        <v>58</v>
      </c>
      <c r="M194" s="1" t="s">
        <v>122</v>
      </c>
      <c r="N194" s="1" t="s">
        <v>165</v>
      </c>
    </row>
    <row r="195" spans="1:14" x14ac:dyDescent="0.25">
      <c r="A195" s="1">
        <v>2018</v>
      </c>
      <c r="B195" s="1">
        <v>5</v>
      </c>
      <c r="C195" s="1" t="s">
        <v>63</v>
      </c>
      <c r="D195" s="1" t="s">
        <v>22</v>
      </c>
      <c r="E195" s="1" t="s">
        <v>23</v>
      </c>
      <c r="F195" s="1" t="s">
        <v>32</v>
      </c>
      <c r="G195" s="1">
        <v>8001.6695075757998</v>
      </c>
      <c r="H195" s="1">
        <v>8001.6695075820999</v>
      </c>
      <c r="I195" s="1" t="s">
        <v>73</v>
      </c>
      <c r="J195" s="1" t="s">
        <v>93</v>
      </c>
      <c r="K195" s="1" t="s">
        <v>121</v>
      </c>
      <c r="L195" s="1">
        <v>161</v>
      </c>
      <c r="M195" s="1" t="s">
        <v>122</v>
      </c>
      <c r="N195" s="1" t="s">
        <v>140</v>
      </c>
    </row>
    <row r="196" spans="1:14" x14ac:dyDescent="0.25">
      <c r="A196" s="1">
        <v>2018</v>
      </c>
      <c r="B196" s="1">
        <v>5</v>
      </c>
      <c r="C196" s="1" t="s">
        <v>63</v>
      </c>
      <c r="D196" s="1" t="s">
        <v>22</v>
      </c>
      <c r="E196" s="1" t="s">
        <v>23</v>
      </c>
      <c r="F196" s="1" t="s">
        <v>32</v>
      </c>
      <c r="G196" s="1">
        <v>844.89678030300001</v>
      </c>
      <c r="H196" s="1">
        <v>844.89678030369998</v>
      </c>
      <c r="I196" s="1" t="s">
        <v>73</v>
      </c>
      <c r="J196" s="1" t="s">
        <v>93</v>
      </c>
      <c r="K196" s="1" t="s">
        <v>121</v>
      </c>
      <c r="L196" s="1">
        <v>17</v>
      </c>
      <c r="M196" s="1" t="s">
        <v>122</v>
      </c>
      <c r="N196" s="1" t="s">
        <v>221</v>
      </c>
    </row>
    <row r="197" spans="1:14" x14ac:dyDescent="0.25">
      <c r="A197" s="1">
        <v>2018</v>
      </c>
      <c r="B197" s="1">
        <v>5</v>
      </c>
      <c r="C197" s="1" t="s">
        <v>63</v>
      </c>
      <c r="D197" s="1" t="s">
        <v>22</v>
      </c>
      <c r="E197" s="1" t="s">
        <v>23</v>
      </c>
      <c r="F197" s="1" t="s">
        <v>32</v>
      </c>
      <c r="G197" s="1">
        <v>4671.7821969696997</v>
      </c>
      <c r="H197" s="1">
        <v>4671.7821969733996</v>
      </c>
      <c r="I197" s="1" t="s">
        <v>73</v>
      </c>
      <c r="J197" s="1" t="s">
        <v>93</v>
      </c>
      <c r="K197" s="1" t="s">
        <v>121</v>
      </c>
      <c r="L197" s="1">
        <v>94</v>
      </c>
      <c r="M197" s="1" t="s">
        <v>122</v>
      </c>
      <c r="N197" s="1" t="s">
        <v>59</v>
      </c>
    </row>
    <row r="198" spans="1:14" x14ac:dyDescent="0.25">
      <c r="A198" s="1">
        <v>2018</v>
      </c>
      <c r="B198" s="1">
        <v>5</v>
      </c>
      <c r="C198" s="1" t="s">
        <v>63</v>
      </c>
      <c r="D198" s="1" t="s">
        <v>22</v>
      </c>
      <c r="E198" s="1" t="s">
        <v>23</v>
      </c>
      <c r="F198" s="1" t="s">
        <v>32</v>
      </c>
      <c r="G198" s="1">
        <v>2981.9886363635001</v>
      </c>
      <c r="H198" s="1">
        <v>2981.9886363659998</v>
      </c>
      <c r="I198" s="1" t="s">
        <v>75</v>
      </c>
      <c r="J198" s="1" t="s">
        <v>100</v>
      </c>
      <c r="K198" s="1" t="s">
        <v>121</v>
      </c>
      <c r="L198" s="1">
        <v>60</v>
      </c>
      <c r="M198" s="1" t="s">
        <v>122</v>
      </c>
      <c r="N198" s="1" t="s">
        <v>241</v>
      </c>
    </row>
    <row r="199" spans="1:14" x14ac:dyDescent="0.25">
      <c r="A199" s="1">
        <v>2018</v>
      </c>
      <c r="B199" s="1">
        <v>5</v>
      </c>
      <c r="C199" s="1" t="s">
        <v>63</v>
      </c>
      <c r="D199" s="1" t="s">
        <v>22</v>
      </c>
      <c r="E199" s="1" t="s">
        <v>23</v>
      </c>
      <c r="F199" s="1" t="s">
        <v>34</v>
      </c>
      <c r="G199" s="1">
        <v>41.363567073200002</v>
      </c>
      <c r="H199" s="1">
        <v>41.363567072999999</v>
      </c>
      <c r="I199" s="1" t="s">
        <v>73</v>
      </c>
      <c r="J199" s="1" t="s">
        <v>84</v>
      </c>
      <c r="K199" s="1" t="s">
        <v>121</v>
      </c>
      <c r="L199" s="1">
        <v>5</v>
      </c>
      <c r="M199" s="1" t="s">
        <v>122</v>
      </c>
      <c r="N199" s="1" t="s">
        <v>242</v>
      </c>
    </row>
    <row r="200" spans="1:14" x14ac:dyDescent="0.25">
      <c r="A200" s="1">
        <v>2018</v>
      </c>
      <c r="B200" s="1">
        <v>5</v>
      </c>
      <c r="C200" s="1" t="s">
        <v>63</v>
      </c>
      <c r="D200" s="1" t="s">
        <v>22</v>
      </c>
      <c r="E200" s="1" t="s">
        <v>23</v>
      </c>
      <c r="F200" s="1" t="s">
        <v>34</v>
      </c>
      <c r="G200" s="1">
        <v>1588.3609756098001</v>
      </c>
      <c r="H200" s="1">
        <v>1588.3609756031999</v>
      </c>
      <c r="I200" s="1" t="s">
        <v>73</v>
      </c>
      <c r="J200" s="1" t="s">
        <v>84</v>
      </c>
      <c r="K200" s="1" t="s">
        <v>121</v>
      </c>
      <c r="L200" s="1">
        <v>192</v>
      </c>
      <c r="M200" s="1" t="s">
        <v>122</v>
      </c>
      <c r="N200" s="1" t="s">
        <v>203</v>
      </c>
    </row>
    <row r="201" spans="1:14" x14ac:dyDescent="0.25">
      <c r="A201" s="1">
        <v>2018</v>
      </c>
      <c r="B201" s="1">
        <v>5</v>
      </c>
      <c r="C201" s="1" t="s">
        <v>63</v>
      </c>
      <c r="D201" s="1" t="s">
        <v>22</v>
      </c>
      <c r="E201" s="1" t="s">
        <v>23</v>
      </c>
      <c r="F201" s="1" t="s">
        <v>34</v>
      </c>
      <c r="G201" s="1">
        <v>1985.4512195121999</v>
      </c>
      <c r="H201" s="1">
        <v>1985.4512195039999</v>
      </c>
      <c r="I201" s="1" t="s">
        <v>73</v>
      </c>
      <c r="J201" s="1" t="s">
        <v>84</v>
      </c>
      <c r="K201" s="1" t="s">
        <v>121</v>
      </c>
      <c r="L201" s="1">
        <v>240</v>
      </c>
      <c r="M201" s="1" t="s">
        <v>122</v>
      </c>
      <c r="N201" s="1" t="s">
        <v>189</v>
      </c>
    </row>
    <row r="202" spans="1:14" x14ac:dyDescent="0.25">
      <c r="A202" s="1">
        <v>2018</v>
      </c>
      <c r="B202" s="1">
        <v>5</v>
      </c>
      <c r="C202" s="1" t="s">
        <v>63</v>
      </c>
      <c r="D202" s="1" t="s">
        <v>22</v>
      </c>
      <c r="E202" s="1" t="s">
        <v>23</v>
      </c>
      <c r="F202" s="1" t="s">
        <v>34</v>
      </c>
      <c r="G202" s="1">
        <v>1489.0884146341</v>
      </c>
      <c r="H202" s="1">
        <v>1489.088414628</v>
      </c>
      <c r="I202" s="1" t="s">
        <v>73</v>
      </c>
      <c r="J202" s="1" t="s">
        <v>84</v>
      </c>
      <c r="K202" s="1" t="s">
        <v>121</v>
      </c>
      <c r="L202" s="1">
        <v>180</v>
      </c>
      <c r="M202" s="1" t="s">
        <v>122</v>
      </c>
      <c r="N202" s="1" t="s">
        <v>186</v>
      </c>
    </row>
    <row r="203" spans="1:14" x14ac:dyDescent="0.25">
      <c r="A203" s="1">
        <v>2018</v>
      </c>
      <c r="B203" s="1">
        <v>5</v>
      </c>
      <c r="C203" s="1" t="s">
        <v>63</v>
      </c>
      <c r="D203" s="1" t="s">
        <v>22</v>
      </c>
      <c r="E203" s="1" t="s">
        <v>23</v>
      </c>
      <c r="F203" s="1" t="s">
        <v>34</v>
      </c>
      <c r="G203" s="1">
        <v>3970.9024390243999</v>
      </c>
      <c r="H203" s="1">
        <v>3970.9024390079999</v>
      </c>
      <c r="I203" s="1" t="s">
        <v>73</v>
      </c>
      <c r="J203" s="1" t="s">
        <v>84</v>
      </c>
      <c r="K203" s="1" t="s">
        <v>121</v>
      </c>
      <c r="L203" s="1">
        <v>480</v>
      </c>
      <c r="M203" s="1" t="s">
        <v>122</v>
      </c>
      <c r="N203" s="1" t="s">
        <v>181</v>
      </c>
    </row>
    <row r="204" spans="1:14" x14ac:dyDescent="0.25">
      <c r="A204" s="1">
        <v>2018</v>
      </c>
      <c r="B204" s="1">
        <v>5</v>
      </c>
      <c r="C204" s="1" t="s">
        <v>63</v>
      </c>
      <c r="D204" s="1" t="s">
        <v>22</v>
      </c>
      <c r="E204" s="1" t="s">
        <v>23</v>
      </c>
      <c r="F204" s="1" t="s">
        <v>34</v>
      </c>
      <c r="G204" s="1">
        <v>1985.4512195121999</v>
      </c>
      <c r="H204" s="1">
        <v>1985.4512195039999</v>
      </c>
      <c r="I204" s="1" t="s">
        <v>73</v>
      </c>
      <c r="J204" s="1" t="s">
        <v>84</v>
      </c>
      <c r="K204" s="1" t="s">
        <v>121</v>
      </c>
      <c r="L204" s="1">
        <v>240</v>
      </c>
      <c r="M204" s="1" t="s">
        <v>122</v>
      </c>
      <c r="N204" s="1" t="s">
        <v>196</v>
      </c>
    </row>
    <row r="205" spans="1:14" x14ac:dyDescent="0.25">
      <c r="A205" s="1">
        <v>2018</v>
      </c>
      <c r="B205" s="1">
        <v>5</v>
      </c>
      <c r="C205" s="1" t="s">
        <v>63</v>
      </c>
      <c r="D205" s="1" t="s">
        <v>22</v>
      </c>
      <c r="E205" s="1" t="s">
        <v>23</v>
      </c>
      <c r="F205" s="1" t="s">
        <v>34</v>
      </c>
      <c r="G205" s="1">
        <v>1323.6341463414999</v>
      </c>
      <c r="H205" s="1">
        <v>1323.634146336</v>
      </c>
      <c r="I205" s="1" t="s">
        <v>73</v>
      </c>
      <c r="J205" s="1" t="s">
        <v>84</v>
      </c>
      <c r="K205" s="1" t="s">
        <v>121</v>
      </c>
      <c r="L205" s="1">
        <v>160</v>
      </c>
      <c r="M205" s="1" t="s">
        <v>122</v>
      </c>
      <c r="N205" s="1" t="s">
        <v>196</v>
      </c>
    </row>
    <row r="206" spans="1:14" x14ac:dyDescent="0.25">
      <c r="A206" s="1">
        <v>2018</v>
      </c>
      <c r="B206" s="1">
        <v>5</v>
      </c>
      <c r="C206" s="1" t="s">
        <v>63</v>
      </c>
      <c r="D206" s="1" t="s">
        <v>22</v>
      </c>
      <c r="E206" s="1" t="s">
        <v>23</v>
      </c>
      <c r="F206" s="1" t="s">
        <v>34</v>
      </c>
      <c r="G206" s="1">
        <v>1323.6341463414999</v>
      </c>
      <c r="H206" s="1">
        <v>1323.634146336</v>
      </c>
      <c r="I206" s="1" t="s">
        <v>73</v>
      </c>
      <c r="J206" s="1" t="s">
        <v>84</v>
      </c>
      <c r="K206" s="1" t="s">
        <v>121</v>
      </c>
      <c r="L206" s="1">
        <v>160</v>
      </c>
      <c r="M206" s="1" t="s">
        <v>122</v>
      </c>
      <c r="N206" s="1" t="s">
        <v>134</v>
      </c>
    </row>
    <row r="207" spans="1:14" x14ac:dyDescent="0.25">
      <c r="A207" s="1">
        <v>2018</v>
      </c>
      <c r="B207" s="1">
        <v>5</v>
      </c>
      <c r="C207" s="1" t="s">
        <v>63</v>
      </c>
      <c r="D207" s="1" t="s">
        <v>22</v>
      </c>
      <c r="E207" s="1" t="s">
        <v>23</v>
      </c>
      <c r="F207" s="1" t="s">
        <v>34</v>
      </c>
      <c r="G207" s="1">
        <v>1323.6341463414999</v>
      </c>
      <c r="H207" s="1">
        <v>1323.634146336</v>
      </c>
      <c r="I207" s="1" t="s">
        <v>73</v>
      </c>
      <c r="J207" s="1" t="s">
        <v>84</v>
      </c>
      <c r="K207" s="1" t="s">
        <v>121</v>
      </c>
      <c r="L207" s="1">
        <v>160</v>
      </c>
      <c r="M207" s="1" t="s">
        <v>122</v>
      </c>
      <c r="N207" s="1" t="s">
        <v>169</v>
      </c>
    </row>
    <row r="208" spans="1:14" x14ac:dyDescent="0.25">
      <c r="A208" s="1">
        <v>2018</v>
      </c>
      <c r="B208" s="1">
        <v>5</v>
      </c>
      <c r="C208" s="1" t="s">
        <v>63</v>
      </c>
      <c r="D208" s="1" t="s">
        <v>22</v>
      </c>
      <c r="E208" s="1" t="s">
        <v>23</v>
      </c>
      <c r="F208" s="1" t="s">
        <v>34</v>
      </c>
      <c r="G208" s="1">
        <v>1985.4512195121999</v>
      </c>
      <c r="H208" s="1">
        <v>1985.4512195039999</v>
      </c>
      <c r="I208" s="1" t="s">
        <v>73</v>
      </c>
      <c r="J208" s="1" t="s">
        <v>84</v>
      </c>
      <c r="K208" s="1" t="s">
        <v>121</v>
      </c>
      <c r="L208" s="1">
        <v>240</v>
      </c>
      <c r="M208" s="1" t="s">
        <v>122</v>
      </c>
      <c r="N208" s="1" t="s">
        <v>166</v>
      </c>
    </row>
    <row r="209" spans="1:14" x14ac:dyDescent="0.25">
      <c r="A209" s="1">
        <v>2018</v>
      </c>
      <c r="B209" s="1">
        <v>5</v>
      </c>
      <c r="C209" s="1" t="s">
        <v>63</v>
      </c>
      <c r="D209" s="1" t="s">
        <v>22</v>
      </c>
      <c r="E209" s="1" t="s">
        <v>23</v>
      </c>
      <c r="F209" s="1" t="s">
        <v>34</v>
      </c>
      <c r="G209" s="1">
        <v>2382.5414634143999</v>
      </c>
      <c r="H209" s="1">
        <v>2382.5414634048002</v>
      </c>
      <c r="I209" s="1" t="s">
        <v>73</v>
      </c>
      <c r="J209" s="1" t="s">
        <v>84</v>
      </c>
      <c r="K209" s="1" t="s">
        <v>121</v>
      </c>
      <c r="L209" s="1">
        <v>288</v>
      </c>
      <c r="M209" s="1" t="s">
        <v>122</v>
      </c>
      <c r="N209" s="1" t="s">
        <v>127</v>
      </c>
    </row>
    <row r="210" spans="1:14" x14ac:dyDescent="0.25">
      <c r="A210" s="1">
        <v>2018</v>
      </c>
      <c r="B210" s="1">
        <v>5</v>
      </c>
      <c r="C210" s="1" t="s">
        <v>63</v>
      </c>
      <c r="D210" s="1" t="s">
        <v>22</v>
      </c>
      <c r="E210" s="1" t="s">
        <v>23</v>
      </c>
      <c r="F210" s="1" t="s">
        <v>34</v>
      </c>
      <c r="G210" s="1">
        <v>2647.2682926829002</v>
      </c>
      <c r="H210" s="1">
        <v>2647.2682926719999</v>
      </c>
      <c r="I210" s="1" t="s">
        <v>73</v>
      </c>
      <c r="J210" s="1" t="s">
        <v>84</v>
      </c>
      <c r="K210" s="1" t="s">
        <v>121</v>
      </c>
      <c r="L210" s="1">
        <v>320</v>
      </c>
      <c r="M210" s="1" t="s">
        <v>122</v>
      </c>
      <c r="N210" s="1" t="s">
        <v>52</v>
      </c>
    </row>
    <row r="211" spans="1:14" x14ac:dyDescent="0.25">
      <c r="A211" s="1">
        <v>2018</v>
      </c>
      <c r="B211" s="1">
        <v>5</v>
      </c>
      <c r="C211" s="1" t="s">
        <v>63</v>
      </c>
      <c r="D211" s="1" t="s">
        <v>22</v>
      </c>
      <c r="E211" s="1" t="s">
        <v>23</v>
      </c>
      <c r="F211" s="1" t="s">
        <v>34</v>
      </c>
      <c r="G211" s="1">
        <v>1985.4512195121999</v>
      </c>
      <c r="H211" s="1">
        <v>1985.4512195039999</v>
      </c>
      <c r="I211" s="1" t="s">
        <v>73</v>
      </c>
      <c r="J211" s="1" t="s">
        <v>84</v>
      </c>
      <c r="K211" s="1" t="s">
        <v>121</v>
      </c>
      <c r="L211" s="1">
        <v>240</v>
      </c>
      <c r="M211" s="1" t="s">
        <v>122</v>
      </c>
      <c r="N211" s="1" t="s">
        <v>177</v>
      </c>
    </row>
    <row r="212" spans="1:14" x14ac:dyDescent="0.25">
      <c r="A212" s="1">
        <v>2018</v>
      </c>
      <c r="B212" s="1">
        <v>5</v>
      </c>
      <c r="C212" s="1" t="s">
        <v>63</v>
      </c>
      <c r="D212" s="1" t="s">
        <v>22</v>
      </c>
      <c r="E212" s="1" t="s">
        <v>23</v>
      </c>
      <c r="F212" s="1" t="s">
        <v>34</v>
      </c>
      <c r="G212" s="1">
        <v>1985.4512195121999</v>
      </c>
      <c r="H212" s="1">
        <v>1985.4512195039999</v>
      </c>
      <c r="I212" s="1" t="s">
        <v>73</v>
      </c>
      <c r="J212" s="1" t="s">
        <v>84</v>
      </c>
      <c r="K212" s="1" t="s">
        <v>121</v>
      </c>
      <c r="L212" s="1">
        <v>240</v>
      </c>
      <c r="M212" s="1" t="s">
        <v>122</v>
      </c>
      <c r="N212" s="1" t="s">
        <v>128</v>
      </c>
    </row>
    <row r="213" spans="1:14" x14ac:dyDescent="0.25">
      <c r="A213" s="1">
        <v>2018</v>
      </c>
      <c r="B213" s="1">
        <v>5</v>
      </c>
      <c r="C213" s="1" t="s">
        <v>63</v>
      </c>
      <c r="D213" s="1" t="s">
        <v>22</v>
      </c>
      <c r="E213" s="1" t="s">
        <v>23</v>
      </c>
      <c r="F213" s="1" t="s">
        <v>34</v>
      </c>
      <c r="G213" s="1">
        <v>992.72560975609997</v>
      </c>
      <c r="H213" s="1">
        <v>992.72560975199997</v>
      </c>
      <c r="I213" s="1" t="s">
        <v>73</v>
      </c>
      <c r="J213" s="1" t="s">
        <v>84</v>
      </c>
      <c r="K213" s="1" t="s">
        <v>121</v>
      </c>
      <c r="L213" s="1">
        <v>120</v>
      </c>
      <c r="M213" s="1" t="s">
        <v>122</v>
      </c>
      <c r="N213" s="1" t="s">
        <v>243</v>
      </c>
    </row>
    <row r="214" spans="1:14" x14ac:dyDescent="0.25">
      <c r="A214" s="1">
        <v>2018</v>
      </c>
      <c r="B214" s="1">
        <v>5</v>
      </c>
      <c r="C214" s="1" t="s">
        <v>63</v>
      </c>
      <c r="D214" s="1" t="s">
        <v>22</v>
      </c>
      <c r="E214" s="1" t="s">
        <v>23</v>
      </c>
      <c r="F214" s="1" t="s">
        <v>34</v>
      </c>
      <c r="G214" s="1">
        <v>1985.4512195121999</v>
      </c>
      <c r="H214" s="1">
        <v>1985.4512195039999</v>
      </c>
      <c r="I214" s="1" t="s">
        <v>73</v>
      </c>
      <c r="J214" s="1" t="s">
        <v>84</v>
      </c>
      <c r="K214" s="1" t="s">
        <v>121</v>
      </c>
      <c r="L214" s="1">
        <v>240</v>
      </c>
      <c r="M214" s="1" t="s">
        <v>122</v>
      </c>
      <c r="N214" s="1" t="s">
        <v>174</v>
      </c>
    </row>
    <row r="215" spans="1:14" x14ac:dyDescent="0.25">
      <c r="A215" s="1">
        <v>2018</v>
      </c>
      <c r="B215" s="1">
        <v>5</v>
      </c>
      <c r="C215" s="1" t="s">
        <v>63</v>
      </c>
      <c r="D215" s="1" t="s">
        <v>22</v>
      </c>
      <c r="E215" s="1" t="s">
        <v>23</v>
      </c>
      <c r="F215" s="1" t="s">
        <v>34</v>
      </c>
      <c r="G215" s="1">
        <v>1786.906097561</v>
      </c>
      <c r="H215" s="1">
        <v>1786.9060975535999</v>
      </c>
      <c r="I215" s="1" t="s">
        <v>73</v>
      </c>
      <c r="J215" s="1" t="s">
        <v>84</v>
      </c>
      <c r="K215" s="1" t="s">
        <v>121</v>
      </c>
      <c r="L215" s="1">
        <v>216</v>
      </c>
      <c r="M215" s="1" t="s">
        <v>122</v>
      </c>
      <c r="N215" s="1" t="s">
        <v>160</v>
      </c>
    </row>
    <row r="216" spans="1:14" x14ac:dyDescent="0.25">
      <c r="A216" s="1">
        <v>2018</v>
      </c>
      <c r="B216" s="1">
        <v>5</v>
      </c>
      <c r="C216" s="1" t="s">
        <v>63</v>
      </c>
      <c r="D216" s="1" t="s">
        <v>22</v>
      </c>
      <c r="E216" s="1" t="s">
        <v>23</v>
      </c>
      <c r="F216" s="1" t="s">
        <v>34</v>
      </c>
      <c r="G216" s="1">
        <v>1323.6341463414999</v>
      </c>
      <c r="H216" s="1">
        <v>1323.634146336</v>
      </c>
      <c r="I216" s="1" t="s">
        <v>73</v>
      </c>
      <c r="J216" s="1" t="s">
        <v>84</v>
      </c>
      <c r="K216" s="1" t="s">
        <v>121</v>
      </c>
      <c r="L216" s="1">
        <v>160</v>
      </c>
      <c r="M216" s="1" t="s">
        <v>122</v>
      </c>
      <c r="N216" s="1" t="s">
        <v>244</v>
      </c>
    </row>
    <row r="217" spans="1:14" x14ac:dyDescent="0.25">
      <c r="A217" s="1">
        <v>2018</v>
      </c>
      <c r="B217" s="1">
        <v>5</v>
      </c>
      <c r="C217" s="1" t="s">
        <v>63</v>
      </c>
      <c r="D217" s="1" t="s">
        <v>22</v>
      </c>
      <c r="E217" s="1" t="s">
        <v>23</v>
      </c>
      <c r="F217" s="1" t="s">
        <v>32</v>
      </c>
      <c r="G217" s="1">
        <v>20873.9204545455</v>
      </c>
      <c r="H217" s="1">
        <v>20873.920454562001</v>
      </c>
      <c r="I217" s="1" t="s">
        <v>73</v>
      </c>
      <c r="J217" s="1" t="s">
        <v>91</v>
      </c>
      <c r="K217" s="1" t="s">
        <v>121</v>
      </c>
      <c r="L217" s="1">
        <v>420</v>
      </c>
      <c r="M217" s="1" t="s">
        <v>122</v>
      </c>
      <c r="N217" s="1" t="s">
        <v>151</v>
      </c>
    </row>
    <row r="218" spans="1:14" x14ac:dyDescent="0.25">
      <c r="A218" s="1">
        <v>2018</v>
      </c>
      <c r="B218" s="1">
        <v>5</v>
      </c>
      <c r="C218" s="1" t="s">
        <v>63</v>
      </c>
      <c r="D218" s="1" t="s">
        <v>22</v>
      </c>
      <c r="E218" s="1" t="s">
        <v>23</v>
      </c>
      <c r="F218" s="1" t="s">
        <v>32</v>
      </c>
      <c r="G218" s="1">
        <v>15705.140151515099</v>
      </c>
      <c r="H218" s="1">
        <v>15705.140151527599</v>
      </c>
      <c r="I218" s="1" t="s">
        <v>73</v>
      </c>
      <c r="J218" s="1" t="s">
        <v>90</v>
      </c>
      <c r="K218" s="1" t="s">
        <v>121</v>
      </c>
      <c r="L218" s="1">
        <v>316</v>
      </c>
      <c r="M218" s="1" t="s">
        <v>122</v>
      </c>
      <c r="N218" s="1" t="s">
        <v>205</v>
      </c>
    </row>
    <row r="219" spans="1:14" x14ac:dyDescent="0.25">
      <c r="A219" s="1">
        <v>2018</v>
      </c>
      <c r="B219" s="1">
        <v>5</v>
      </c>
      <c r="C219" s="1" t="s">
        <v>63</v>
      </c>
      <c r="D219" s="1" t="s">
        <v>22</v>
      </c>
      <c r="E219" s="1" t="s">
        <v>23</v>
      </c>
      <c r="F219" s="1" t="s">
        <v>32</v>
      </c>
      <c r="G219" s="1">
        <v>23458.310606060601</v>
      </c>
      <c r="H219" s="1">
        <v>23458.310606079202</v>
      </c>
      <c r="I219" s="1" t="s">
        <v>73</v>
      </c>
      <c r="J219" s="1" t="s">
        <v>90</v>
      </c>
      <c r="K219" s="1" t="s">
        <v>121</v>
      </c>
      <c r="L219" s="1">
        <v>472</v>
      </c>
      <c r="M219" s="1" t="s">
        <v>122</v>
      </c>
      <c r="N219" s="1" t="s">
        <v>193</v>
      </c>
    </row>
    <row r="220" spans="1:14" x14ac:dyDescent="0.25">
      <c r="A220" s="1">
        <v>2018</v>
      </c>
      <c r="B220" s="1">
        <v>5</v>
      </c>
      <c r="C220" s="1" t="s">
        <v>63</v>
      </c>
      <c r="D220" s="1" t="s">
        <v>22</v>
      </c>
      <c r="E220" s="1" t="s">
        <v>23</v>
      </c>
      <c r="F220" s="1" t="s">
        <v>32</v>
      </c>
      <c r="G220" s="1">
        <v>3429.2869318182002</v>
      </c>
      <c r="H220" s="1">
        <v>3429.2869318209</v>
      </c>
      <c r="I220" s="1" t="s">
        <v>73</v>
      </c>
      <c r="J220" s="1" t="s">
        <v>90</v>
      </c>
      <c r="K220" s="1" t="s">
        <v>121</v>
      </c>
      <c r="L220" s="1">
        <v>69</v>
      </c>
      <c r="M220" s="1" t="s">
        <v>122</v>
      </c>
      <c r="N220" s="1" t="s">
        <v>208</v>
      </c>
    </row>
    <row r="221" spans="1:14" x14ac:dyDescent="0.25">
      <c r="A221" s="1">
        <v>2018</v>
      </c>
      <c r="B221" s="1">
        <v>5</v>
      </c>
      <c r="C221" s="1" t="s">
        <v>63</v>
      </c>
      <c r="D221" s="1" t="s">
        <v>22</v>
      </c>
      <c r="E221" s="1" t="s">
        <v>23</v>
      </c>
      <c r="F221" s="1" t="s">
        <v>32</v>
      </c>
      <c r="G221" s="1">
        <v>5665.7784090908999</v>
      </c>
      <c r="H221" s="1">
        <v>5665.7784090954001</v>
      </c>
      <c r="I221" s="1" t="s">
        <v>73</v>
      </c>
      <c r="J221" s="1" t="s">
        <v>90</v>
      </c>
      <c r="K221" s="1" t="s">
        <v>121</v>
      </c>
      <c r="L221" s="1">
        <v>114</v>
      </c>
      <c r="M221" s="1" t="s">
        <v>122</v>
      </c>
      <c r="N221" s="1" t="s">
        <v>212</v>
      </c>
    </row>
    <row r="222" spans="1:14" x14ac:dyDescent="0.25">
      <c r="A222" s="1">
        <v>2018</v>
      </c>
      <c r="B222" s="1">
        <v>5</v>
      </c>
      <c r="C222" s="1" t="s">
        <v>63</v>
      </c>
      <c r="D222" s="1" t="s">
        <v>22</v>
      </c>
      <c r="E222" s="1" t="s">
        <v>23</v>
      </c>
      <c r="F222" s="1" t="s">
        <v>32</v>
      </c>
      <c r="G222" s="1">
        <v>397.59848484849999</v>
      </c>
      <c r="H222" s="1">
        <v>397.59848484880001</v>
      </c>
      <c r="I222" s="1" t="s">
        <v>73</v>
      </c>
      <c r="J222" s="1" t="s">
        <v>90</v>
      </c>
      <c r="K222" s="1" t="s">
        <v>121</v>
      </c>
      <c r="L222" s="1">
        <v>8</v>
      </c>
      <c r="M222" s="1" t="s">
        <v>122</v>
      </c>
      <c r="N222" s="1" t="s">
        <v>151</v>
      </c>
    </row>
    <row r="223" spans="1:14" x14ac:dyDescent="0.25">
      <c r="A223" s="1">
        <v>2018</v>
      </c>
      <c r="B223" s="1">
        <v>5</v>
      </c>
      <c r="C223" s="1" t="s">
        <v>63</v>
      </c>
      <c r="D223" s="1" t="s">
        <v>22</v>
      </c>
      <c r="E223" s="1" t="s">
        <v>23</v>
      </c>
      <c r="F223" s="1" t="s">
        <v>32</v>
      </c>
      <c r="G223" s="1">
        <v>3926.2850378787998</v>
      </c>
      <c r="H223" s="1">
        <v>3926.2850378818998</v>
      </c>
      <c r="I223" s="1" t="s">
        <v>73</v>
      </c>
      <c r="J223" s="1" t="s">
        <v>90</v>
      </c>
      <c r="K223" s="1" t="s">
        <v>121</v>
      </c>
      <c r="L223" s="1">
        <v>79</v>
      </c>
      <c r="M223" s="1" t="s">
        <v>122</v>
      </c>
      <c r="N223" s="1" t="s">
        <v>154</v>
      </c>
    </row>
    <row r="224" spans="1:14" x14ac:dyDescent="0.25">
      <c r="A224" s="1">
        <v>2018</v>
      </c>
      <c r="B224" s="1">
        <v>5</v>
      </c>
      <c r="C224" s="1" t="s">
        <v>63</v>
      </c>
      <c r="D224" s="1" t="s">
        <v>22</v>
      </c>
      <c r="E224" s="1" t="s">
        <v>23</v>
      </c>
      <c r="F224" s="1" t="s">
        <v>32</v>
      </c>
      <c r="G224" s="1">
        <v>8150.768939394</v>
      </c>
      <c r="H224" s="1">
        <v>8150.7689394004001</v>
      </c>
      <c r="I224" s="1" t="s">
        <v>73</v>
      </c>
      <c r="J224" s="1" t="s">
        <v>90</v>
      </c>
      <c r="K224" s="1" t="s">
        <v>121</v>
      </c>
      <c r="L224" s="1">
        <v>164</v>
      </c>
      <c r="M224" s="1" t="s">
        <v>122</v>
      </c>
      <c r="N224" s="1" t="s">
        <v>245</v>
      </c>
    </row>
    <row r="225" spans="1:14" x14ac:dyDescent="0.25">
      <c r="A225" s="1">
        <v>2018</v>
      </c>
      <c r="B225" s="1">
        <v>5</v>
      </c>
      <c r="C225" s="1" t="s">
        <v>63</v>
      </c>
      <c r="D225" s="1" t="s">
        <v>22</v>
      </c>
      <c r="E225" s="1" t="s">
        <v>23</v>
      </c>
      <c r="F225" s="1" t="s">
        <v>32</v>
      </c>
      <c r="G225" s="1">
        <v>10089.0615530303</v>
      </c>
      <c r="H225" s="1">
        <v>10089.0615530383</v>
      </c>
      <c r="I225" s="1" t="s">
        <v>73</v>
      </c>
      <c r="J225" s="1" t="s">
        <v>90</v>
      </c>
      <c r="K225" s="1" t="s">
        <v>121</v>
      </c>
      <c r="L225" s="1">
        <v>203</v>
      </c>
      <c r="M225" s="1" t="s">
        <v>122</v>
      </c>
      <c r="N225" s="1" t="s">
        <v>245</v>
      </c>
    </row>
    <row r="226" spans="1:14" x14ac:dyDescent="0.25">
      <c r="A226" s="1">
        <v>2018</v>
      </c>
      <c r="B226" s="1">
        <v>5</v>
      </c>
      <c r="C226" s="1" t="s">
        <v>63</v>
      </c>
      <c r="D226" s="1" t="s">
        <v>22</v>
      </c>
      <c r="E226" s="1" t="s">
        <v>23</v>
      </c>
      <c r="F226" s="1" t="s">
        <v>34</v>
      </c>
      <c r="G226" s="1">
        <v>79418.048780487807</v>
      </c>
      <c r="H226" s="1">
        <v>79418.048780159996</v>
      </c>
      <c r="I226" s="1" t="s">
        <v>76</v>
      </c>
      <c r="J226" s="1" t="s">
        <v>101</v>
      </c>
      <c r="K226" s="1" t="s">
        <v>121</v>
      </c>
      <c r="L226" s="1">
        <v>9600</v>
      </c>
      <c r="M226" s="1" t="s">
        <v>122</v>
      </c>
      <c r="N226" s="1" t="s">
        <v>145</v>
      </c>
    </row>
    <row r="227" spans="1:14" x14ac:dyDescent="0.25">
      <c r="A227" s="1">
        <v>2018</v>
      </c>
      <c r="B227" s="1">
        <v>5</v>
      </c>
      <c r="C227" s="1" t="s">
        <v>63</v>
      </c>
      <c r="D227" s="1" t="s">
        <v>22</v>
      </c>
      <c r="E227" s="1" t="s">
        <v>23</v>
      </c>
      <c r="F227" s="1" t="s">
        <v>32</v>
      </c>
      <c r="G227" s="1">
        <v>310126.81818181818</v>
      </c>
      <c r="H227" s="1">
        <v>310126.81818206387</v>
      </c>
      <c r="I227" s="1" t="s">
        <v>76</v>
      </c>
      <c r="J227" s="1" t="s">
        <v>101</v>
      </c>
      <c r="K227" s="1" t="s">
        <v>121</v>
      </c>
      <c r="L227" s="1">
        <v>6240</v>
      </c>
      <c r="M227" s="1" t="s">
        <v>122</v>
      </c>
      <c r="N227" s="1" t="s">
        <v>145</v>
      </c>
    </row>
    <row r="228" spans="1:14" x14ac:dyDescent="0.25">
      <c r="A228" s="1">
        <v>2018</v>
      </c>
      <c r="B228" s="1">
        <v>5</v>
      </c>
      <c r="C228" s="1" t="s">
        <v>63</v>
      </c>
      <c r="D228" s="1" t="s">
        <v>22</v>
      </c>
      <c r="E228" s="1" t="s">
        <v>23</v>
      </c>
      <c r="F228" s="1" t="s">
        <v>32</v>
      </c>
      <c r="G228" s="1">
        <v>7256.1723484847998</v>
      </c>
      <c r="H228" s="1">
        <v>7256.1723484905997</v>
      </c>
      <c r="I228" s="1" t="s">
        <v>74</v>
      </c>
      <c r="J228" s="1" t="s">
        <v>78</v>
      </c>
      <c r="K228" s="1" t="s">
        <v>121</v>
      </c>
      <c r="L228" s="1">
        <v>146</v>
      </c>
      <c r="M228" s="1" t="s">
        <v>122</v>
      </c>
      <c r="N228" s="1" t="s">
        <v>223</v>
      </c>
    </row>
    <row r="229" spans="1:14" x14ac:dyDescent="0.25">
      <c r="A229" s="1">
        <v>2018</v>
      </c>
      <c r="B229" s="1">
        <v>5</v>
      </c>
      <c r="C229" s="1" t="s">
        <v>63</v>
      </c>
      <c r="D229" s="1" t="s">
        <v>22</v>
      </c>
      <c r="E229" s="1" t="s">
        <v>23</v>
      </c>
      <c r="F229" s="1" t="s">
        <v>32</v>
      </c>
      <c r="G229" s="1">
        <v>23855.909090909099</v>
      </c>
      <c r="H229" s="1">
        <v>23855.909090927998</v>
      </c>
      <c r="I229" s="1" t="s">
        <v>74</v>
      </c>
      <c r="J229" s="1" t="s">
        <v>78</v>
      </c>
      <c r="K229" s="1" t="s">
        <v>121</v>
      </c>
      <c r="L229" s="1">
        <v>480</v>
      </c>
      <c r="M229" s="1" t="s">
        <v>122</v>
      </c>
      <c r="N229" s="1" t="s">
        <v>138</v>
      </c>
    </row>
    <row r="230" spans="1:14" x14ac:dyDescent="0.25">
      <c r="A230" s="1">
        <v>2018</v>
      </c>
      <c r="B230" s="1">
        <v>5</v>
      </c>
      <c r="C230" s="1" t="s">
        <v>63</v>
      </c>
      <c r="D230" s="1" t="s">
        <v>22</v>
      </c>
      <c r="E230" s="1" t="s">
        <v>23</v>
      </c>
      <c r="F230" s="1" t="s">
        <v>32</v>
      </c>
      <c r="G230" s="1">
        <v>7852.5700757575996</v>
      </c>
      <c r="H230" s="1">
        <v>7852.5700757637997</v>
      </c>
      <c r="I230" s="1" t="s">
        <v>74</v>
      </c>
      <c r="J230" s="1" t="s">
        <v>78</v>
      </c>
      <c r="K230" s="1" t="s">
        <v>121</v>
      </c>
      <c r="L230" s="1">
        <v>158</v>
      </c>
      <c r="M230" s="1" t="s">
        <v>122</v>
      </c>
      <c r="N230" s="1" t="s">
        <v>59</v>
      </c>
    </row>
    <row r="231" spans="1:14" x14ac:dyDescent="0.25">
      <c r="A231" s="1">
        <v>2018</v>
      </c>
      <c r="B231" s="1">
        <v>5</v>
      </c>
      <c r="C231" s="1" t="s">
        <v>63</v>
      </c>
      <c r="D231" s="1" t="s">
        <v>22</v>
      </c>
      <c r="E231" s="1" t="s">
        <v>23</v>
      </c>
      <c r="F231" s="1" t="s">
        <v>34</v>
      </c>
      <c r="G231" s="1">
        <v>1985.4512195121999</v>
      </c>
      <c r="H231" s="1">
        <v>1985.4512195039999</v>
      </c>
      <c r="I231" s="1" t="s">
        <v>73</v>
      </c>
      <c r="J231" s="1" t="s">
        <v>85</v>
      </c>
      <c r="K231" s="1" t="s">
        <v>121</v>
      </c>
      <c r="L231" s="1">
        <v>240</v>
      </c>
      <c r="M231" s="1" t="s">
        <v>122</v>
      </c>
      <c r="N231" s="1" t="s">
        <v>201</v>
      </c>
    </row>
    <row r="232" spans="1:14" x14ac:dyDescent="0.25">
      <c r="A232" s="1">
        <v>2018</v>
      </c>
      <c r="B232" s="1">
        <v>5</v>
      </c>
      <c r="C232" s="1" t="s">
        <v>63</v>
      </c>
      <c r="D232" s="1" t="s">
        <v>22</v>
      </c>
      <c r="E232" s="1" t="s">
        <v>23</v>
      </c>
      <c r="F232" s="1" t="s">
        <v>34</v>
      </c>
      <c r="G232" s="1">
        <v>1985.4512195121999</v>
      </c>
      <c r="H232" s="1">
        <v>1985.4512195039999</v>
      </c>
      <c r="I232" s="1" t="s">
        <v>73</v>
      </c>
      <c r="J232" s="1" t="s">
        <v>85</v>
      </c>
      <c r="K232" s="1" t="s">
        <v>121</v>
      </c>
      <c r="L232" s="1">
        <v>240</v>
      </c>
      <c r="M232" s="1" t="s">
        <v>122</v>
      </c>
      <c r="N232" s="1" t="s">
        <v>177</v>
      </c>
    </row>
    <row r="233" spans="1:14" x14ac:dyDescent="0.25">
      <c r="A233" s="1">
        <v>2018</v>
      </c>
      <c r="B233" s="1">
        <v>5</v>
      </c>
      <c r="C233" s="1" t="s">
        <v>63</v>
      </c>
      <c r="D233" s="1" t="s">
        <v>22</v>
      </c>
      <c r="E233" s="1" t="s">
        <v>23</v>
      </c>
      <c r="F233" s="1" t="s">
        <v>34</v>
      </c>
      <c r="G233" s="1">
        <v>1985.4512195121999</v>
      </c>
      <c r="H233" s="1">
        <v>1985.4512195039999</v>
      </c>
      <c r="I233" s="1" t="s">
        <v>73</v>
      </c>
      <c r="J233" s="1" t="s">
        <v>85</v>
      </c>
      <c r="K233" s="1" t="s">
        <v>121</v>
      </c>
      <c r="L233" s="1">
        <v>240</v>
      </c>
      <c r="M233" s="1" t="s">
        <v>122</v>
      </c>
      <c r="N233" s="1" t="s">
        <v>177</v>
      </c>
    </row>
    <row r="234" spans="1:14" x14ac:dyDescent="0.25">
      <c r="A234" s="1">
        <v>2018</v>
      </c>
      <c r="B234" s="1">
        <v>5</v>
      </c>
      <c r="C234" s="1" t="s">
        <v>63</v>
      </c>
      <c r="D234" s="1" t="s">
        <v>22</v>
      </c>
      <c r="E234" s="1" t="s">
        <v>23</v>
      </c>
      <c r="F234" s="1" t="s">
        <v>34</v>
      </c>
      <c r="G234" s="1">
        <v>1985.4512195121999</v>
      </c>
      <c r="H234" s="1">
        <v>1985.4512195039999</v>
      </c>
      <c r="I234" s="1" t="s">
        <v>73</v>
      </c>
      <c r="J234" s="1" t="s">
        <v>85</v>
      </c>
      <c r="K234" s="1" t="s">
        <v>121</v>
      </c>
      <c r="L234" s="1">
        <v>240</v>
      </c>
      <c r="M234" s="1" t="s">
        <v>122</v>
      </c>
      <c r="N234" s="1" t="s">
        <v>226</v>
      </c>
    </row>
    <row r="235" spans="1:14" x14ac:dyDescent="0.25">
      <c r="A235" s="1">
        <v>2018</v>
      </c>
      <c r="B235" s="1">
        <v>5</v>
      </c>
      <c r="C235" s="1" t="s">
        <v>63</v>
      </c>
      <c r="D235" s="1" t="s">
        <v>22</v>
      </c>
      <c r="E235" s="1" t="s">
        <v>23</v>
      </c>
      <c r="F235" s="1" t="s">
        <v>34</v>
      </c>
      <c r="G235" s="1">
        <v>1985.4512195121999</v>
      </c>
      <c r="H235" s="1">
        <v>1985.4512195039999</v>
      </c>
      <c r="I235" s="1" t="s">
        <v>73</v>
      </c>
      <c r="J235" s="1" t="s">
        <v>85</v>
      </c>
      <c r="K235" s="1" t="s">
        <v>121</v>
      </c>
      <c r="L235" s="1">
        <v>240</v>
      </c>
      <c r="M235" s="1" t="s">
        <v>122</v>
      </c>
      <c r="N235" s="1" t="s">
        <v>51</v>
      </c>
    </row>
    <row r="236" spans="1:14" x14ac:dyDescent="0.25">
      <c r="A236" s="1">
        <v>2018</v>
      </c>
      <c r="B236" s="1">
        <v>5</v>
      </c>
      <c r="C236" s="1" t="s">
        <v>63</v>
      </c>
      <c r="D236" s="1" t="s">
        <v>22</v>
      </c>
      <c r="E236" s="1" t="s">
        <v>23</v>
      </c>
      <c r="F236" s="1" t="s">
        <v>34</v>
      </c>
      <c r="G236" s="1">
        <v>1323.6341463414999</v>
      </c>
      <c r="H236" s="1">
        <v>1323.634146336</v>
      </c>
      <c r="I236" s="1" t="s">
        <v>73</v>
      </c>
      <c r="J236" s="1" t="s">
        <v>85</v>
      </c>
      <c r="K236" s="1" t="s">
        <v>121</v>
      </c>
      <c r="L236" s="1">
        <v>160</v>
      </c>
      <c r="M236" s="1" t="s">
        <v>122</v>
      </c>
      <c r="N236" s="1" t="s">
        <v>181</v>
      </c>
    </row>
    <row r="237" spans="1:14" x14ac:dyDescent="0.25">
      <c r="A237" s="1">
        <v>2018</v>
      </c>
      <c r="B237" s="1">
        <v>5</v>
      </c>
      <c r="C237" s="1" t="s">
        <v>63</v>
      </c>
      <c r="D237" s="1" t="s">
        <v>22</v>
      </c>
      <c r="E237" s="1" t="s">
        <v>23</v>
      </c>
      <c r="F237" s="1" t="s">
        <v>34</v>
      </c>
      <c r="G237" s="1">
        <v>1985.4512195120001</v>
      </c>
      <c r="H237" s="1">
        <v>1985.4512195039999</v>
      </c>
      <c r="I237" s="1" t="s">
        <v>73</v>
      </c>
      <c r="J237" s="1" t="s">
        <v>85</v>
      </c>
      <c r="K237" s="1" t="s">
        <v>121</v>
      </c>
      <c r="L237" s="1">
        <v>240</v>
      </c>
      <c r="M237" s="1" t="s">
        <v>122</v>
      </c>
      <c r="N237" s="1" t="s">
        <v>246</v>
      </c>
    </row>
    <row r="238" spans="1:14" x14ac:dyDescent="0.25">
      <c r="A238" s="1">
        <v>2018</v>
      </c>
      <c r="B238" s="1">
        <v>5</v>
      </c>
      <c r="C238" s="1" t="s">
        <v>63</v>
      </c>
      <c r="D238" s="1" t="s">
        <v>22</v>
      </c>
      <c r="E238" s="1" t="s">
        <v>23</v>
      </c>
      <c r="F238" s="1" t="s">
        <v>34</v>
      </c>
      <c r="G238" s="1">
        <v>1323.6341463414999</v>
      </c>
      <c r="H238" s="1">
        <v>1323.634146336</v>
      </c>
      <c r="I238" s="1" t="s">
        <v>73</v>
      </c>
      <c r="J238" s="1" t="s">
        <v>85</v>
      </c>
      <c r="K238" s="1" t="s">
        <v>121</v>
      </c>
      <c r="L238" s="1">
        <v>160</v>
      </c>
      <c r="M238" s="1" t="s">
        <v>122</v>
      </c>
      <c r="N238" s="1" t="s">
        <v>247</v>
      </c>
    </row>
    <row r="239" spans="1:14" x14ac:dyDescent="0.25">
      <c r="A239" s="1">
        <v>2018</v>
      </c>
      <c r="B239" s="1">
        <v>5</v>
      </c>
      <c r="C239" s="1" t="s">
        <v>63</v>
      </c>
      <c r="D239" s="1" t="s">
        <v>22</v>
      </c>
      <c r="E239" s="1" t="s">
        <v>23</v>
      </c>
      <c r="F239" s="1" t="s">
        <v>34</v>
      </c>
      <c r="G239" s="1">
        <v>3970.9024390243999</v>
      </c>
      <c r="H239" s="1">
        <v>3970.9024390079999</v>
      </c>
      <c r="I239" s="1" t="s">
        <v>73</v>
      </c>
      <c r="J239" s="1" t="s">
        <v>85</v>
      </c>
      <c r="K239" s="1" t="s">
        <v>121</v>
      </c>
      <c r="L239" s="1">
        <v>480</v>
      </c>
      <c r="M239" s="1" t="s">
        <v>122</v>
      </c>
      <c r="N239" s="1" t="s">
        <v>247</v>
      </c>
    </row>
    <row r="240" spans="1:14" x14ac:dyDescent="0.25">
      <c r="A240" s="1">
        <v>2018</v>
      </c>
      <c r="B240" s="1">
        <v>5</v>
      </c>
      <c r="C240" s="1" t="s">
        <v>63</v>
      </c>
      <c r="D240" s="1" t="s">
        <v>22</v>
      </c>
      <c r="E240" s="1" t="s">
        <v>23</v>
      </c>
      <c r="F240" s="1" t="s">
        <v>34</v>
      </c>
      <c r="G240" s="1">
        <v>1323.6341463414999</v>
      </c>
      <c r="H240" s="1">
        <v>1323.634146336</v>
      </c>
      <c r="I240" s="1" t="s">
        <v>73</v>
      </c>
      <c r="J240" s="1" t="s">
        <v>85</v>
      </c>
      <c r="K240" s="1" t="s">
        <v>121</v>
      </c>
      <c r="L240" s="1">
        <v>160</v>
      </c>
      <c r="M240" s="1" t="s">
        <v>122</v>
      </c>
      <c r="N240" s="1" t="s">
        <v>174</v>
      </c>
    </row>
    <row r="241" spans="1:14" x14ac:dyDescent="0.25">
      <c r="A241" s="1">
        <v>2018</v>
      </c>
      <c r="B241" s="1">
        <v>5</v>
      </c>
      <c r="C241" s="1" t="s">
        <v>63</v>
      </c>
      <c r="D241" s="1" t="s">
        <v>22</v>
      </c>
      <c r="E241" s="1" t="s">
        <v>23</v>
      </c>
      <c r="F241" s="1" t="s">
        <v>34</v>
      </c>
      <c r="G241" s="1">
        <v>1323.6341463414999</v>
      </c>
      <c r="H241" s="1">
        <v>1323.634146336</v>
      </c>
      <c r="I241" s="1" t="s">
        <v>73</v>
      </c>
      <c r="J241" s="1" t="s">
        <v>85</v>
      </c>
      <c r="K241" s="1" t="s">
        <v>121</v>
      </c>
      <c r="L241" s="1">
        <v>160</v>
      </c>
      <c r="M241" s="1" t="s">
        <v>122</v>
      </c>
      <c r="N241" s="1" t="s">
        <v>180</v>
      </c>
    </row>
    <row r="242" spans="1:14" x14ac:dyDescent="0.25">
      <c r="A242" s="1">
        <v>2018</v>
      </c>
      <c r="B242" s="1">
        <v>5</v>
      </c>
      <c r="C242" s="1" t="s">
        <v>63</v>
      </c>
      <c r="D242" s="1" t="s">
        <v>22</v>
      </c>
      <c r="E242" s="1" t="s">
        <v>23</v>
      </c>
      <c r="F242" s="1" t="s">
        <v>34</v>
      </c>
      <c r="G242" s="1">
        <v>3970.9024390243999</v>
      </c>
      <c r="H242" s="1">
        <v>3970.9024390079999</v>
      </c>
      <c r="I242" s="1" t="s">
        <v>73</v>
      </c>
      <c r="J242" s="1" t="s">
        <v>85</v>
      </c>
      <c r="K242" s="1" t="s">
        <v>121</v>
      </c>
      <c r="L242" s="1">
        <v>480</v>
      </c>
      <c r="M242" s="1" t="s">
        <v>122</v>
      </c>
      <c r="N242" s="1" t="s">
        <v>201</v>
      </c>
    </row>
    <row r="243" spans="1:14" x14ac:dyDescent="0.25">
      <c r="A243" s="1">
        <v>2018</v>
      </c>
      <c r="B243" s="1">
        <v>5</v>
      </c>
      <c r="C243" s="1" t="s">
        <v>63</v>
      </c>
      <c r="D243" s="1" t="s">
        <v>22</v>
      </c>
      <c r="E243" s="1" t="s">
        <v>23</v>
      </c>
      <c r="F243" s="1" t="s">
        <v>34</v>
      </c>
      <c r="G243" s="1">
        <v>1323.6341463414999</v>
      </c>
      <c r="H243" s="1">
        <v>1323.634146336</v>
      </c>
      <c r="I243" s="1" t="s">
        <v>73</v>
      </c>
      <c r="J243" s="1" t="s">
        <v>85</v>
      </c>
      <c r="K243" s="1" t="s">
        <v>121</v>
      </c>
      <c r="L243" s="1">
        <v>160</v>
      </c>
      <c r="M243" s="1" t="s">
        <v>122</v>
      </c>
      <c r="N243" s="1" t="s">
        <v>248</v>
      </c>
    </row>
    <row r="244" spans="1:14" x14ac:dyDescent="0.25">
      <c r="A244" s="1">
        <v>2018</v>
      </c>
      <c r="B244" s="1">
        <v>5</v>
      </c>
      <c r="C244" s="1" t="s">
        <v>63</v>
      </c>
      <c r="D244" s="1" t="s">
        <v>22</v>
      </c>
      <c r="E244" s="1" t="s">
        <v>23</v>
      </c>
      <c r="F244" s="1" t="s">
        <v>32</v>
      </c>
      <c r="G244" s="1">
        <v>23855.909090909099</v>
      </c>
      <c r="H244" s="1">
        <v>23855.909090927998</v>
      </c>
      <c r="I244" s="1" t="s">
        <v>73</v>
      </c>
      <c r="J244" s="1" t="s">
        <v>99</v>
      </c>
      <c r="K244" s="1" t="s">
        <v>121</v>
      </c>
      <c r="L244" s="1">
        <v>480</v>
      </c>
      <c r="M244" s="1" t="s">
        <v>122</v>
      </c>
      <c r="N244" s="1" t="s">
        <v>151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3:E56"/>
  <sheetViews>
    <sheetView workbookViewId="0">
      <selection activeCell="G11" sqref="G11"/>
    </sheetView>
  </sheetViews>
  <sheetFormatPr defaultRowHeight="12.75" x14ac:dyDescent="0.2"/>
  <cols>
    <col min="1" max="1" width="39.140625" customWidth="1"/>
    <col min="2" max="2" width="9.42578125" bestFit="1" customWidth="1"/>
    <col min="3" max="5" width="6.5703125" bestFit="1" customWidth="1"/>
  </cols>
  <sheetData>
    <row r="3" spans="1:5" x14ac:dyDescent="0.2">
      <c r="A3" s="9" t="s">
        <v>979</v>
      </c>
      <c r="B3" s="9" t="s">
        <v>968</v>
      </c>
      <c r="C3" s="6"/>
      <c r="D3" s="6"/>
      <c r="E3" s="7"/>
    </row>
    <row r="4" spans="1:5" x14ac:dyDescent="0.2">
      <c r="A4" s="9" t="s">
        <v>954</v>
      </c>
      <c r="B4" s="5">
        <v>3</v>
      </c>
      <c r="C4" s="20">
        <v>4</v>
      </c>
      <c r="D4" s="20">
        <v>5</v>
      </c>
      <c r="E4" s="10" t="s">
        <v>955</v>
      </c>
    </row>
    <row r="5" spans="1:5" x14ac:dyDescent="0.2">
      <c r="A5" s="11" t="s">
        <v>32</v>
      </c>
      <c r="B5" s="21">
        <v>11040</v>
      </c>
      <c r="C5" s="22">
        <v>8640</v>
      </c>
      <c r="D5" s="22">
        <v>10560</v>
      </c>
      <c r="E5" s="12">
        <v>30240</v>
      </c>
    </row>
    <row r="6" spans="1:5" x14ac:dyDescent="0.2">
      <c r="A6" s="38" t="s">
        <v>145</v>
      </c>
      <c r="B6" s="21">
        <v>5760</v>
      </c>
      <c r="C6" s="22">
        <v>4800</v>
      </c>
      <c r="D6" s="22">
        <v>6240</v>
      </c>
      <c r="E6" s="12">
        <v>16800</v>
      </c>
    </row>
    <row r="7" spans="1:5" x14ac:dyDescent="0.2">
      <c r="A7" s="38" t="s">
        <v>165</v>
      </c>
      <c r="B7" s="21">
        <v>48</v>
      </c>
      <c r="C7" s="22"/>
      <c r="D7" s="22">
        <v>58</v>
      </c>
      <c r="E7" s="12">
        <v>106</v>
      </c>
    </row>
    <row r="8" spans="1:5" x14ac:dyDescent="0.2">
      <c r="A8" s="38" t="s">
        <v>148</v>
      </c>
      <c r="B8" s="21">
        <v>58</v>
      </c>
      <c r="C8" s="22"/>
      <c r="D8" s="22"/>
      <c r="E8" s="12">
        <v>58</v>
      </c>
    </row>
    <row r="9" spans="1:5" x14ac:dyDescent="0.2">
      <c r="A9" s="38" t="s">
        <v>187</v>
      </c>
      <c r="B9" s="21">
        <v>480</v>
      </c>
      <c r="C9" s="22"/>
      <c r="D9" s="22"/>
      <c r="E9" s="12">
        <v>480</v>
      </c>
    </row>
    <row r="10" spans="1:5" x14ac:dyDescent="0.2">
      <c r="A10" s="38" t="s">
        <v>139</v>
      </c>
      <c r="B10" s="21">
        <v>226</v>
      </c>
      <c r="C10" s="22">
        <v>15</v>
      </c>
      <c r="D10" s="22"/>
      <c r="E10" s="12">
        <v>241</v>
      </c>
    </row>
    <row r="11" spans="1:5" x14ac:dyDescent="0.2">
      <c r="A11" s="38" t="s">
        <v>140</v>
      </c>
      <c r="B11" s="21">
        <v>136</v>
      </c>
      <c r="C11" s="22"/>
      <c r="D11" s="22">
        <v>161</v>
      </c>
      <c r="E11" s="12">
        <v>297</v>
      </c>
    </row>
    <row r="12" spans="1:5" x14ac:dyDescent="0.2">
      <c r="A12" s="38" t="s">
        <v>223</v>
      </c>
      <c r="B12" s="21"/>
      <c r="C12" s="22">
        <v>55</v>
      </c>
      <c r="D12" s="22">
        <v>146</v>
      </c>
      <c r="E12" s="12">
        <v>201</v>
      </c>
    </row>
    <row r="13" spans="1:5" x14ac:dyDescent="0.2">
      <c r="A13" s="38" t="s">
        <v>137</v>
      </c>
      <c r="B13" s="21">
        <v>145</v>
      </c>
      <c r="C13" s="22"/>
      <c r="D13" s="22"/>
      <c r="E13" s="12">
        <v>145</v>
      </c>
    </row>
    <row r="14" spans="1:5" x14ac:dyDescent="0.2">
      <c r="A14" s="38" t="s">
        <v>138</v>
      </c>
      <c r="B14" s="21">
        <v>137</v>
      </c>
      <c r="C14" s="22"/>
      <c r="D14" s="22">
        <v>480</v>
      </c>
      <c r="E14" s="12">
        <v>617</v>
      </c>
    </row>
    <row r="15" spans="1:5" x14ac:dyDescent="0.2">
      <c r="A15" s="38" t="s">
        <v>204</v>
      </c>
      <c r="B15" s="21"/>
      <c r="C15" s="22">
        <v>101</v>
      </c>
      <c r="D15" s="22"/>
      <c r="E15" s="12">
        <v>101</v>
      </c>
    </row>
    <row r="16" spans="1:5" x14ac:dyDescent="0.2">
      <c r="A16" s="38" t="s">
        <v>241</v>
      </c>
      <c r="B16" s="21"/>
      <c r="C16" s="22"/>
      <c r="D16" s="22">
        <v>60</v>
      </c>
      <c r="E16" s="12">
        <v>60</v>
      </c>
    </row>
    <row r="17" spans="1:5" x14ac:dyDescent="0.2">
      <c r="A17" s="38" t="s">
        <v>141</v>
      </c>
      <c r="B17" s="21">
        <v>67</v>
      </c>
      <c r="C17" s="22"/>
      <c r="D17" s="22"/>
      <c r="E17" s="12">
        <v>67</v>
      </c>
    </row>
    <row r="18" spans="1:5" x14ac:dyDescent="0.2">
      <c r="A18" s="38" t="s">
        <v>142</v>
      </c>
      <c r="B18" s="21">
        <v>231</v>
      </c>
      <c r="C18" s="22"/>
      <c r="D18" s="22"/>
      <c r="E18" s="12">
        <v>231</v>
      </c>
    </row>
    <row r="19" spans="1:5" x14ac:dyDescent="0.2">
      <c r="A19" s="38" t="s">
        <v>143</v>
      </c>
      <c r="B19" s="21">
        <v>64</v>
      </c>
      <c r="C19" s="22"/>
      <c r="D19" s="22"/>
      <c r="E19" s="12">
        <v>64</v>
      </c>
    </row>
    <row r="20" spans="1:5" x14ac:dyDescent="0.2">
      <c r="A20" s="38" t="s">
        <v>144</v>
      </c>
      <c r="B20" s="21">
        <v>438</v>
      </c>
      <c r="C20" s="22">
        <v>265</v>
      </c>
      <c r="D20" s="22"/>
      <c r="E20" s="12">
        <v>703</v>
      </c>
    </row>
    <row r="21" spans="1:5" x14ac:dyDescent="0.2">
      <c r="A21" s="38" t="s">
        <v>136</v>
      </c>
      <c r="B21" s="21">
        <v>215</v>
      </c>
      <c r="C21" s="22">
        <v>111</v>
      </c>
      <c r="D21" s="22"/>
      <c r="E21" s="12">
        <v>326</v>
      </c>
    </row>
    <row r="22" spans="1:5" x14ac:dyDescent="0.2">
      <c r="A22" s="38" t="s">
        <v>149</v>
      </c>
      <c r="B22" s="21">
        <v>139</v>
      </c>
      <c r="C22" s="22"/>
      <c r="D22" s="22"/>
      <c r="E22" s="12">
        <v>139</v>
      </c>
    </row>
    <row r="23" spans="1:5" x14ac:dyDescent="0.2">
      <c r="A23" s="38" t="s">
        <v>150</v>
      </c>
      <c r="B23" s="21">
        <v>452</v>
      </c>
      <c r="C23" s="22"/>
      <c r="D23" s="22"/>
      <c r="E23" s="12">
        <v>452</v>
      </c>
    </row>
    <row r="24" spans="1:5" x14ac:dyDescent="0.2">
      <c r="A24" s="38" t="s">
        <v>151</v>
      </c>
      <c r="B24" s="21">
        <v>123</v>
      </c>
      <c r="C24" s="22">
        <v>136</v>
      </c>
      <c r="D24" s="22">
        <v>908</v>
      </c>
      <c r="E24" s="12">
        <v>1167</v>
      </c>
    </row>
    <row r="25" spans="1:5" x14ac:dyDescent="0.2">
      <c r="A25" s="38" t="s">
        <v>152</v>
      </c>
      <c r="B25" s="21">
        <v>131</v>
      </c>
      <c r="C25" s="22"/>
      <c r="D25" s="22"/>
      <c r="E25" s="12">
        <v>131</v>
      </c>
    </row>
    <row r="26" spans="1:5" x14ac:dyDescent="0.2">
      <c r="A26" s="38" t="s">
        <v>153</v>
      </c>
      <c r="B26" s="21">
        <v>135</v>
      </c>
      <c r="C26" s="22"/>
      <c r="D26" s="22"/>
      <c r="E26" s="12">
        <v>135</v>
      </c>
    </row>
    <row r="27" spans="1:5" x14ac:dyDescent="0.2">
      <c r="A27" s="38" t="s">
        <v>170</v>
      </c>
      <c r="B27" s="21">
        <v>416</v>
      </c>
      <c r="C27" s="22"/>
      <c r="D27" s="22"/>
      <c r="E27" s="12">
        <v>416</v>
      </c>
    </row>
    <row r="28" spans="1:5" x14ac:dyDescent="0.2">
      <c r="A28" s="38" t="s">
        <v>245</v>
      </c>
      <c r="B28" s="21"/>
      <c r="C28" s="22"/>
      <c r="D28" s="22">
        <v>367</v>
      </c>
      <c r="E28" s="12">
        <v>367</v>
      </c>
    </row>
    <row r="29" spans="1:5" x14ac:dyDescent="0.2">
      <c r="A29" s="38" t="s">
        <v>154</v>
      </c>
      <c r="B29" s="21">
        <v>126</v>
      </c>
      <c r="C29" s="22"/>
      <c r="D29" s="22">
        <v>79</v>
      </c>
      <c r="E29" s="12">
        <v>205</v>
      </c>
    </row>
    <row r="30" spans="1:5" x14ac:dyDescent="0.2">
      <c r="A30" s="38" t="s">
        <v>155</v>
      </c>
      <c r="B30" s="21">
        <v>245</v>
      </c>
      <c r="C30" s="22"/>
      <c r="D30" s="22"/>
      <c r="E30" s="12">
        <v>245</v>
      </c>
    </row>
    <row r="31" spans="1:5" x14ac:dyDescent="0.2">
      <c r="A31" s="38" t="s">
        <v>163</v>
      </c>
      <c r="B31" s="21">
        <v>480</v>
      </c>
      <c r="C31" s="22"/>
      <c r="D31" s="22"/>
      <c r="E31" s="12">
        <v>480</v>
      </c>
    </row>
    <row r="32" spans="1:5" x14ac:dyDescent="0.2">
      <c r="A32" s="38" t="s">
        <v>208</v>
      </c>
      <c r="B32" s="21"/>
      <c r="C32" s="22">
        <v>171</v>
      </c>
      <c r="D32" s="22">
        <v>69</v>
      </c>
      <c r="E32" s="12">
        <v>240</v>
      </c>
    </row>
    <row r="33" spans="1:5" x14ac:dyDescent="0.2">
      <c r="A33" s="38" t="s">
        <v>209</v>
      </c>
      <c r="B33" s="21"/>
      <c r="C33" s="22">
        <v>155</v>
      </c>
      <c r="D33" s="22"/>
      <c r="E33" s="12">
        <v>155</v>
      </c>
    </row>
    <row r="34" spans="1:5" x14ac:dyDescent="0.2">
      <c r="A34" s="38" t="s">
        <v>210</v>
      </c>
      <c r="B34" s="21"/>
      <c r="C34" s="22">
        <v>82</v>
      </c>
      <c r="D34" s="22"/>
      <c r="E34" s="12">
        <v>82</v>
      </c>
    </row>
    <row r="35" spans="1:5" x14ac:dyDescent="0.2">
      <c r="A35" s="38" t="s">
        <v>211</v>
      </c>
      <c r="B35" s="21"/>
      <c r="C35" s="22">
        <v>72</v>
      </c>
      <c r="D35" s="22"/>
      <c r="E35" s="12">
        <v>72</v>
      </c>
    </row>
    <row r="36" spans="1:5" x14ac:dyDescent="0.2">
      <c r="A36" s="38" t="s">
        <v>212</v>
      </c>
      <c r="B36" s="21"/>
      <c r="C36" s="22">
        <v>98</v>
      </c>
      <c r="D36" s="22">
        <v>114</v>
      </c>
      <c r="E36" s="12">
        <v>212</v>
      </c>
    </row>
    <row r="37" spans="1:5" x14ac:dyDescent="0.2">
      <c r="A37" s="38" t="s">
        <v>213</v>
      </c>
      <c r="B37" s="21"/>
      <c r="C37" s="22">
        <v>70</v>
      </c>
      <c r="D37" s="22"/>
      <c r="E37" s="12">
        <v>70</v>
      </c>
    </row>
    <row r="38" spans="1:5" x14ac:dyDescent="0.2">
      <c r="A38" s="38" t="s">
        <v>214</v>
      </c>
      <c r="B38" s="21"/>
      <c r="C38" s="22">
        <v>157</v>
      </c>
      <c r="D38" s="22"/>
      <c r="E38" s="12">
        <v>157</v>
      </c>
    </row>
    <row r="39" spans="1:5" x14ac:dyDescent="0.2">
      <c r="A39" s="38" t="s">
        <v>215</v>
      </c>
      <c r="B39" s="21"/>
      <c r="C39" s="22">
        <v>100</v>
      </c>
      <c r="D39" s="22"/>
      <c r="E39" s="12">
        <v>100</v>
      </c>
    </row>
    <row r="40" spans="1:5" x14ac:dyDescent="0.2">
      <c r="A40" s="38" t="s">
        <v>205</v>
      </c>
      <c r="B40" s="21"/>
      <c r="C40" s="22">
        <v>416</v>
      </c>
      <c r="D40" s="22">
        <v>316</v>
      </c>
      <c r="E40" s="12">
        <v>732</v>
      </c>
    </row>
    <row r="41" spans="1:5" x14ac:dyDescent="0.2">
      <c r="A41" s="38" t="s">
        <v>193</v>
      </c>
      <c r="B41" s="21"/>
      <c r="C41" s="22">
        <v>137</v>
      </c>
      <c r="D41" s="22">
        <v>472</v>
      </c>
      <c r="E41" s="12">
        <v>609</v>
      </c>
    </row>
    <row r="42" spans="1:5" x14ac:dyDescent="0.2">
      <c r="A42" s="38" t="s">
        <v>216</v>
      </c>
      <c r="B42" s="21"/>
      <c r="C42" s="22">
        <v>155</v>
      </c>
      <c r="D42" s="22"/>
      <c r="E42" s="12">
        <v>155</v>
      </c>
    </row>
    <row r="43" spans="1:5" x14ac:dyDescent="0.2">
      <c r="A43" s="38" t="s">
        <v>217</v>
      </c>
      <c r="B43" s="21"/>
      <c r="C43" s="22">
        <v>55</v>
      </c>
      <c r="D43" s="22"/>
      <c r="E43" s="12">
        <v>55</v>
      </c>
    </row>
    <row r="44" spans="1:5" x14ac:dyDescent="0.2">
      <c r="A44" s="38" t="s">
        <v>218</v>
      </c>
      <c r="B44" s="21"/>
      <c r="C44" s="22">
        <v>166</v>
      </c>
      <c r="D44" s="22">
        <v>155</v>
      </c>
      <c r="E44" s="12">
        <v>321</v>
      </c>
    </row>
    <row r="45" spans="1:5" x14ac:dyDescent="0.2">
      <c r="A45" s="38" t="s">
        <v>239</v>
      </c>
      <c r="B45" s="21"/>
      <c r="C45" s="22"/>
      <c r="D45" s="22">
        <v>480</v>
      </c>
      <c r="E45" s="12">
        <v>480</v>
      </c>
    </row>
    <row r="46" spans="1:5" x14ac:dyDescent="0.2">
      <c r="A46" s="38" t="s">
        <v>240</v>
      </c>
      <c r="B46" s="21"/>
      <c r="C46" s="22"/>
      <c r="D46" s="22">
        <v>82</v>
      </c>
      <c r="E46" s="12">
        <v>82</v>
      </c>
    </row>
    <row r="47" spans="1:5" x14ac:dyDescent="0.2">
      <c r="A47" s="38" t="s">
        <v>164</v>
      </c>
      <c r="B47" s="21">
        <v>144</v>
      </c>
      <c r="C47" s="22">
        <v>104</v>
      </c>
      <c r="D47" s="22"/>
      <c r="E47" s="12">
        <v>248</v>
      </c>
    </row>
    <row r="48" spans="1:5" x14ac:dyDescent="0.2">
      <c r="A48" s="38" t="s">
        <v>146</v>
      </c>
      <c r="B48" s="21">
        <v>102</v>
      </c>
      <c r="C48" s="22"/>
      <c r="D48" s="22"/>
      <c r="E48" s="12">
        <v>102</v>
      </c>
    </row>
    <row r="49" spans="1:5" x14ac:dyDescent="0.2">
      <c r="A49" s="38" t="s">
        <v>167</v>
      </c>
      <c r="B49" s="21">
        <v>480</v>
      </c>
      <c r="C49" s="22"/>
      <c r="D49" s="22"/>
      <c r="E49" s="12">
        <v>480</v>
      </c>
    </row>
    <row r="50" spans="1:5" x14ac:dyDescent="0.2">
      <c r="A50" s="38" t="s">
        <v>219</v>
      </c>
      <c r="B50" s="21"/>
      <c r="C50" s="22">
        <v>140</v>
      </c>
      <c r="D50" s="22">
        <v>104</v>
      </c>
      <c r="E50" s="12">
        <v>244</v>
      </c>
    </row>
    <row r="51" spans="1:5" x14ac:dyDescent="0.2">
      <c r="A51" s="38" t="s">
        <v>220</v>
      </c>
      <c r="B51" s="21"/>
      <c r="C51" s="22">
        <v>480</v>
      </c>
      <c r="D51" s="22"/>
      <c r="E51" s="12">
        <v>480</v>
      </c>
    </row>
    <row r="52" spans="1:5" x14ac:dyDescent="0.2">
      <c r="A52" s="38" t="s">
        <v>221</v>
      </c>
      <c r="B52" s="21"/>
      <c r="C52" s="22">
        <v>119</v>
      </c>
      <c r="D52" s="22">
        <v>17</v>
      </c>
      <c r="E52" s="12">
        <v>136</v>
      </c>
    </row>
    <row r="53" spans="1:5" x14ac:dyDescent="0.2">
      <c r="A53" s="38" t="s">
        <v>147</v>
      </c>
      <c r="B53" s="21">
        <v>62</v>
      </c>
      <c r="C53" s="22"/>
      <c r="D53" s="22"/>
      <c r="E53" s="12">
        <v>62</v>
      </c>
    </row>
    <row r="54" spans="1:5" x14ac:dyDescent="0.2">
      <c r="A54" s="38" t="s">
        <v>59</v>
      </c>
      <c r="B54" s="21"/>
      <c r="C54" s="22">
        <v>480</v>
      </c>
      <c r="D54" s="22">
        <v>252</v>
      </c>
      <c r="E54" s="12">
        <v>732</v>
      </c>
    </row>
    <row r="55" spans="1:5" x14ac:dyDescent="0.2">
      <c r="A55" s="11" t="s">
        <v>34</v>
      </c>
      <c r="B55" s="21">
        <v>22126</v>
      </c>
      <c r="C55" s="22">
        <v>15840</v>
      </c>
      <c r="D55" s="22">
        <v>19680</v>
      </c>
      <c r="E55" s="12">
        <v>57646</v>
      </c>
    </row>
    <row r="56" spans="1:5" x14ac:dyDescent="0.2">
      <c r="A56" s="16" t="s">
        <v>955</v>
      </c>
      <c r="B56" s="23">
        <v>33166</v>
      </c>
      <c r="C56" s="24">
        <v>24480</v>
      </c>
      <c r="D56" s="24">
        <v>30240</v>
      </c>
      <c r="E56" s="17">
        <v>87886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9"/>
  <sheetViews>
    <sheetView workbookViewId="0">
      <selection activeCell="F16" sqref="F16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16.42578125" style="1" bestFit="1" customWidth="1"/>
    <col min="7" max="7" width="12.5703125" style="1" bestFit="1" customWidth="1"/>
    <col min="8" max="8" width="11.28515625" style="1" bestFit="1" customWidth="1"/>
    <col min="9" max="9" width="9.42578125" style="1" bestFit="1" customWidth="1"/>
    <col min="10" max="10" width="18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249</v>
      </c>
      <c r="H1" s="1" t="s">
        <v>250</v>
      </c>
      <c r="I1" s="1" t="s">
        <v>251</v>
      </c>
      <c r="J1" s="1" t="s">
        <v>13</v>
      </c>
    </row>
    <row r="2" spans="1:10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252</v>
      </c>
      <c r="G2" s="1" t="s">
        <v>253</v>
      </c>
      <c r="H2" s="1" t="s">
        <v>254</v>
      </c>
      <c r="I2" s="1">
        <v>300</v>
      </c>
      <c r="J2" s="1">
        <v>25265</v>
      </c>
    </row>
    <row r="3" spans="1:10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252</v>
      </c>
      <c r="G3" s="1" t="s">
        <v>255</v>
      </c>
      <c r="H3" s="1" t="s">
        <v>254</v>
      </c>
      <c r="I3" s="1">
        <v>150</v>
      </c>
      <c r="J3" s="1">
        <v>5830</v>
      </c>
    </row>
    <row r="4" spans="1:10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252</v>
      </c>
      <c r="G4" s="1" t="s">
        <v>256</v>
      </c>
      <c r="H4" s="1" t="s">
        <v>254</v>
      </c>
      <c r="I4" s="1">
        <v>480</v>
      </c>
      <c r="J4" s="1">
        <v>15966</v>
      </c>
    </row>
    <row r="5" spans="1:10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252</v>
      </c>
      <c r="G5" s="1" t="s">
        <v>257</v>
      </c>
      <c r="H5" s="1" t="s">
        <v>254</v>
      </c>
      <c r="I5" s="1">
        <v>20</v>
      </c>
      <c r="J5" s="1">
        <v>2637</v>
      </c>
    </row>
    <row r="6" spans="1:10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252</v>
      </c>
      <c r="G6" s="1" t="s">
        <v>258</v>
      </c>
      <c r="H6" s="1" t="s">
        <v>254</v>
      </c>
      <c r="I6" s="1">
        <v>20</v>
      </c>
      <c r="J6" s="1">
        <v>4592</v>
      </c>
    </row>
    <row r="7" spans="1:10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252</v>
      </c>
      <c r="G7" s="1" t="s">
        <v>259</v>
      </c>
      <c r="H7" s="1" t="s">
        <v>254</v>
      </c>
      <c r="I7" s="1">
        <v>60</v>
      </c>
      <c r="J7" s="1">
        <v>7262</v>
      </c>
    </row>
    <row r="8" spans="1:10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252</v>
      </c>
      <c r="G8" s="1" t="s">
        <v>260</v>
      </c>
      <c r="H8" s="1" t="s">
        <v>254</v>
      </c>
      <c r="I8" s="1">
        <v>428</v>
      </c>
      <c r="J8" s="1">
        <v>44091</v>
      </c>
    </row>
    <row r="9" spans="1:10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252</v>
      </c>
      <c r="G9" s="1" t="s">
        <v>261</v>
      </c>
      <c r="H9" s="1" t="s">
        <v>254</v>
      </c>
      <c r="I9" s="1">
        <v>1000</v>
      </c>
      <c r="J9" s="1">
        <v>71469</v>
      </c>
    </row>
    <row r="10" spans="1:10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252</v>
      </c>
      <c r="G10" s="1" t="s">
        <v>262</v>
      </c>
      <c r="H10" s="1" t="s">
        <v>254</v>
      </c>
      <c r="I10" s="1">
        <v>415.6</v>
      </c>
      <c r="J10" s="1">
        <v>33664</v>
      </c>
    </row>
    <row r="11" spans="1:10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252</v>
      </c>
      <c r="G11" s="1" t="s">
        <v>263</v>
      </c>
      <c r="H11" s="1" t="s">
        <v>254</v>
      </c>
      <c r="I11" s="1">
        <v>36</v>
      </c>
      <c r="J11" s="1">
        <v>13292</v>
      </c>
    </row>
    <row r="12" spans="1:10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252</v>
      </c>
      <c r="G12" s="1" t="s">
        <v>264</v>
      </c>
      <c r="H12" s="1" t="s">
        <v>254</v>
      </c>
      <c r="I12" s="1">
        <v>1250</v>
      </c>
      <c r="J12" s="1">
        <v>190000</v>
      </c>
    </row>
    <row r="13" spans="1:10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252</v>
      </c>
      <c r="G13" s="1" t="s">
        <v>265</v>
      </c>
      <c r="H13" s="1" t="s">
        <v>254</v>
      </c>
      <c r="I13" s="1">
        <v>90</v>
      </c>
      <c r="J13" s="1">
        <v>27815</v>
      </c>
    </row>
    <row r="14" spans="1:10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252</v>
      </c>
      <c r="G14" s="1" t="s">
        <v>266</v>
      </c>
      <c r="H14" s="1" t="s">
        <v>254</v>
      </c>
      <c r="I14" s="1">
        <v>260</v>
      </c>
      <c r="J14" s="1">
        <v>36400</v>
      </c>
    </row>
    <row r="15" spans="1:10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252</v>
      </c>
      <c r="G15" s="1" t="s">
        <v>267</v>
      </c>
      <c r="H15" s="1" t="s">
        <v>254</v>
      </c>
      <c r="I15" s="1">
        <v>17</v>
      </c>
      <c r="J15" s="1">
        <v>21134</v>
      </c>
    </row>
    <row r="16" spans="1:10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252</v>
      </c>
      <c r="G16" s="1" t="s">
        <v>268</v>
      </c>
      <c r="H16" s="1" t="s">
        <v>254</v>
      </c>
      <c r="I16" s="1">
        <v>26</v>
      </c>
      <c r="J16" s="1">
        <v>18538</v>
      </c>
    </row>
    <row r="17" spans="1:10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252</v>
      </c>
      <c r="G17" s="1" t="s">
        <v>269</v>
      </c>
      <c r="H17" s="1" t="s">
        <v>254</v>
      </c>
      <c r="I17" s="1">
        <v>45</v>
      </c>
      <c r="J17" s="1">
        <v>40292</v>
      </c>
    </row>
    <row r="18" spans="1:10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252</v>
      </c>
      <c r="G18" s="1" t="s">
        <v>270</v>
      </c>
      <c r="H18" s="1" t="s">
        <v>254</v>
      </c>
      <c r="I18" s="1">
        <v>72</v>
      </c>
      <c r="J18" s="1">
        <v>14564</v>
      </c>
    </row>
    <row r="19" spans="1:10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252</v>
      </c>
      <c r="G19" s="1" t="s">
        <v>271</v>
      </c>
      <c r="H19" s="1" t="s">
        <v>254</v>
      </c>
      <c r="I19" s="1">
        <v>187</v>
      </c>
      <c r="J19" s="1">
        <v>110518</v>
      </c>
    </row>
    <row r="20" spans="1:10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23</v>
      </c>
      <c r="F20" s="1" t="s">
        <v>252</v>
      </c>
      <c r="G20" s="1" t="s">
        <v>272</v>
      </c>
      <c r="H20" s="1" t="s">
        <v>254</v>
      </c>
      <c r="I20" s="1">
        <v>17</v>
      </c>
      <c r="J20" s="1">
        <v>32759</v>
      </c>
    </row>
    <row r="21" spans="1:10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23</v>
      </c>
      <c r="F21" s="1" t="s">
        <v>252</v>
      </c>
      <c r="G21" s="1" t="s">
        <v>273</v>
      </c>
      <c r="H21" s="1" t="s">
        <v>254</v>
      </c>
      <c r="I21" s="1">
        <v>19</v>
      </c>
      <c r="J21" s="1">
        <v>42109</v>
      </c>
    </row>
    <row r="22" spans="1:10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23</v>
      </c>
      <c r="F22" s="1" t="s">
        <v>252</v>
      </c>
      <c r="G22" s="1" t="s">
        <v>274</v>
      </c>
      <c r="H22" s="1" t="s">
        <v>254</v>
      </c>
      <c r="I22" s="1">
        <v>17</v>
      </c>
      <c r="J22" s="1">
        <v>18687</v>
      </c>
    </row>
    <row r="23" spans="1:10" x14ac:dyDescent="0.25">
      <c r="A23" s="1">
        <v>2018</v>
      </c>
      <c r="B23" s="1">
        <v>3</v>
      </c>
      <c r="C23" s="1" t="s">
        <v>21</v>
      </c>
      <c r="D23" s="1" t="s">
        <v>22</v>
      </c>
      <c r="E23" s="1" t="s">
        <v>23</v>
      </c>
      <c r="F23" s="1" t="s">
        <v>252</v>
      </c>
      <c r="G23" s="1" t="s">
        <v>275</v>
      </c>
      <c r="H23" s="1" t="s">
        <v>254</v>
      </c>
      <c r="I23" s="1">
        <v>54</v>
      </c>
      <c r="J23" s="1">
        <v>79786</v>
      </c>
    </row>
    <row r="24" spans="1:10" x14ac:dyDescent="0.25">
      <c r="A24" s="1">
        <v>2018</v>
      </c>
      <c r="B24" s="1">
        <v>3</v>
      </c>
      <c r="C24" s="1" t="s">
        <v>21</v>
      </c>
      <c r="D24" s="1" t="s">
        <v>22</v>
      </c>
      <c r="E24" s="1" t="s">
        <v>23</v>
      </c>
      <c r="F24" s="1" t="s">
        <v>252</v>
      </c>
      <c r="G24" s="1" t="s">
        <v>276</v>
      </c>
      <c r="H24" s="1" t="s">
        <v>254</v>
      </c>
      <c r="I24" s="1">
        <v>3</v>
      </c>
      <c r="J24" s="1">
        <v>9741</v>
      </c>
    </row>
    <row r="25" spans="1:10" x14ac:dyDescent="0.25">
      <c r="A25" s="1">
        <v>2018</v>
      </c>
      <c r="B25" s="1">
        <v>3</v>
      </c>
      <c r="C25" s="1" t="s">
        <v>21</v>
      </c>
      <c r="D25" s="1" t="s">
        <v>22</v>
      </c>
      <c r="E25" s="1" t="s">
        <v>23</v>
      </c>
      <c r="F25" s="1" t="s">
        <v>252</v>
      </c>
      <c r="G25" s="1" t="s">
        <v>277</v>
      </c>
      <c r="H25" s="1" t="s">
        <v>254</v>
      </c>
      <c r="I25" s="1">
        <v>16</v>
      </c>
      <c r="J25" s="1">
        <v>5248</v>
      </c>
    </row>
    <row r="26" spans="1:10" x14ac:dyDescent="0.25">
      <c r="A26" s="1">
        <v>2018</v>
      </c>
      <c r="B26" s="1">
        <v>3</v>
      </c>
      <c r="C26" s="1" t="s">
        <v>21</v>
      </c>
      <c r="D26" s="1" t="s">
        <v>22</v>
      </c>
      <c r="E26" s="1" t="s">
        <v>23</v>
      </c>
      <c r="F26" s="1" t="s">
        <v>252</v>
      </c>
      <c r="G26" s="1" t="s">
        <v>278</v>
      </c>
      <c r="H26" s="1" t="s">
        <v>254</v>
      </c>
      <c r="I26" s="1">
        <v>16</v>
      </c>
      <c r="J26" s="1">
        <v>2222</v>
      </c>
    </row>
    <row r="27" spans="1:10" x14ac:dyDescent="0.25">
      <c r="A27" s="1">
        <v>2018</v>
      </c>
      <c r="B27" s="1">
        <v>3</v>
      </c>
      <c r="C27" s="1" t="s">
        <v>21</v>
      </c>
      <c r="D27" s="1" t="s">
        <v>22</v>
      </c>
      <c r="E27" s="1" t="s">
        <v>23</v>
      </c>
      <c r="F27" s="1" t="s">
        <v>252</v>
      </c>
      <c r="G27" s="1" t="s">
        <v>279</v>
      </c>
      <c r="H27" s="1" t="s">
        <v>254</v>
      </c>
      <c r="I27" s="1">
        <v>16</v>
      </c>
      <c r="J27" s="1">
        <v>5896</v>
      </c>
    </row>
    <row r="28" spans="1:10" x14ac:dyDescent="0.25">
      <c r="A28" s="1">
        <v>2018</v>
      </c>
      <c r="B28" s="1">
        <v>3</v>
      </c>
      <c r="C28" s="1" t="s">
        <v>21</v>
      </c>
      <c r="D28" s="1" t="s">
        <v>22</v>
      </c>
      <c r="E28" s="1" t="s">
        <v>23</v>
      </c>
      <c r="F28" s="1" t="s">
        <v>252</v>
      </c>
      <c r="G28" s="1" t="s">
        <v>280</v>
      </c>
      <c r="H28" s="1" t="s">
        <v>254</v>
      </c>
      <c r="I28" s="1">
        <v>30</v>
      </c>
      <c r="J28" s="1">
        <v>13298</v>
      </c>
    </row>
    <row r="29" spans="1:10" x14ac:dyDescent="0.25">
      <c r="A29" s="1">
        <v>2018</v>
      </c>
      <c r="B29" s="1">
        <v>3</v>
      </c>
      <c r="C29" s="1" t="s">
        <v>21</v>
      </c>
      <c r="D29" s="1" t="s">
        <v>22</v>
      </c>
      <c r="E29" s="1" t="s">
        <v>23</v>
      </c>
      <c r="F29" s="1" t="s">
        <v>281</v>
      </c>
      <c r="G29" s="1" t="s">
        <v>253</v>
      </c>
      <c r="H29" s="1" t="s">
        <v>282</v>
      </c>
      <c r="I29" s="1">
        <v>-300</v>
      </c>
      <c r="J29" s="1">
        <v>-25264.999800000001</v>
      </c>
    </row>
    <row r="30" spans="1:10" x14ac:dyDescent="0.25">
      <c r="A30" s="1">
        <v>2018</v>
      </c>
      <c r="B30" s="1">
        <v>3</v>
      </c>
      <c r="C30" s="1" t="s">
        <v>21</v>
      </c>
      <c r="D30" s="1" t="s">
        <v>22</v>
      </c>
      <c r="E30" s="1" t="s">
        <v>23</v>
      </c>
      <c r="F30" s="1" t="s">
        <v>281</v>
      </c>
      <c r="G30" s="1" t="s">
        <v>255</v>
      </c>
      <c r="H30" s="1" t="s">
        <v>282</v>
      </c>
      <c r="I30" s="1">
        <v>-150</v>
      </c>
      <c r="J30" s="1">
        <v>-5829.9998999999998</v>
      </c>
    </row>
    <row r="31" spans="1:10" x14ac:dyDescent="0.25">
      <c r="A31" s="1">
        <v>2018</v>
      </c>
      <c r="B31" s="1">
        <v>3</v>
      </c>
      <c r="C31" s="1" t="s">
        <v>21</v>
      </c>
      <c r="D31" s="1" t="s">
        <v>22</v>
      </c>
      <c r="E31" s="1" t="s">
        <v>23</v>
      </c>
      <c r="F31" s="1" t="s">
        <v>281</v>
      </c>
      <c r="G31" s="1" t="s">
        <v>256</v>
      </c>
      <c r="H31" s="1" t="s">
        <v>282</v>
      </c>
      <c r="I31" s="1">
        <v>-480</v>
      </c>
      <c r="J31" s="1">
        <v>-15966</v>
      </c>
    </row>
    <row r="32" spans="1:10" x14ac:dyDescent="0.25">
      <c r="A32" s="1">
        <v>2018</v>
      </c>
      <c r="B32" s="1">
        <v>3</v>
      </c>
      <c r="C32" s="1" t="s">
        <v>21</v>
      </c>
      <c r="D32" s="1" t="s">
        <v>22</v>
      </c>
      <c r="E32" s="1" t="s">
        <v>23</v>
      </c>
      <c r="F32" s="1" t="s">
        <v>281</v>
      </c>
      <c r="G32" s="1" t="s">
        <v>257</v>
      </c>
      <c r="H32" s="1" t="s">
        <v>282</v>
      </c>
      <c r="I32" s="1">
        <v>-20</v>
      </c>
      <c r="J32" s="1">
        <v>-2637</v>
      </c>
    </row>
    <row r="33" spans="1:10" x14ac:dyDescent="0.25">
      <c r="A33" s="1">
        <v>2018</v>
      </c>
      <c r="B33" s="1">
        <v>3</v>
      </c>
      <c r="C33" s="1" t="s">
        <v>21</v>
      </c>
      <c r="D33" s="1" t="s">
        <v>22</v>
      </c>
      <c r="E33" s="1" t="s">
        <v>23</v>
      </c>
      <c r="F33" s="1" t="s">
        <v>281</v>
      </c>
      <c r="G33" s="1" t="s">
        <v>258</v>
      </c>
      <c r="H33" s="1" t="s">
        <v>282</v>
      </c>
      <c r="I33" s="1">
        <v>-20</v>
      </c>
      <c r="J33" s="1">
        <v>-4592</v>
      </c>
    </row>
    <row r="34" spans="1:10" x14ac:dyDescent="0.25">
      <c r="A34" s="1">
        <v>2018</v>
      </c>
      <c r="B34" s="1">
        <v>3</v>
      </c>
      <c r="C34" s="1" t="s">
        <v>21</v>
      </c>
      <c r="D34" s="1" t="s">
        <v>22</v>
      </c>
      <c r="E34" s="1" t="s">
        <v>23</v>
      </c>
      <c r="F34" s="1" t="s">
        <v>281</v>
      </c>
      <c r="G34" s="1" t="s">
        <v>259</v>
      </c>
      <c r="H34" s="1" t="s">
        <v>282</v>
      </c>
      <c r="I34" s="1">
        <v>-60</v>
      </c>
      <c r="J34" s="1">
        <v>-7261.9999799999996</v>
      </c>
    </row>
    <row r="35" spans="1:10" x14ac:dyDescent="0.25">
      <c r="A35" s="1">
        <v>2018</v>
      </c>
      <c r="B35" s="1">
        <v>3</v>
      </c>
      <c r="C35" s="1" t="s">
        <v>21</v>
      </c>
      <c r="D35" s="1" t="s">
        <v>22</v>
      </c>
      <c r="E35" s="1" t="s">
        <v>23</v>
      </c>
      <c r="F35" s="1" t="s">
        <v>281</v>
      </c>
      <c r="G35" s="1" t="s">
        <v>260</v>
      </c>
      <c r="H35" s="1" t="s">
        <v>282</v>
      </c>
      <c r="I35" s="1">
        <v>-428</v>
      </c>
      <c r="J35" s="1">
        <v>-44090.999940000002</v>
      </c>
    </row>
    <row r="36" spans="1:10" x14ac:dyDescent="0.25">
      <c r="A36" s="1">
        <v>2018</v>
      </c>
      <c r="B36" s="1">
        <v>3</v>
      </c>
      <c r="C36" s="1" t="s">
        <v>21</v>
      </c>
      <c r="D36" s="1" t="s">
        <v>22</v>
      </c>
      <c r="E36" s="1" t="s">
        <v>23</v>
      </c>
      <c r="F36" s="1" t="s">
        <v>281</v>
      </c>
      <c r="G36" s="1" t="s">
        <v>261</v>
      </c>
      <c r="H36" s="1" t="s">
        <v>282</v>
      </c>
      <c r="I36" s="1">
        <v>-1000</v>
      </c>
      <c r="J36" s="1">
        <v>-71469</v>
      </c>
    </row>
    <row r="37" spans="1:10" x14ac:dyDescent="0.25">
      <c r="A37" s="1">
        <v>2018</v>
      </c>
      <c r="B37" s="1">
        <v>3</v>
      </c>
      <c r="C37" s="1" t="s">
        <v>21</v>
      </c>
      <c r="D37" s="1" t="s">
        <v>22</v>
      </c>
      <c r="E37" s="1" t="s">
        <v>23</v>
      </c>
      <c r="F37" s="1" t="s">
        <v>281</v>
      </c>
      <c r="G37" s="1" t="s">
        <v>262</v>
      </c>
      <c r="H37" s="1" t="s">
        <v>282</v>
      </c>
      <c r="I37" s="1">
        <v>-415.6</v>
      </c>
      <c r="J37" s="1">
        <v>-33663.999807</v>
      </c>
    </row>
    <row r="38" spans="1:10" x14ac:dyDescent="0.25">
      <c r="A38" s="1">
        <v>2018</v>
      </c>
      <c r="B38" s="1">
        <v>3</v>
      </c>
      <c r="C38" s="1" t="s">
        <v>21</v>
      </c>
      <c r="D38" s="1" t="s">
        <v>22</v>
      </c>
      <c r="E38" s="1" t="s">
        <v>23</v>
      </c>
      <c r="F38" s="1" t="s">
        <v>281</v>
      </c>
      <c r="G38" s="1" t="s">
        <v>263</v>
      </c>
      <c r="H38" s="1" t="s">
        <v>282</v>
      </c>
      <c r="I38" s="1">
        <v>-36</v>
      </c>
      <c r="J38" s="1">
        <v>-13291.999991999999</v>
      </c>
    </row>
    <row r="39" spans="1:10" x14ac:dyDescent="0.25">
      <c r="A39" s="1">
        <v>2018</v>
      </c>
      <c r="B39" s="1">
        <v>3</v>
      </c>
      <c r="C39" s="1" t="s">
        <v>21</v>
      </c>
      <c r="D39" s="1" t="s">
        <v>22</v>
      </c>
      <c r="E39" s="1" t="s">
        <v>23</v>
      </c>
      <c r="F39" s="1" t="s">
        <v>281</v>
      </c>
      <c r="G39" s="1" t="s">
        <v>264</v>
      </c>
      <c r="H39" s="1" t="s">
        <v>282</v>
      </c>
      <c r="I39" s="1">
        <v>-1250</v>
      </c>
      <c r="J39" s="1">
        <v>-190000</v>
      </c>
    </row>
    <row r="40" spans="1:10" x14ac:dyDescent="0.25">
      <c r="A40" s="1">
        <v>2018</v>
      </c>
      <c r="B40" s="1">
        <v>3</v>
      </c>
      <c r="C40" s="1" t="s">
        <v>21</v>
      </c>
      <c r="D40" s="1" t="s">
        <v>22</v>
      </c>
      <c r="E40" s="1" t="s">
        <v>23</v>
      </c>
      <c r="F40" s="1" t="s">
        <v>281</v>
      </c>
      <c r="G40" s="1" t="s">
        <v>265</v>
      </c>
      <c r="H40" s="1" t="s">
        <v>282</v>
      </c>
      <c r="I40" s="1">
        <v>-90</v>
      </c>
      <c r="J40" s="1">
        <v>-27814.999950000001</v>
      </c>
    </row>
    <row r="41" spans="1:10" x14ac:dyDescent="0.25">
      <c r="A41" s="1">
        <v>2018</v>
      </c>
      <c r="B41" s="1">
        <v>3</v>
      </c>
      <c r="C41" s="1" t="s">
        <v>21</v>
      </c>
      <c r="D41" s="1" t="s">
        <v>22</v>
      </c>
      <c r="E41" s="1" t="s">
        <v>23</v>
      </c>
      <c r="F41" s="1" t="s">
        <v>281</v>
      </c>
      <c r="G41" s="1" t="s">
        <v>266</v>
      </c>
      <c r="H41" s="1" t="s">
        <v>282</v>
      </c>
      <c r="I41" s="1">
        <v>-260</v>
      </c>
      <c r="J41" s="1">
        <v>-36400</v>
      </c>
    </row>
    <row r="42" spans="1:10" x14ac:dyDescent="0.25">
      <c r="A42" s="1">
        <v>2018</v>
      </c>
      <c r="B42" s="1">
        <v>3</v>
      </c>
      <c r="C42" s="1" t="s">
        <v>21</v>
      </c>
      <c r="D42" s="1" t="s">
        <v>22</v>
      </c>
      <c r="E42" s="1" t="s">
        <v>23</v>
      </c>
      <c r="F42" s="1" t="s">
        <v>281</v>
      </c>
      <c r="G42" s="1" t="s">
        <v>267</v>
      </c>
      <c r="H42" s="1" t="s">
        <v>282</v>
      </c>
      <c r="I42" s="1">
        <v>-17</v>
      </c>
      <c r="J42" s="1">
        <v>-21133.99999</v>
      </c>
    </row>
    <row r="43" spans="1:10" x14ac:dyDescent="0.25">
      <c r="A43" s="1">
        <v>2018</v>
      </c>
      <c r="B43" s="1">
        <v>3</v>
      </c>
      <c r="C43" s="1" t="s">
        <v>21</v>
      </c>
      <c r="D43" s="1" t="s">
        <v>22</v>
      </c>
      <c r="E43" s="1" t="s">
        <v>23</v>
      </c>
      <c r="F43" s="1" t="s">
        <v>281</v>
      </c>
      <c r="G43" s="1" t="s">
        <v>268</v>
      </c>
      <c r="H43" s="1" t="s">
        <v>282</v>
      </c>
      <c r="I43" s="1">
        <v>-26</v>
      </c>
      <c r="J43" s="1">
        <v>-18538</v>
      </c>
    </row>
    <row r="44" spans="1:10" x14ac:dyDescent="0.25">
      <c r="A44" s="1">
        <v>2018</v>
      </c>
      <c r="B44" s="1">
        <v>3</v>
      </c>
      <c r="C44" s="1" t="s">
        <v>21</v>
      </c>
      <c r="D44" s="1" t="s">
        <v>22</v>
      </c>
      <c r="E44" s="1" t="s">
        <v>23</v>
      </c>
      <c r="F44" s="1" t="s">
        <v>281</v>
      </c>
      <c r="G44" s="1" t="s">
        <v>269</v>
      </c>
      <c r="H44" s="1" t="s">
        <v>282</v>
      </c>
      <c r="I44" s="1">
        <v>-45</v>
      </c>
      <c r="J44" s="1">
        <v>-40291.999965000003</v>
      </c>
    </row>
    <row r="45" spans="1:10" x14ac:dyDescent="0.25">
      <c r="A45" s="1">
        <v>2018</v>
      </c>
      <c r="B45" s="1">
        <v>3</v>
      </c>
      <c r="C45" s="1" t="s">
        <v>21</v>
      </c>
      <c r="D45" s="1" t="s">
        <v>22</v>
      </c>
      <c r="E45" s="1" t="s">
        <v>23</v>
      </c>
      <c r="F45" s="1" t="s">
        <v>281</v>
      </c>
      <c r="G45" s="1" t="s">
        <v>270</v>
      </c>
      <c r="H45" s="1" t="s">
        <v>282</v>
      </c>
      <c r="I45" s="1">
        <v>-72</v>
      </c>
      <c r="J45" s="1">
        <v>-14563.999943999999</v>
      </c>
    </row>
    <row r="46" spans="1:10" x14ac:dyDescent="0.25">
      <c r="A46" s="1">
        <v>2018</v>
      </c>
      <c r="B46" s="1">
        <v>3</v>
      </c>
      <c r="C46" s="1" t="s">
        <v>21</v>
      </c>
      <c r="D46" s="1" t="s">
        <v>22</v>
      </c>
      <c r="E46" s="1" t="s">
        <v>23</v>
      </c>
      <c r="F46" s="1" t="s">
        <v>281</v>
      </c>
      <c r="G46" s="1" t="s">
        <v>271</v>
      </c>
      <c r="H46" s="1" t="s">
        <v>282</v>
      </c>
      <c r="I46" s="1">
        <v>-187</v>
      </c>
      <c r="J46" s="1">
        <v>-110517.999889</v>
      </c>
    </row>
    <row r="47" spans="1:10" x14ac:dyDescent="0.25">
      <c r="A47" s="1">
        <v>2018</v>
      </c>
      <c r="B47" s="1">
        <v>3</v>
      </c>
      <c r="C47" s="1" t="s">
        <v>21</v>
      </c>
      <c r="D47" s="1" t="s">
        <v>22</v>
      </c>
      <c r="E47" s="1" t="s">
        <v>23</v>
      </c>
      <c r="F47" s="1" t="s">
        <v>281</v>
      </c>
      <c r="G47" s="1" t="s">
        <v>272</v>
      </c>
      <c r="H47" s="1" t="s">
        <v>282</v>
      </c>
      <c r="I47" s="1">
        <v>-17</v>
      </c>
      <c r="J47" s="1">
        <v>-32759</v>
      </c>
    </row>
    <row r="48" spans="1:10" x14ac:dyDescent="0.25">
      <c r="A48" s="1">
        <v>2018</v>
      </c>
      <c r="B48" s="1">
        <v>3</v>
      </c>
      <c r="C48" s="1" t="s">
        <v>21</v>
      </c>
      <c r="D48" s="1" t="s">
        <v>22</v>
      </c>
      <c r="E48" s="1" t="s">
        <v>23</v>
      </c>
      <c r="F48" s="1" t="s">
        <v>281</v>
      </c>
      <c r="G48" s="1" t="s">
        <v>273</v>
      </c>
      <c r="H48" s="1" t="s">
        <v>282</v>
      </c>
      <c r="I48" s="1">
        <v>-19</v>
      </c>
      <c r="J48" s="1">
        <v>-42108.999983000002</v>
      </c>
    </row>
    <row r="49" spans="1:10" x14ac:dyDescent="0.25">
      <c r="A49" s="1">
        <v>2018</v>
      </c>
      <c r="B49" s="1">
        <v>3</v>
      </c>
      <c r="C49" s="1" t="s">
        <v>21</v>
      </c>
      <c r="D49" s="1" t="s">
        <v>22</v>
      </c>
      <c r="E49" s="1" t="s">
        <v>23</v>
      </c>
      <c r="F49" s="1" t="s">
        <v>281</v>
      </c>
      <c r="G49" s="1" t="s">
        <v>274</v>
      </c>
      <c r="H49" s="1" t="s">
        <v>282</v>
      </c>
      <c r="I49" s="1">
        <v>-17</v>
      </c>
      <c r="J49" s="1">
        <v>-18686.999997999999</v>
      </c>
    </row>
    <row r="50" spans="1:10" x14ac:dyDescent="0.25">
      <c r="A50" s="1">
        <v>2018</v>
      </c>
      <c r="B50" s="1">
        <v>3</v>
      </c>
      <c r="C50" s="1" t="s">
        <v>21</v>
      </c>
      <c r="D50" s="1" t="s">
        <v>22</v>
      </c>
      <c r="E50" s="1" t="s">
        <v>23</v>
      </c>
      <c r="F50" s="1" t="s">
        <v>281</v>
      </c>
      <c r="G50" s="1" t="s">
        <v>275</v>
      </c>
      <c r="H50" s="1" t="s">
        <v>282</v>
      </c>
      <c r="I50" s="1">
        <v>-54</v>
      </c>
      <c r="J50" s="1">
        <v>-79785.999972000005</v>
      </c>
    </row>
    <row r="51" spans="1:10" x14ac:dyDescent="0.25">
      <c r="A51" s="1">
        <v>2018</v>
      </c>
      <c r="B51" s="1">
        <v>3</v>
      </c>
      <c r="C51" s="1" t="s">
        <v>21</v>
      </c>
      <c r="D51" s="1" t="s">
        <v>22</v>
      </c>
      <c r="E51" s="1" t="s">
        <v>23</v>
      </c>
      <c r="F51" s="1" t="s">
        <v>281</v>
      </c>
      <c r="G51" s="1" t="s">
        <v>276</v>
      </c>
      <c r="H51" s="1" t="s">
        <v>282</v>
      </c>
      <c r="I51" s="1">
        <v>-3</v>
      </c>
      <c r="J51" s="1">
        <v>-9741</v>
      </c>
    </row>
    <row r="52" spans="1:10" x14ac:dyDescent="0.25">
      <c r="A52" s="1">
        <v>2018</v>
      </c>
      <c r="B52" s="1">
        <v>3</v>
      </c>
      <c r="C52" s="1" t="s">
        <v>21</v>
      </c>
      <c r="D52" s="1" t="s">
        <v>22</v>
      </c>
      <c r="E52" s="1" t="s">
        <v>23</v>
      </c>
      <c r="F52" s="1" t="s">
        <v>281</v>
      </c>
      <c r="G52" s="1" t="s">
        <v>277</v>
      </c>
      <c r="H52" s="1" t="s">
        <v>282</v>
      </c>
      <c r="I52" s="1">
        <v>-16</v>
      </c>
      <c r="J52" s="1">
        <v>-5248</v>
      </c>
    </row>
    <row r="53" spans="1:10" x14ac:dyDescent="0.25">
      <c r="A53" s="1">
        <v>2018</v>
      </c>
      <c r="B53" s="1">
        <v>3</v>
      </c>
      <c r="C53" s="1" t="s">
        <v>21</v>
      </c>
      <c r="D53" s="1" t="s">
        <v>22</v>
      </c>
      <c r="E53" s="1" t="s">
        <v>23</v>
      </c>
      <c r="F53" s="1" t="s">
        <v>281</v>
      </c>
      <c r="G53" s="1" t="s">
        <v>278</v>
      </c>
      <c r="H53" s="1" t="s">
        <v>282</v>
      </c>
      <c r="I53" s="1">
        <v>-16</v>
      </c>
      <c r="J53" s="1">
        <v>-2222</v>
      </c>
    </row>
    <row r="54" spans="1:10" x14ac:dyDescent="0.25">
      <c r="A54" s="1">
        <v>2018</v>
      </c>
      <c r="B54" s="1">
        <v>3</v>
      </c>
      <c r="C54" s="1" t="s">
        <v>21</v>
      </c>
      <c r="D54" s="1" t="s">
        <v>22</v>
      </c>
      <c r="E54" s="1" t="s">
        <v>23</v>
      </c>
      <c r="F54" s="1" t="s">
        <v>281</v>
      </c>
      <c r="G54" s="1" t="s">
        <v>279</v>
      </c>
      <c r="H54" s="1" t="s">
        <v>282</v>
      </c>
      <c r="I54" s="1">
        <v>-16</v>
      </c>
      <c r="J54" s="1">
        <v>-5896</v>
      </c>
    </row>
    <row r="55" spans="1:10" x14ac:dyDescent="0.25">
      <c r="A55" s="1">
        <v>2018</v>
      </c>
      <c r="B55" s="1">
        <v>3</v>
      </c>
      <c r="C55" s="1" t="s">
        <v>21</v>
      </c>
      <c r="D55" s="1" t="s">
        <v>22</v>
      </c>
      <c r="E55" s="1" t="s">
        <v>23</v>
      </c>
      <c r="F55" s="1" t="s">
        <v>281</v>
      </c>
      <c r="G55" s="1" t="s">
        <v>280</v>
      </c>
      <c r="H55" s="1" t="s">
        <v>282</v>
      </c>
      <c r="I55" s="1">
        <v>-30</v>
      </c>
      <c r="J55" s="1">
        <v>-13297.999980000001</v>
      </c>
    </row>
    <row r="56" spans="1:10" x14ac:dyDescent="0.25">
      <c r="A56" s="1">
        <v>2018</v>
      </c>
      <c r="B56" s="1">
        <v>4</v>
      </c>
      <c r="C56" s="1" t="s">
        <v>57</v>
      </c>
      <c r="D56" s="1" t="s">
        <v>22</v>
      </c>
      <c r="E56" s="1" t="s">
        <v>23</v>
      </c>
      <c r="F56" s="1" t="s">
        <v>252</v>
      </c>
      <c r="G56" s="1" t="s">
        <v>253</v>
      </c>
      <c r="H56" s="1" t="s">
        <v>254</v>
      </c>
      <c r="I56" s="1">
        <v>820</v>
      </c>
      <c r="J56" s="1">
        <v>68008</v>
      </c>
    </row>
    <row r="57" spans="1:10" x14ac:dyDescent="0.25">
      <c r="A57" s="1">
        <v>2018</v>
      </c>
      <c r="B57" s="1">
        <v>4</v>
      </c>
      <c r="C57" s="1" t="s">
        <v>57</v>
      </c>
      <c r="D57" s="1" t="s">
        <v>22</v>
      </c>
      <c r="E57" s="1" t="s">
        <v>23</v>
      </c>
      <c r="F57" s="1" t="s">
        <v>252</v>
      </c>
      <c r="G57" s="1" t="s">
        <v>255</v>
      </c>
      <c r="H57" s="1" t="s">
        <v>254</v>
      </c>
      <c r="I57" s="1">
        <v>300</v>
      </c>
      <c r="J57" s="1">
        <v>11660</v>
      </c>
    </row>
    <row r="58" spans="1:10" x14ac:dyDescent="0.25">
      <c r="A58" s="1">
        <v>2018</v>
      </c>
      <c r="B58" s="1">
        <v>4</v>
      </c>
      <c r="C58" s="1" t="s">
        <v>57</v>
      </c>
      <c r="D58" s="1" t="s">
        <v>22</v>
      </c>
      <c r="E58" s="1" t="s">
        <v>23</v>
      </c>
      <c r="F58" s="1" t="s">
        <v>252</v>
      </c>
      <c r="G58" s="1" t="s">
        <v>257</v>
      </c>
      <c r="H58" s="1" t="s">
        <v>254</v>
      </c>
      <c r="I58" s="1">
        <v>20</v>
      </c>
      <c r="J58" s="1">
        <v>2597</v>
      </c>
    </row>
    <row r="59" spans="1:10" x14ac:dyDescent="0.25">
      <c r="A59" s="1">
        <v>2018</v>
      </c>
      <c r="B59" s="1">
        <v>4</v>
      </c>
      <c r="C59" s="1" t="s">
        <v>57</v>
      </c>
      <c r="D59" s="1" t="s">
        <v>22</v>
      </c>
      <c r="E59" s="1" t="s">
        <v>23</v>
      </c>
      <c r="F59" s="1" t="s">
        <v>252</v>
      </c>
      <c r="G59" s="1" t="s">
        <v>283</v>
      </c>
      <c r="H59" s="1" t="s">
        <v>254</v>
      </c>
      <c r="I59" s="1">
        <v>19.7</v>
      </c>
      <c r="J59" s="1">
        <v>1286</v>
      </c>
    </row>
    <row r="60" spans="1:10" x14ac:dyDescent="0.25">
      <c r="A60" s="1">
        <v>2018</v>
      </c>
      <c r="B60" s="1">
        <v>4</v>
      </c>
      <c r="C60" s="1" t="s">
        <v>57</v>
      </c>
      <c r="D60" s="1" t="s">
        <v>22</v>
      </c>
      <c r="E60" s="1" t="s">
        <v>23</v>
      </c>
      <c r="F60" s="1" t="s">
        <v>252</v>
      </c>
      <c r="G60" s="1" t="s">
        <v>259</v>
      </c>
      <c r="H60" s="1" t="s">
        <v>254</v>
      </c>
      <c r="I60" s="1">
        <v>20</v>
      </c>
      <c r="J60" s="1">
        <v>2383</v>
      </c>
    </row>
    <row r="61" spans="1:10" x14ac:dyDescent="0.25">
      <c r="A61" s="1">
        <v>2018</v>
      </c>
      <c r="B61" s="1">
        <v>4</v>
      </c>
      <c r="C61" s="1" t="s">
        <v>57</v>
      </c>
      <c r="D61" s="1" t="s">
        <v>22</v>
      </c>
      <c r="E61" s="1" t="s">
        <v>23</v>
      </c>
      <c r="F61" s="1" t="s">
        <v>252</v>
      </c>
      <c r="G61" s="1" t="s">
        <v>284</v>
      </c>
      <c r="H61" s="1" t="s">
        <v>254</v>
      </c>
      <c r="I61" s="1">
        <v>40</v>
      </c>
      <c r="J61" s="1">
        <v>3850</v>
      </c>
    </row>
    <row r="62" spans="1:10" x14ac:dyDescent="0.25">
      <c r="A62" s="1">
        <v>2018</v>
      </c>
      <c r="B62" s="1">
        <v>4</v>
      </c>
      <c r="C62" s="1" t="s">
        <v>57</v>
      </c>
      <c r="D62" s="1" t="s">
        <v>22</v>
      </c>
      <c r="E62" s="1" t="s">
        <v>23</v>
      </c>
      <c r="F62" s="1" t="s">
        <v>252</v>
      </c>
      <c r="G62" s="1" t="s">
        <v>260</v>
      </c>
      <c r="H62" s="1" t="s">
        <v>254</v>
      </c>
      <c r="I62" s="1">
        <v>80</v>
      </c>
      <c r="J62" s="1">
        <v>8241</v>
      </c>
    </row>
    <row r="63" spans="1:10" x14ac:dyDescent="0.25">
      <c r="A63" s="1">
        <v>2018</v>
      </c>
      <c r="B63" s="1">
        <v>4</v>
      </c>
      <c r="C63" s="1" t="s">
        <v>57</v>
      </c>
      <c r="D63" s="1" t="s">
        <v>22</v>
      </c>
      <c r="E63" s="1" t="s">
        <v>23</v>
      </c>
      <c r="F63" s="1" t="s">
        <v>252</v>
      </c>
      <c r="G63" s="1" t="s">
        <v>261</v>
      </c>
      <c r="H63" s="1" t="s">
        <v>254</v>
      </c>
      <c r="I63" s="1">
        <v>2500</v>
      </c>
      <c r="J63" s="1">
        <v>178673</v>
      </c>
    </row>
    <row r="64" spans="1:10" x14ac:dyDescent="0.25">
      <c r="A64" s="1">
        <v>2018</v>
      </c>
      <c r="B64" s="1">
        <v>4</v>
      </c>
      <c r="C64" s="1" t="s">
        <v>57</v>
      </c>
      <c r="D64" s="1" t="s">
        <v>22</v>
      </c>
      <c r="E64" s="1" t="s">
        <v>23</v>
      </c>
      <c r="F64" s="1" t="s">
        <v>252</v>
      </c>
      <c r="G64" s="1" t="s">
        <v>262</v>
      </c>
      <c r="H64" s="1" t="s">
        <v>254</v>
      </c>
      <c r="I64" s="1">
        <v>415.6</v>
      </c>
      <c r="J64" s="1">
        <v>33664</v>
      </c>
    </row>
    <row r="65" spans="1:10" x14ac:dyDescent="0.25">
      <c r="A65" s="1">
        <v>2018</v>
      </c>
      <c r="B65" s="1">
        <v>4</v>
      </c>
      <c r="C65" s="1" t="s">
        <v>57</v>
      </c>
      <c r="D65" s="1" t="s">
        <v>22</v>
      </c>
      <c r="E65" s="1" t="s">
        <v>23</v>
      </c>
      <c r="F65" s="1" t="s">
        <v>252</v>
      </c>
      <c r="G65" s="1" t="s">
        <v>285</v>
      </c>
      <c r="H65" s="1" t="s">
        <v>254</v>
      </c>
      <c r="I65" s="1">
        <v>232.4</v>
      </c>
      <c r="J65" s="1">
        <v>12550</v>
      </c>
    </row>
    <row r="66" spans="1:10" x14ac:dyDescent="0.25">
      <c r="A66" s="1">
        <v>2018</v>
      </c>
      <c r="B66" s="1">
        <v>4</v>
      </c>
      <c r="C66" s="1" t="s">
        <v>57</v>
      </c>
      <c r="D66" s="1" t="s">
        <v>22</v>
      </c>
      <c r="E66" s="1" t="s">
        <v>23</v>
      </c>
      <c r="F66" s="1" t="s">
        <v>252</v>
      </c>
      <c r="G66" s="1" t="s">
        <v>286</v>
      </c>
      <c r="H66" s="1" t="s">
        <v>254</v>
      </c>
      <c r="I66" s="1">
        <v>108</v>
      </c>
      <c r="J66" s="1">
        <v>220945</v>
      </c>
    </row>
    <row r="67" spans="1:10" x14ac:dyDescent="0.25">
      <c r="A67" s="1">
        <v>2018</v>
      </c>
      <c r="B67" s="1">
        <v>4</v>
      </c>
      <c r="C67" s="1" t="s">
        <v>57</v>
      </c>
      <c r="D67" s="1" t="s">
        <v>22</v>
      </c>
      <c r="E67" s="1" t="s">
        <v>23</v>
      </c>
      <c r="F67" s="1" t="s">
        <v>252</v>
      </c>
      <c r="G67" s="1" t="s">
        <v>287</v>
      </c>
      <c r="H67" s="1" t="s">
        <v>254</v>
      </c>
      <c r="I67" s="1">
        <v>175</v>
      </c>
      <c r="J67" s="1">
        <v>16492</v>
      </c>
    </row>
    <row r="68" spans="1:10" x14ac:dyDescent="0.25">
      <c r="A68" s="1">
        <v>2018</v>
      </c>
      <c r="B68" s="1">
        <v>4</v>
      </c>
      <c r="C68" s="1" t="s">
        <v>57</v>
      </c>
      <c r="D68" s="1" t="s">
        <v>22</v>
      </c>
      <c r="E68" s="1" t="s">
        <v>23</v>
      </c>
      <c r="F68" s="1" t="s">
        <v>252</v>
      </c>
      <c r="G68" s="1" t="s">
        <v>266</v>
      </c>
      <c r="H68" s="1" t="s">
        <v>254</v>
      </c>
      <c r="I68" s="1">
        <v>300</v>
      </c>
      <c r="J68" s="1">
        <v>42000</v>
      </c>
    </row>
    <row r="69" spans="1:10" x14ac:dyDescent="0.25">
      <c r="A69" s="1">
        <v>2018</v>
      </c>
      <c r="B69" s="1">
        <v>4</v>
      </c>
      <c r="C69" s="1" t="s">
        <v>57</v>
      </c>
      <c r="D69" s="1" t="s">
        <v>22</v>
      </c>
      <c r="E69" s="1" t="s">
        <v>23</v>
      </c>
      <c r="F69" s="1" t="s">
        <v>252</v>
      </c>
      <c r="G69" s="1" t="s">
        <v>288</v>
      </c>
      <c r="H69" s="1" t="s">
        <v>254</v>
      </c>
      <c r="I69" s="1">
        <v>1</v>
      </c>
      <c r="J69" s="1">
        <v>16412</v>
      </c>
    </row>
    <row r="70" spans="1:10" x14ac:dyDescent="0.25">
      <c r="A70" s="1">
        <v>2018</v>
      </c>
      <c r="B70" s="1">
        <v>4</v>
      </c>
      <c r="C70" s="1" t="s">
        <v>57</v>
      </c>
      <c r="D70" s="1" t="s">
        <v>22</v>
      </c>
      <c r="E70" s="1" t="s">
        <v>23</v>
      </c>
      <c r="F70" s="1" t="s">
        <v>252</v>
      </c>
      <c r="G70" s="1" t="s">
        <v>270</v>
      </c>
      <c r="H70" s="1" t="s">
        <v>254</v>
      </c>
      <c r="I70" s="1">
        <v>36</v>
      </c>
      <c r="J70" s="1">
        <v>7282</v>
      </c>
    </row>
    <row r="71" spans="1:10" x14ac:dyDescent="0.25">
      <c r="A71" s="1">
        <v>2018</v>
      </c>
      <c r="B71" s="1">
        <v>4</v>
      </c>
      <c r="C71" s="1" t="s">
        <v>57</v>
      </c>
      <c r="D71" s="1" t="s">
        <v>22</v>
      </c>
      <c r="E71" s="1" t="s">
        <v>23</v>
      </c>
      <c r="F71" s="1" t="s">
        <v>252</v>
      </c>
      <c r="G71" s="1" t="s">
        <v>271</v>
      </c>
      <c r="H71" s="1" t="s">
        <v>254</v>
      </c>
      <c r="I71" s="1">
        <v>493</v>
      </c>
      <c r="J71" s="1">
        <v>286929</v>
      </c>
    </row>
    <row r="72" spans="1:10" x14ac:dyDescent="0.25">
      <c r="A72" s="1">
        <v>2018</v>
      </c>
      <c r="B72" s="1">
        <v>4</v>
      </c>
      <c r="C72" s="1" t="s">
        <v>57</v>
      </c>
      <c r="D72" s="1" t="s">
        <v>22</v>
      </c>
      <c r="E72" s="1" t="s">
        <v>23</v>
      </c>
      <c r="F72" s="1" t="s">
        <v>252</v>
      </c>
      <c r="G72" s="1" t="s">
        <v>289</v>
      </c>
      <c r="H72" s="1" t="s">
        <v>254</v>
      </c>
      <c r="I72" s="1">
        <v>102</v>
      </c>
      <c r="J72" s="1">
        <v>133570</v>
      </c>
    </row>
    <row r="73" spans="1:10" x14ac:dyDescent="0.25">
      <c r="A73" s="1">
        <v>2018</v>
      </c>
      <c r="B73" s="1">
        <v>4</v>
      </c>
      <c r="C73" s="1" t="s">
        <v>57</v>
      </c>
      <c r="D73" s="1" t="s">
        <v>22</v>
      </c>
      <c r="E73" s="1" t="s">
        <v>23</v>
      </c>
      <c r="F73" s="1" t="s">
        <v>252</v>
      </c>
      <c r="G73" s="1" t="s">
        <v>273</v>
      </c>
      <c r="H73" s="1" t="s">
        <v>254</v>
      </c>
      <c r="I73" s="1">
        <v>19</v>
      </c>
      <c r="J73" s="1">
        <v>41468</v>
      </c>
    </row>
    <row r="74" spans="1:10" x14ac:dyDescent="0.25">
      <c r="A74" s="1">
        <v>2018</v>
      </c>
      <c r="B74" s="1">
        <v>4</v>
      </c>
      <c r="C74" s="1" t="s">
        <v>57</v>
      </c>
      <c r="D74" s="1" t="s">
        <v>22</v>
      </c>
      <c r="E74" s="1" t="s">
        <v>23</v>
      </c>
      <c r="F74" s="1" t="s">
        <v>252</v>
      </c>
      <c r="G74" s="1" t="s">
        <v>290</v>
      </c>
      <c r="H74" s="1" t="s">
        <v>254</v>
      </c>
      <c r="I74" s="1">
        <v>18</v>
      </c>
      <c r="J74" s="1">
        <v>42246</v>
      </c>
    </row>
    <row r="75" spans="1:10" x14ac:dyDescent="0.25">
      <c r="A75" s="1">
        <v>2018</v>
      </c>
      <c r="B75" s="1">
        <v>4</v>
      </c>
      <c r="C75" s="1" t="s">
        <v>57</v>
      </c>
      <c r="D75" s="1" t="s">
        <v>22</v>
      </c>
      <c r="E75" s="1" t="s">
        <v>23</v>
      </c>
      <c r="F75" s="1" t="s">
        <v>252</v>
      </c>
      <c r="G75" s="1" t="s">
        <v>274</v>
      </c>
      <c r="H75" s="1" t="s">
        <v>254</v>
      </c>
      <c r="I75" s="1">
        <v>34</v>
      </c>
      <c r="J75" s="1">
        <v>33640</v>
      </c>
    </row>
    <row r="76" spans="1:10" x14ac:dyDescent="0.25">
      <c r="A76" s="1">
        <v>2018</v>
      </c>
      <c r="B76" s="1">
        <v>4</v>
      </c>
      <c r="C76" s="1" t="s">
        <v>57</v>
      </c>
      <c r="D76" s="1" t="s">
        <v>22</v>
      </c>
      <c r="E76" s="1" t="s">
        <v>23</v>
      </c>
      <c r="F76" s="1" t="s">
        <v>252</v>
      </c>
      <c r="G76" s="1" t="s">
        <v>275</v>
      </c>
      <c r="H76" s="1" t="s">
        <v>254</v>
      </c>
      <c r="I76" s="1">
        <v>54</v>
      </c>
      <c r="J76" s="1">
        <v>78570</v>
      </c>
    </row>
    <row r="77" spans="1:10" x14ac:dyDescent="0.25">
      <c r="A77" s="1">
        <v>2018</v>
      </c>
      <c r="B77" s="1">
        <v>4</v>
      </c>
      <c r="C77" s="1" t="s">
        <v>57</v>
      </c>
      <c r="D77" s="1" t="s">
        <v>22</v>
      </c>
      <c r="E77" s="1" t="s">
        <v>23</v>
      </c>
      <c r="F77" s="1" t="s">
        <v>252</v>
      </c>
      <c r="G77" s="1" t="s">
        <v>291</v>
      </c>
      <c r="H77" s="1" t="s">
        <v>254</v>
      </c>
      <c r="I77" s="1">
        <v>85</v>
      </c>
      <c r="J77" s="1">
        <v>103888</v>
      </c>
    </row>
    <row r="78" spans="1:10" x14ac:dyDescent="0.25">
      <c r="A78" s="1">
        <v>2018</v>
      </c>
      <c r="B78" s="1">
        <v>4</v>
      </c>
      <c r="C78" s="1" t="s">
        <v>57</v>
      </c>
      <c r="D78" s="1" t="s">
        <v>22</v>
      </c>
      <c r="E78" s="1" t="s">
        <v>23</v>
      </c>
      <c r="F78" s="1" t="s">
        <v>252</v>
      </c>
      <c r="G78" s="1" t="s">
        <v>279</v>
      </c>
      <c r="H78" s="1" t="s">
        <v>254</v>
      </c>
      <c r="I78" s="1">
        <v>16</v>
      </c>
      <c r="J78" s="1">
        <v>5806</v>
      </c>
    </row>
    <row r="79" spans="1:10" x14ac:dyDescent="0.25">
      <c r="A79" s="1">
        <v>2018</v>
      </c>
      <c r="B79" s="1">
        <v>4</v>
      </c>
      <c r="C79" s="1" t="s">
        <v>57</v>
      </c>
      <c r="D79" s="1" t="s">
        <v>22</v>
      </c>
      <c r="E79" s="1" t="s">
        <v>23</v>
      </c>
      <c r="F79" s="1" t="s">
        <v>252</v>
      </c>
      <c r="G79" s="1" t="s">
        <v>280</v>
      </c>
      <c r="H79" s="1" t="s">
        <v>254</v>
      </c>
      <c r="I79" s="1">
        <v>15</v>
      </c>
      <c r="J79" s="1">
        <v>6548</v>
      </c>
    </row>
    <row r="80" spans="1:10" x14ac:dyDescent="0.25">
      <c r="A80" s="1">
        <v>2018</v>
      </c>
      <c r="B80" s="1">
        <v>4</v>
      </c>
      <c r="C80" s="1" t="s">
        <v>57</v>
      </c>
      <c r="D80" s="1" t="s">
        <v>22</v>
      </c>
      <c r="E80" s="1" t="s">
        <v>23</v>
      </c>
      <c r="F80" s="1" t="s">
        <v>281</v>
      </c>
      <c r="G80" s="1" t="s">
        <v>253</v>
      </c>
      <c r="H80" s="1" t="s">
        <v>282</v>
      </c>
      <c r="I80" s="1">
        <v>-820</v>
      </c>
      <c r="J80" s="1">
        <v>-68007.9997</v>
      </c>
    </row>
    <row r="81" spans="1:10" x14ac:dyDescent="0.25">
      <c r="A81" s="1">
        <v>2018</v>
      </c>
      <c r="B81" s="1">
        <v>4</v>
      </c>
      <c r="C81" s="1" t="s">
        <v>57</v>
      </c>
      <c r="D81" s="1" t="s">
        <v>22</v>
      </c>
      <c r="E81" s="1" t="s">
        <v>23</v>
      </c>
      <c r="F81" s="1" t="s">
        <v>281</v>
      </c>
      <c r="G81" s="1" t="s">
        <v>255</v>
      </c>
      <c r="H81" s="1" t="s">
        <v>282</v>
      </c>
      <c r="I81" s="1">
        <v>-300</v>
      </c>
      <c r="J81" s="1">
        <v>-11659.9998</v>
      </c>
    </row>
    <row r="82" spans="1:10" x14ac:dyDescent="0.25">
      <c r="A82" s="1">
        <v>2018</v>
      </c>
      <c r="B82" s="1">
        <v>4</v>
      </c>
      <c r="C82" s="1" t="s">
        <v>57</v>
      </c>
      <c r="D82" s="1" t="s">
        <v>22</v>
      </c>
      <c r="E82" s="1" t="s">
        <v>23</v>
      </c>
      <c r="F82" s="1" t="s">
        <v>281</v>
      </c>
      <c r="G82" s="1" t="s">
        <v>257</v>
      </c>
      <c r="H82" s="1" t="s">
        <v>282</v>
      </c>
      <c r="I82" s="1">
        <v>-20</v>
      </c>
      <c r="J82" s="1">
        <v>-2597</v>
      </c>
    </row>
    <row r="83" spans="1:10" x14ac:dyDescent="0.25">
      <c r="A83" s="1">
        <v>2018</v>
      </c>
      <c r="B83" s="1">
        <v>4</v>
      </c>
      <c r="C83" s="1" t="s">
        <v>57</v>
      </c>
      <c r="D83" s="1" t="s">
        <v>22</v>
      </c>
      <c r="E83" s="1" t="s">
        <v>23</v>
      </c>
      <c r="F83" s="1" t="s">
        <v>281</v>
      </c>
      <c r="G83" s="1" t="s">
        <v>283</v>
      </c>
      <c r="H83" s="1" t="s">
        <v>282</v>
      </c>
      <c r="I83" s="1">
        <v>-19.7</v>
      </c>
      <c r="J83" s="1">
        <v>-1285.999984</v>
      </c>
    </row>
    <row r="84" spans="1:10" x14ac:dyDescent="0.25">
      <c r="A84" s="1">
        <v>2018</v>
      </c>
      <c r="B84" s="1">
        <v>4</v>
      </c>
      <c r="C84" s="1" t="s">
        <v>57</v>
      </c>
      <c r="D84" s="1" t="s">
        <v>22</v>
      </c>
      <c r="E84" s="1" t="s">
        <v>23</v>
      </c>
      <c r="F84" s="1" t="s">
        <v>281</v>
      </c>
      <c r="G84" s="1" t="s">
        <v>259</v>
      </c>
      <c r="H84" s="1" t="s">
        <v>282</v>
      </c>
      <c r="I84" s="1">
        <v>-20</v>
      </c>
      <c r="J84" s="1">
        <v>-2383</v>
      </c>
    </row>
    <row r="85" spans="1:10" x14ac:dyDescent="0.25">
      <c r="A85" s="1">
        <v>2018</v>
      </c>
      <c r="B85" s="1">
        <v>4</v>
      </c>
      <c r="C85" s="1" t="s">
        <v>57</v>
      </c>
      <c r="D85" s="1" t="s">
        <v>22</v>
      </c>
      <c r="E85" s="1" t="s">
        <v>23</v>
      </c>
      <c r="F85" s="1" t="s">
        <v>281</v>
      </c>
      <c r="G85" s="1" t="s">
        <v>284</v>
      </c>
      <c r="H85" s="1" t="s">
        <v>282</v>
      </c>
      <c r="I85" s="1">
        <v>-40</v>
      </c>
      <c r="J85" s="1">
        <v>-3850</v>
      </c>
    </row>
    <row r="86" spans="1:10" x14ac:dyDescent="0.25">
      <c r="A86" s="1">
        <v>2018</v>
      </c>
      <c r="B86" s="1">
        <v>4</v>
      </c>
      <c r="C86" s="1" t="s">
        <v>57</v>
      </c>
      <c r="D86" s="1" t="s">
        <v>22</v>
      </c>
      <c r="E86" s="1" t="s">
        <v>23</v>
      </c>
      <c r="F86" s="1" t="s">
        <v>281</v>
      </c>
      <c r="G86" s="1" t="s">
        <v>260</v>
      </c>
      <c r="H86" s="1" t="s">
        <v>282</v>
      </c>
      <c r="I86" s="1">
        <v>-80</v>
      </c>
      <c r="J86" s="1">
        <v>-8241</v>
      </c>
    </row>
    <row r="87" spans="1:10" x14ac:dyDescent="0.25">
      <c r="A87" s="1">
        <v>2018</v>
      </c>
      <c r="B87" s="1">
        <v>4</v>
      </c>
      <c r="C87" s="1" t="s">
        <v>57</v>
      </c>
      <c r="D87" s="1" t="s">
        <v>22</v>
      </c>
      <c r="E87" s="1" t="s">
        <v>23</v>
      </c>
      <c r="F87" s="1" t="s">
        <v>281</v>
      </c>
      <c r="G87" s="1" t="s">
        <v>261</v>
      </c>
      <c r="H87" s="1" t="s">
        <v>282</v>
      </c>
      <c r="I87" s="1">
        <v>-2500</v>
      </c>
      <c r="J87" s="1">
        <v>-178673</v>
      </c>
    </row>
    <row r="88" spans="1:10" x14ac:dyDescent="0.25">
      <c r="A88" s="1">
        <v>2018</v>
      </c>
      <c r="B88" s="1">
        <v>4</v>
      </c>
      <c r="C88" s="1" t="s">
        <v>57</v>
      </c>
      <c r="D88" s="1" t="s">
        <v>22</v>
      </c>
      <c r="E88" s="1" t="s">
        <v>23</v>
      </c>
      <c r="F88" s="1" t="s">
        <v>281</v>
      </c>
      <c r="G88" s="1" t="s">
        <v>262</v>
      </c>
      <c r="H88" s="1" t="s">
        <v>282</v>
      </c>
      <c r="I88" s="1">
        <v>-415.6</v>
      </c>
      <c r="J88" s="1">
        <v>-33663.999807</v>
      </c>
    </row>
    <row r="89" spans="1:10" x14ac:dyDescent="0.25">
      <c r="A89" s="1">
        <v>2018</v>
      </c>
      <c r="B89" s="1">
        <v>4</v>
      </c>
      <c r="C89" s="1" t="s">
        <v>57</v>
      </c>
      <c r="D89" s="1" t="s">
        <v>22</v>
      </c>
      <c r="E89" s="1" t="s">
        <v>23</v>
      </c>
      <c r="F89" s="1" t="s">
        <v>281</v>
      </c>
      <c r="G89" s="1" t="s">
        <v>285</v>
      </c>
      <c r="H89" s="1" t="s">
        <v>282</v>
      </c>
      <c r="I89" s="1">
        <v>-232.4</v>
      </c>
      <c r="J89" s="1">
        <v>-12549.999959999999</v>
      </c>
    </row>
    <row r="90" spans="1:10" x14ac:dyDescent="0.25">
      <c r="A90" s="1">
        <v>2018</v>
      </c>
      <c r="B90" s="1">
        <v>4</v>
      </c>
      <c r="C90" s="1" t="s">
        <v>57</v>
      </c>
      <c r="D90" s="1" t="s">
        <v>22</v>
      </c>
      <c r="E90" s="1" t="s">
        <v>23</v>
      </c>
      <c r="F90" s="1" t="s">
        <v>281</v>
      </c>
      <c r="G90" s="1" t="s">
        <v>286</v>
      </c>
      <c r="H90" s="1" t="s">
        <v>282</v>
      </c>
      <c r="I90" s="1">
        <v>-108</v>
      </c>
      <c r="J90" s="1">
        <v>-220944.999996</v>
      </c>
    </row>
    <row r="91" spans="1:10" x14ac:dyDescent="0.25">
      <c r="A91" s="1">
        <v>2018</v>
      </c>
      <c r="B91" s="1">
        <v>4</v>
      </c>
      <c r="C91" s="1" t="s">
        <v>57</v>
      </c>
      <c r="D91" s="1" t="s">
        <v>22</v>
      </c>
      <c r="E91" s="1" t="s">
        <v>23</v>
      </c>
      <c r="F91" s="1" t="s">
        <v>281</v>
      </c>
      <c r="G91" s="1" t="s">
        <v>287</v>
      </c>
      <c r="H91" s="1" t="s">
        <v>282</v>
      </c>
      <c r="I91" s="1">
        <v>-175</v>
      </c>
      <c r="J91" s="1">
        <v>-16492</v>
      </c>
    </row>
    <row r="92" spans="1:10" x14ac:dyDescent="0.25">
      <c r="A92" s="1">
        <v>2018</v>
      </c>
      <c r="B92" s="1">
        <v>4</v>
      </c>
      <c r="C92" s="1" t="s">
        <v>57</v>
      </c>
      <c r="D92" s="1" t="s">
        <v>22</v>
      </c>
      <c r="E92" s="1" t="s">
        <v>23</v>
      </c>
      <c r="F92" s="1" t="s">
        <v>281</v>
      </c>
      <c r="G92" s="1" t="s">
        <v>266</v>
      </c>
      <c r="H92" s="1" t="s">
        <v>282</v>
      </c>
      <c r="I92" s="1">
        <v>-300</v>
      </c>
      <c r="J92" s="1">
        <v>-42000</v>
      </c>
    </row>
    <row r="93" spans="1:10" x14ac:dyDescent="0.25">
      <c r="A93" s="1">
        <v>2018</v>
      </c>
      <c r="B93" s="1">
        <v>4</v>
      </c>
      <c r="C93" s="1" t="s">
        <v>57</v>
      </c>
      <c r="D93" s="1" t="s">
        <v>22</v>
      </c>
      <c r="E93" s="1" t="s">
        <v>23</v>
      </c>
      <c r="F93" s="1" t="s">
        <v>281</v>
      </c>
      <c r="G93" s="1" t="s">
        <v>288</v>
      </c>
      <c r="H93" s="1" t="s">
        <v>282</v>
      </c>
      <c r="I93" s="1">
        <v>-1</v>
      </c>
      <c r="J93" s="1">
        <v>-16412</v>
      </c>
    </row>
    <row r="94" spans="1:10" x14ac:dyDescent="0.25">
      <c r="A94" s="1">
        <v>2018</v>
      </c>
      <c r="B94" s="1">
        <v>4</v>
      </c>
      <c r="C94" s="1" t="s">
        <v>57</v>
      </c>
      <c r="D94" s="1" t="s">
        <v>22</v>
      </c>
      <c r="E94" s="1" t="s">
        <v>23</v>
      </c>
      <c r="F94" s="1" t="s">
        <v>281</v>
      </c>
      <c r="G94" s="1" t="s">
        <v>270</v>
      </c>
      <c r="H94" s="1" t="s">
        <v>282</v>
      </c>
      <c r="I94" s="1">
        <v>-36</v>
      </c>
      <c r="J94" s="1">
        <v>-7281.9999719999996</v>
      </c>
    </row>
    <row r="95" spans="1:10" x14ac:dyDescent="0.25">
      <c r="A95" s="1">
        <v>2018</v>
      </c>
      <c r="B95" s="1">
        <v>4</v>
      </c>
      <c r="C95" s="1" t="s">
        <v>57</v>
      </c>
      <c r="D95" s="1" t="s">
        <v>22</v>
      </c>
      <c r="E95" s="1" t="s">
        <v>23</v>
      </c>
      <c r="F95" s="1" t="s">
        <v>281</v>
      </c>
      <c r="G95" s="1" t="s">
        <v>271</v>
      </c>
      <c r="H95" s="1" t="s">
        <v>282</v>
      </c>
      <c r="I95" s="1">
        <v>-493</v>
      </c>
      <c r="J95" s="1">
        <v>-286928.99990499998</v>
      </c>
    </row>
    <row r="96" spans="1:10" x14ac:dyDescent="0.25">
      <c r="A96" s="1">
        <v>2018</v>
      </c>
      <c r="B96" s="1">
        <v>4</v>
      </c>
      <c r="C96" s="1" t="s">
        <v>57</v>
      </c>
      <c r="D96" s="1" t="s">
        <v>22</v>
      </c>
      <c r="E96" s="1" t="s">
        <v>23</v>
      </c>
      <c r="F96" s="1" t="s">
        <v>281</v>
      </c>
      <c r="G96" s="1" t="s">
        <v>289</v>
      </c>
      <c r="H96" s="1" t="s">
        <v>282</v>
      </c>
      <c r="I96" s="1">
        <v>-102</v>
      </c>
      <c r="J96" s="1">
        <v>-133569.99990600001</v>
      </c>
    </row>
    <row r="97" spans="1:10" x14ac:dyDescent="0.25">
      <c r="A97" s="1">
        <v>2018</v>
      </c>
      <c r="B97" s="1">
        <v>4</v>
      </c>
      <c r="C97" s="1" t="s">
        <v>57</v>
      </c>
      <c r="D97" s="1" t="s">
        <v>22</v>
      </c>
      <c r="E97" s="1" t="s">
        <v>23</v>
      </c>
      <c r="F97" s="1" t="s">
        <v>281</v>
      </c>
      <c r="G97" s="1" t="s">
        <v>273</v>
      </c>
      <c r="H97" s="1" t="s">
        <v>282</v>
      </c>
      <c r="I97" s="1">
        <v>-19</v>
      </c>
      <c r="J97" s="1">
        <v>-41467.999985000002</v>
      </c>
    </row>
    <row r="98" spans="1:10" x14ac:dyDescent="0.25">
      <c r="A98" s="1">
        <v>2018</v>
      </c>
      <c r="B98" s="1">
        <v>4</v>
      </c>
      <c r="C98" s="1" t="s">
        <v>57</v>
      </c>
      <c r="D98" s="1" t="s">
        <v>22</v>
      </c>
      <c r="E98" s="1" t="s">
        <v>23</v>
      </c>
      <c r="F98" s="1" t="s">
        <v>281</v>
      </c>
      <c r="G98" s="1" t="s">
        <v>290</v>
      </c>
      <c r="H98" s="1" t="s">
        <v>282</v>
      </c>
      <c r="I98" s="1">
        <v>-18</v>
      </c>
      <c r="J98" s="1">
        <v>-42246</v>
      </c>
    </row>
    <row r="99" spans="1:10" x14ac:dyDescent="0.25">
      <c r="A99" s="1">
        <v>2018</v>
      </c>
      <c r="B99" s="1">
        <v>4</v>
      </c>
      <c r="C99" s="1" t="s">
        <v>57</v>
      </c>
      <c r="D99" s="1" t="s">
        <v>22</v>
      </c>
      <c r="E99" s="1" t="s">
        <v>23</v>
      </c>
      <c r="F99" s="1" t="s">
        <v>281</v>
      </c>
      <c r="G99" s="1" t="s">
        <v>274</v>
      </c>
      <c r="H99" s="1" t="s">
        <v>282</v>
      </c>
      <c r="I99" s="1">
        <v>-34</v>
      </c>
      <c r="J99" s="1">
        <v>-33639.999975999999</v>
      </c>
    </row>
    <row r="100" spans="1:10" x14ac:dyDescent="0.25">
      <c r="A100" s="1">
        <v>2018</v>
      </c>
      <c r="B100" s="1">
        <v>4</v>
      </c>
      <c r="C100" s="1" t="s">
        <v>57</v>
      </c>
      <c r="D100" s="1" t="s">
        <v>22</v>
      </c>
      <c r="E100" s="1" t="s">
        <v>23</v>
      </c>
      <c r="F100" s="1" t="s">
        <v>281</v>
      </c>
      <c r="G100" s="1" t="s">
        <v>275</v>
      </c>
      <c r="H100" s="1" t="s">
        <v>282</v>
      </c>
      <c r="I100" s="1">
        <v>-54</v>
      </c>
      <c r="J100" s="1">
        <v>-78570</v>
      </c>
    </row>
    <row r="101" spans="1:10" x14ac:dyDescent="0.25">
      <c r="A101" s="1">
        <v>2018</v>
      </c>
      <c r="B101" s="1">
        <v>4</v>
      </c>
      <c r="C101" s="1" t="s">
        <v>57</v>
      </c>
      <c r="D101" s="1" t="s">
        <v>22</v>
      </c>
      <c r="E101" s="1" t="s">
        <v>23</v>
      </c>
      <c r="F101" s="1" t="s">
        <v>281</v>
      </c>
      <c r="G101" s="1" t="s">
        <v>291</v>
      </c>
      <c r="H101" s="1" t="s">
        <v>282</v>
      </c>
      <c r="I101" s="1">
        <v>-85</v>
      </c>
      <c r="J101" s="1">
        <v>-103887.99993999999</v>
      </c>
    </row>
    <row r="102" spans="1:10" x14ac:dyDescent="0.25">
      <c r="A102" s="1">
        <v>2018</v>
      </c>
      <c r="B102" s="1">
        <v>4</v>
      </c>
      <c r="C102" s="1" t="s">
        <v>57</v>
      </c>
      <c r="D102" s="1" t="s">
        <v>22</v>
      </c>
      <c r="E102" s="1" t="s">
        <v>23</v>
      </c>
      <c r="F102" s="1" t="s">
        <v>281</v>
      </c>
      <c r="G102" s="1" t="s">
        <v>279</v>
      </c>
      <c r="H102" s="1" t="s">
        <v>282</v>
      </c>
      <c r="I102" s="1">
        <v>-16</v>
      </c>
      <c r="J102" s="1">
        <v>-5806</v>
      </c>
    </row>
    <row r="103" spans="1:10" x14ac:dyDescent="0.25">
      <c r="A103" s="1">
        <v>2018</v>
      </c>
      <c r="B103" s="1">
        <v>4</v>
      </c>
      <c r="C103" s="1" t="s">
        <v>57</v>
      </c>
      <c r="D103" s="1" t="s">
        <v>22</v>
      </c>
      <c r="E103" s="1" t="s">
        <v>23</v>
      </c>
      <c r="F103" s="1" t="s">
        <v>281</v>
      </c>
      <c r="G103" s="1" t="s">
        <v>280</v>
      </c>
      <c r="H103" s="1" t="s">
        <v>282</v>
      </c>
      <c r="I103" s="1">
        <v>-15</v>
      </c>
      <c r="J103" s="1">
        <v>-6547.9999950000001</v>
      </c>
    </row>
    <row r="104" spans="1:10" x14ac:dyDescent="0.25">
      <c r="A104" s="1">
        <v>2018</v>
      </c>
      <c r="B104" s="1">
        <v>5</v>
      </c>
      <c r="C104" s="1" t="s">
        <v>63</v>
      </c>
      <c r="D104" s="1" t="s">
        <v>22</v>
      </c>
      <c r="E104" s="1" t="s">
        <v>23</v>
      </c>
      <c r="F104" s="1" t="s">
        <v>252</v>
      </c>
      <c r="G104" s="1" t="s">
        <v>253</v>
      </c>
      <c r="H104" s="1" t="s">
        <v>254</v>
      </c>
      <c r="I104" s="1">
        <v>600</v>
      </c>
      <c r="J104" s="1">
        <v>52831</v>
      </c>
    </row>
    <row r="105" spans="1:10" x14ac:dyDescent="0.25">
      <c r="A105" s="1">
        <v>2018</v>
      </c>
      <c r="B105" s="1">
        <v>5</v>
      </c>
      <c r="C105" s="1" t="s">
        <v>63</v>
      </c>
      <c r="D105" s="1" t="s">
        <v>22</v>
      </c>
      <c r="E105" s="1" t="s">
        <v>23</v>
      </c>
      <c r="F105" s="1" t="s">
        <v>252</v>
      </c>
      <c r="G105" s="1" t="s">
        <v>255</v>
      </c>
      <c r="H105" s="1" t="s">
        <v>254</v>
      </c>
      <c r="I105" s="1">
        <v>510</v>
      </c>
      <c r="J105" s="1">
        <v>20484</v>
      </c>
    </row>
    <row r="106" spans="1:10" x14ac:dyDescent="0.25">
      <c r="A106" s="1">
        <v>2018</v>
      </c>
      <c r="B106" s="1">
        <v>5</v>
      </c>
      <c r="C106" s="1" t="s">
        <v>63</v>
      </c>
      <c r="D106" s="1" t="s">
        <v>22</v>
      </c>
      <c r="E106" s="1" t="s">
        <v>23</v>
      </c>
      <c r="F106" s="1" t="s">
        <v>252</v>
      </c>
      <c r="G106" s="1" t="s">
        <v>256</v>
      </c>
      <c r="H106" s="1" t="s">
        <v>254</v>
      </c>
      <c r="I106" s="1">
        <v>480</v>
      </c>
      <c r="J106" s="1">
        <v>14688</v>
      </c>
    </row>
    <row r="107" spans="1:10" x14ac:dyDescent="0.25">
      <c r="A107" s="1">
        <v>2018</v>
      </c>
      <c r="B107" s="1">
        <v>5</v>
      </c>
      <c r="C107" s="1" t="s">
        <v>63</v>
      </c>
      <c r="D107" s="1" t="s">
        <v>22</v>
      </c>
      <c r="E107" s="1" t="s">
        <v>23</v>
      </c>
      <c r="F107" s="1" t="s">
        <v>252</v>
      </c>
      <c r="G107" s="1" t="s">
        <v>257</v>
      </c>
      <c r="H107" s="1" t="s">
        <v>254</v>
      </c>
      <c r="I107" s="1">
        <v>20</v>
      </c>
      <c r="J107" s="1">
        <v>3997</v>
      </c>
    </row>
    <row r="108" spans="1:10" x14ac:dyDescent="0.25">
      <c r="A108" s="1">
        <v>2018</v>
      </c>
      <c r="B108" s="1">
        <v>5</v>
      </c>
      <c r="C108" s="1" t="s">
        <v>63</v>
      </c>
      <c r="D108" s="1" t="s">
        <v>22</v>
      </c>
      <c r="E108" s="1" t="s">
        <v>23</v>
      </c>
      <c r="F108" s="1" t="s">
        <v>252</v>
      </c>
      <c r="G108" s="1" t="s">
        <v>292</v>
      </c>
      <c r="H108" s="1" t="s">
        <v>254</v>
      </c>
      <c r="I108" s="1">
        <v>80</v>
      </c>
      <c r="J108" s="1">
        <v>14393</v>
      </c>
    </row>
    <row r="109" spans="1:10" x14ac:dyDescent="0.25">
      <c r="A109" s="1">
        <v>2018</v>
      </c>
      <c r="B109" s="1">
        <v>5</v>
      </c>
      <c r="C109" s="1" t="s">
        <v>63</v>
      </c>
      <c r="D109" s="1" t="s">
        <v>22</v>
      </c>
      <c r="E109" s="1" t="s">
        <v>23</v>
      </c>
      <c r="F109" s="1" t="s">
        <v>252</v>
      </c>
      <c r="G109" s="1" t="s">
        <v>293</v>
      </c>
      <c r="H109" s="1" t="s">
        <v>254</v>
      </c>
      <c r="I109" s="1">
        <v>160</v>
      </c>
      <c r="J109" s="1">
        <v>32008</v>
      </c>
    </row>
    <row r="110" spans="1:10" x14ac:dyDescent="0.25">
      <c r="A110" s="1">
        <v>2018</v>
      </c>
      <c r="B110" s="1">
        <v>5</v>
      </c>
      <c r="C110" s="1" t="s">
        <v>63</v>
      </c>
      <c r="D110" s="1" t="s">
        <v>22</v>
      </c>
      <c r="E110" s="1" t="s">
        <v>23</v>
      </c>
      <c r="F110" s="1" t="s">
        <v>252</v>
      </c>
      <c r="G110" s="1" t="s">
        <v>294</v>
      </c>
      <c r="H110" s="1" t="s">
        <v>254</v>
      </c>
      <c r="I110" s="1">
        <v>280</v>
      </c>
      <c r="J110" s="1">
        <v>54949</v>
      </c>
    </row>
    <row r="111" spans="1:10" x14ac:dyDescent="0.25">
      <c r="A111" s="1">
        <v>2018</v>
      </c>
      <c r="B111" s="1">
        <v>5</v>
      </c>
      <c r="C111" s="1" t="s">
        <v>63</v>
      </c>
      <c r="D111" s="1" t="s">
        <v>22</v>
      </c>
      <c r="E111" s="1" t="s">
        <v>23</v>
      </c>
      <c r="F111" s="1" t="s">
        <v>252</v>
      </c>
      <c r="G111" s="1" t="s">
        <v>260</v>
      </c>
      <c r="H111" s="1" t="s">
        <v>254</v>
      </c>
      <c r="I111" s="1">
        <v>214</v>
      </c>
      <c r="J111" s="1">
        <v>22045</v>
      </c>
    </row>
    <row r="112" spans="1:10" x14ac:dyDescent="0.25">
      <c r="A112" s="1">
        <v>2018</v>
      </c>
      <c r="B112" s="1">
        <v>5</v>
      </c>
      <c r="C112" s="1" t="s">
        <v>63</v>
      </c>
      <c r="D112" s="1" t="s">
        <v>22</v>
      </c>
      <c r="E112" s="1" t="s">
        <v>23</v>
      </c>
      <c r="F112" s="1" t="s">
        <v>252</v>
      </c>
      <c r="G112" s="1" t="s">
        <v>261</v>
      </c>
      <c r="H112" s="1" t="s">
        <v>254</v>
      </c>
      <c r="I112" s="1">
        <v>3000</v>
      </c>
      <c r="J112" s="1">
        <v>228152</v>
      </c>
    </row>
    <row r="113" spans="1:10" x14ac:dyDescent="0.25">
      <c r="A113" s="1">
        <v>2018</v>
      </c>
      <c r="B113" s="1">
        <v>5</v>
      </c>
      <c r="C113" s="1" t="s">
        <v>63</v>
      </c>
      <c r="D113" s="1" t="s">
        <v>22</v>
      </c>
      <c r="E113" s="1" t="s">
        <v>23</v>
      </c>
      <c r="F113" s="1" t="s">
        <v>252</v>
      </c>
      <c r="G113" s="1" t="s">
        <v>295</v>
      </c>
      <c r="H113" s="1" t="s">
        <v>254</v>
      </c>
      <c r="I113" s="1">
        <v>580.79999999999995</v>
      </c>
      <c r="J113" s="1">
        <v>62732</v>
      </c>
    </row>
    <row r="114" spans="1:10" x14ac:dyDescent="0.25">
      <c r="A114" s="1">
        <v>2018</v>
      </c>
      <c r="B114" s="1">
        <v>5</v>
      </c>
      <c r="C114" s="1" t="s">
        <v>63</v>
      </c>
      <c r="D114" s="1" t="s">
        <v>22</v>
      </c>
      <c r="E114" s="1" t="s">
        <v>23</v>
      </c>
      <c r="F114" s="1" t="s">
        <v>252</v>
      </c>
      <c r="G114" s="1" t="s">
        <v>262</v>
      </c>
      <c r="H114" s="1" t="s">
        <v>254</v>
      </c>
      <c r="I114" s="1">
        <v>207.8</v>
      </c>
      <c r="J114" s="1">
        <v>21360</v>
      </c>
    </row>
    <row r="115" spans="1:10" x14ac:dyDescent="0.25">
      <c r="A115" s="1">
        <v>2018</v>
      </c>
      <c r="B115" s="1">
        <v>5</v>
      </c>
      <c r="C115" s="1" t="s">
        <v>63</v>
      </c>
      <c r="D115" s="1" t="s">
        <v>22</v>
      </c>
      <c r="E115" s="1" t="s">
        <v>23</v>
      </c>
      <c r="F115" s="1" t="s">
        <v>252</v>
      </c>
      <c r="G115" s="1" t="s">
        <v>265</v>
      </c>
      <c r="H115" s="1" t="s">
        <v>254</v>
      </c>
      <c r="I115" s="1">
        <v>36</v>
      </c>
      <c r="J115" s="1">
        <v>11126</v>
      </c>
    </row>
    <row r="116" spans="1:10" x14ac:dyDescent="0.25">
      <c r="A116" s="1">
        <v>2018</v>
      </c>
      <c r="B116" s="1">
        <v>5</v>
      </c>
      <c r="C116" s="1" t="s">
        <v>63</v>
      </c>
      <c r="D116" s="1" t="s">
        <v>22</v>
      </c>
      <c r="E116" s="1" t="s">
        <v>23</v>
      </c>
      <c r="F116" s="1" t="s">
        <v>252</v>
      </c>
      <c r="G116" s="1" t="s">
        <v>287</v>
      </c>
      <c r="H116" s="1" t="s">
        <v>254</v>
      </c>
      <c r="I116" s="1">
        <v>175</v>
      </c>
      <c r="J116" s="1">
        <v>17307</v>
      </c>
    </row>
    <row r="117" spans="1:10" x14ac:dyDescent="0.25">
      <c r="A117" s="1">
        <v>2018</v>
      </c>
      <c r="B117" s="1">
        <v>5</v>
      </c>
      <c r="C117" s="1" t="s">
        <v>63</v>
      </c>
      <c r="D117" s="1" t="s">
        <v>22</v>
      </c>
      <c r="E117" s="1" t="s">
        <v>23</v>
      </c>
      <c r="F117" s="1" t="s">
        <v>252</v>
      </c>
      <c r="G117" s="1" t="s">
        <v>266</v>
      </c>
      <c r="H117" s="1" t="s">
        <v>254</v>
      </c>
      <c r="I117" s="1">
        <v>240</v>
      </c>
      <c r="J117" s="1">
        <v>36236</v>
      </c>
    </row>
    <row r="118" spans="1:10" x14ac:dyDescent="0.25">
      <c r="A118" s="1">
        <v>2018</v>
      </c>
      <c r="B118" s="1">
        <v>5</v>
      </c>
      <c r="C118" s="1" t="s">
        <v>63</v>
      </c>
      <c r="D118" s="1" t="s">
        <v>22</v>
      </c>
      <c r="E118" s="1" t="s">
        <v>23</v>
      </c>
      <c r="F118" s="1" t="s">
        <v>252</v>
      </c>
      <c r="G118" s="1" t="s">
        <v>296</v>
      </c>
      <c r="H118" s="1" t="s">
        <v>254</v>
      </c>
      <c r="I118" s="1">
        <v>18</v>
      </c>
      <c r="J118" s="1">
        <v>21282</v>
      </c>
    </row>
    <row r="119" spans="1:10" x14ac:dyDescent="0.25">
      <c r="A119" s="1">
        <v>2018</v>
      </c>
      <c r="B119" s="1">
        <v>5</v>
      </c>
      <c r="C119" s="1" t="s">
        <v>63</v>
      </c>
      <c r="D119" s="1" t="s">
        <v>22</v>
      </c>
      <c r="E119" s="1" t="s">
        <v>23</v>
      </c>
      <c r="F119" s="1" t="s">
        <v>252</v>
      </c>
      <c r="G119" s="1" t="s">
        <v>297</v>
      </c>
      <c r="H119" s="1" t="s">
        <v>254</v>
      </c>
      <c r="I119" s="1">
        <v>90</v>
      </c>
      <c r="J119" s="1">
        <v>63174</v>
      </c>
    </row>
    <row r="120" spans="1:10" x14ac:dyDescent="0.25">
      <c r="A120" s="1">
        <v>2018</v>
      </c>
      <c r="B120" s="1">
        <v>5</v>
      </c>
      <c r="C120" s="1" t="s">
        <v>63</v>
      </c>
      <c r="D120" s="1" t="s">
        <v>22</v>
      </c>
      <c r="E120" s="1" t="s">
        <v>23</v>
      </c>
      <c r="F120" s="1" t="s">
        <v>252</v>
      </c>
      <c r="G120" s="1" t="s">
        <v>268</v>
      </c>
      <c r="H120" s="1" t="s">
        <v>254</v>
      </c>
      <c r="I120" s="1">
        <v>52</v>
      </c>
      <c r="J120" s="1">
        <v>38259</v>
      </c>
    </row>
    <row r="121" spans="1:10" x14ac:dyDescent="0.25">
      <c r="A121" s="1">
        <v>2018</v>
      </c>
      <c r="B121" s="1">
        <v>5</v>
      </c>
      <c r="C121" s="1" t="s">
        <v>63</v>
      </c>
      <c r="D121" s="1" t="s">
        <v>22</v>
      </c>
      <c r="E121" s="1" t="s">
        <v>23</v>
      </c>
      <c r="F121" s="1" t="s">
        <v>252</v>
      </c>
      <c r="G121" s="1" t="s">
        <v>298</v>
      </c>
      <c r="H121" s="1" t="s">
        <v>254</v>
      </c>
      <c r="I121" s="1">
        <v>18</v>
      </c>
      <c r="J121" s="1">
        <v>17769</v>
      </c>
    </row>
    <row r="122" spans="1:10" x14ac:dyDescent="0.25">
      <c r="A122" s="1">
        <v>2018</v>
      </c>
      <c r="B122" s="1">
        <v>5</v>
      </c>
      <c r="C122" s="1" t="s">
        <v>63</v>
      </c>
      <c r="D122" s="1" t="s">
        <v>22</v>
      </c>
      <c r="E122" s="1" t="s">
        <v>23</v>
      </c>
      <c r="F122" s="1" t="s">
        <v>252</v>
      </c>
      <c r="G122" s="1" t="s">
        <v>269</v>
      </c>
      <c r="H122" s="1" t="s">
        <v>254</v>
      </c>
      <c r="I122" s="1">
        <v>15</v>
      </c>
      <c r="J122" s="1">
        <v>14165</v>
      </c>
    </row>
    <row r="123" spans="1:10" x14ac:dyDescent="0.25">
      <c r="A123" s="1">
        <v>2018</v>
      </c>
      <c r="B123" s="1">
        <v>5</v>
      </c>
      <c r="C123" s="1" t="s">
        <v>63</v>
      </c>
      <c r="D123" s="1" t="s">
        <v>22</v>
      </c>
      <c r="E123" s="1" t="s">
        <v>23</v>
      </c>
      <c r="F123" s="1" t="s">
        <v>252</v>
      </c>
      <c r="G123" s="1" t="s">
        <v>299</v>
      </c>
      <c r="H123" s="1" t="s">
        <v>254</v>
      </c>
      <c r="I123" s="1">
        <v>17</v>
      </c>
      <c r="J123" s="1">
        <v>20591</v>
      </c>
    </row>
    <row r="124" spans="1:10" x14ac:dyDescent="0.25">
      <c r="A124" s="1">
        <v>2018</v>
      </c>
      <c r="B124" s="1">
        <v>5</v>
      </c>
      <c r="C124" s="1" t="s">
        <v>63</v>
      </c>
      <c r="D124" s="1" t="s">
        <v>22</v>
      </c>
      <c r="E124" s="1" t="s">
        <v>23</v>
      </c>
      <c r="F124" s="1" t="s">
        <v>252</v>
      </c>
      <c r="G124" s="1" t="s">
        <v>271</v>
      </c>
      <c r="H124" s="1" t="s">
        <v>254</v>
      </c>
      <c r="I124" s="1">
        <v>34</v>
      </c>
      <c r="J124" s="1">
        <v>21174</v>
      </c>
    </row>
    <row r="125" spans="1:10" x14ac:dyDescent="0.25">
      <c r="A125" s="1">
        <v>2018</v>
      </c>
      <c r="B125" s="1">
        <v>5</v>
      </c>
      <c r="C125" s="1" t="s">
        <v>63</v>
      </c>
      <c r="D125" s="1" t="s">
        <v>22</v>
      </c>
      <c r="E125" s="1" t="s">
        <v>23</v>
      </c>
      <c r="F125" s="1" t="s">
        <v>252</v>
      </c>
      <c r="G125" s="1" t="s">
        <v>300</v>
      </c>
      <c r="H125" s="1" t="s">
        <v>254</v>
      </c>
      <c r="I125" s="1">
        <v>17</v>
      </c>
      <c r="J125" s="1">
        <v>16379</v>
      </c>
    </row>
    <row r="126" spans="1:10" x14ac:dyDescent="0.25">
      <c r="A126" s="1">
        <v>2018</v>
      </c>
      <c r="B126" s="1">
        <v>5</v>
      </c>
      <c r="C126" s="1" t="s">
        <v>63</v>
      </c>
      <c r="D126" s="1" t="s">
        <v>22</v>
      </c>
      <c r="E126" s="1" t="s">
        <v>23</v>
      </c>
      <c r="F126" s="1" t="s">
        <v>252</v>
      </c>
      <c r="G126" s="1" t="s">
        <v>289</v>
      </c>
      <c r="H126" s="1" t="s">
        <v>254</v>
      </c>
      <c r="I126" s="1">
        <v>51</v>
      </c>
      <c r="J126" s="1">
        <v>70608</v>
      </c>
    </row>
    <row r="127" spans="1:10" x14ac:dyDescent="0.25">
      <c r="A127" s="1">
        <v>2018</v>
      </c>
      <c r="B127" s="1">
        <v>5</v>
      </c>
      <c r="C127" s="1" t="s">
        <v>63</v>
      </c>
      <c r="D127" s="1" t="s">
        <v>22</v>
      </c>
      <c r="E127" s="1" t="s">
        <v>23</v>
      </c>
      <c r="F127" s="1" t="s">
        <v>252</v>
      </c>
      <c r="G127" s="1" t="s">
        <v>274</v>
      </c>
      <c r="H127" s="1" t="s">
        <v>254</v>
      </c>
      <c r="I127" s="1">
        <v>34</v>
      </c>
      <c r="J127" s="1">
        <v>35423</v>
      </c>
    </row>
    <row r="128" spans="1:10" x14ac:dyDescent="0.25">
      <c r="A128" s="1">
        <v>2018</v>
      </c>
      <c r="B128" s="1">
        <v>5</v>
      </c>
      <c r="C128" s="1" t="s">
        <v>63</v>
      </c>
      <c r="D128" s="1" t="s">
        <v>22</v>
      </c>
      <c r="E128" s="1" t="s">
        <v>23</v>
      </c>
      <c r="F128" s="1" t="s">
        <v>252</v>
      </c>
      <c r="G128" s="1" t="s">
        <v>275</v>
      </c>
      <c r="H128" s="1" t="s">
        <v>254</v>
      </c>
      <c r="I128" s="1">
        <v>54</v>
      </c>
      <c r="J128" s="1">
        <v>82669</v>
      </c>
    </row>
    <row r="129" spans="1:10" x14ac:dyDescent="0.25">
      <c r="A129" s="1">
        <v>2018</v>
      </c>
      <c r="B129" s="1">
        <v>5</v>
      </c>
      <c r="C129" s="1" t="s">
        <v>63</v>
      </c>
      <c r="D129" s="1" t="s">
        <v>22</v>
      </c>
      <c r="E129" s="1" t="s">
        <v>23</v>
      </c>
      <c r="F129" s="1" t="s">
        <v>252</v>
      </c>
      <c r="G129" s="1" t="s">
        <v>291</v>
      </c>
      <c r="H129" s="1" t="s">
        <v>254</v>
      </c>
      <c r="I129" s="1">
        <v>85</v>
      </c>
      <c r="J129" s="1">
        <v>110997</v>
      </c>
    </row>
    <row r="130" spans="1:10" x14ac:dyDescent="0.25">
      <c r="A130" s="1">
        <v>2018</v>
      </c>
      <c r="B130" s="1">
        <v>5</v>
      </c>
      <c r="C130" s="1" t="s">
        <v>63</v>
      </c>
      <c r="D130" s="1" t="s">
        <v>22</v>
      </c>
      <c r="E130" s="1" t="s">
        <v>23</v>
      </c>
      <c r="F130" s="1" t="s">
        <v>252</v>
      </c>
      <c r="G130" s="1" t="s">
        <v>279</v>
      </c>
      <c r="H130" s="1" t="s">
        <v>254</v>
      </c>
      <c r="I130" s="1">
        <v>16</v>
      </c>
      <c r="J130" s="1">
        <v>7263</v>
      </c>
    </row>
    <row r="131" spans="1:10" x14ac:dyDescent="0.25">
      <c r="A131" s="1">
        <v>2018</v>
      </c>
      <c r="B131" s="1">
        <v>5</v>
      </c>
      <c r="C131" s="1" t="s">
        <v>63</v>
      </c>
      <c r="D131" s="1" t="s">
        <v>22</v>
      </c>
      <c r="E131" s="1" t="s">
        <v>23</v>
      </c>
      <c r="F131" s="1" t="s">
        <v>252</v>
      </c>
      <c r="G131" s="1" t="s">
        <v>301</v>
      </c>
      <c r="H131" s="1" t="s">
        <v>254</v>
      </c>
      <c r="I131" s="1">
        <v>5</v>
      </c>
      <c r="J131" s="1">
        <v>60449</v>
      </c>
    </row>
    <row r="132" spans="1:10" x14ac:dyDescent="0.25">
      <c r="A132" s="1">
        <v>2018</v>
      </c>
      <c r="B132" s="1">
        <v>5</v>
      </c>
      <c r="C132" s="1" t="s">
        <v>63</v>
      </c>
      <c r="D132" s="1" t="s">
        <v>22</v>
      </c>
      <c r="E132" s="1" t="s">
        <v>23</v>
      </c>
      <c r="F132" s="1" t="s">
        <v>281</v>
      </c>
      <c r="G132" s="1" t="s">
        <v>253</v>
      </c>
      <c r="H132" s="1" t="s">
        <v>282</v>
      </c>
      <c r="I132" s="1">
        <v>-600</v>
      </c>
      <c r="J132" s="1">
        <v>-52830.999600000003</v>
      </c>
    </row>
    <row r="133" spans="1:10" x14ac:dyDescent="0.25">
      <c r="A133" s="1">
        <v>2018</v>
      </c>
      <c r="B133" s="1">
        <v>5</v>
      </c>
      <c r="C133" s="1" t="s">
        <v>63</v>
      </c>
      <c r="D133" s="1" t="s">
        <v>22</v>
      </c>
      <c r="E133" s="1" t="s">
        <v>23</v>
      </c>
      <c r="F133" s="1" t="s">
        <v>281</v>
      </c>
      <c r="G133" s="1" t="s">
        <v>255</v>
      </c>
      <c r="H133" s="1" t="s">
        <v>282</v>
      </c>
      <c r="I133" s="1">
        <v>-510</v>
      </c>
      <c r="J133" s="1">
        <v>-20483.99955</v>
      </c>
    </row>
    <row r="134" spans="1:10" x14ac:dyDescent="0.25">
      <c r="A134" s="1">
        <v>2018</v>
      </c>
      <c r="B134" s="1">
        <v>5</v>
      </c>
      <c r="C134" s="1" t="s">
        <v>63</v>
      </c>
      <c r="D134" s="1" t="s">
        <v>22</v>
      </c>
      <c r="E134" s="1" t="s">
        <v>23</v>
      </c>
      <c r="F134" s="1" t="s">
        <v>281</v>
      </c>
      <c r="G134" s="1" t="s">
        <v>256</v>
      </c>
      <c r="H134" s="1" t="s">
        <v>282</v>
      </c>
      <c r="I134" s="1">
        <v>-480</v>
      </c>
      <c r="J134" s="1">
        <v>-14688</v>
      </c>
    </row>
    <row r="135" spans="1:10" x14ac:dyDescent="0.25">
      <c r="A135" s="1">
        <v>2018</v>
      </c>
      <c r="B135" s="1">
        <v>5</v>
      </c>
      <c r="C135" s="1" t="s">
        <v>63</v>
      </c>
      <c r="D135" s="1" t="s">
        <v>22</v>
      </c>
      <c r="E135" s="1" t="s">
        <v>23</v>
      </c>
      <c r="F135" s="1" t="s">
        <v>281</v>
      </c>
      <c r="G135" s="1" t="s">
        <v>257</v>
      </c>
      <c r="H135" s="1" t="s">
        <v>282</v>
      </c>
      <c r="I135" s="1">
        <v>-20</v>
      </c>
      <c r="J135" s="1">
        <v>-3997</v>
      </c>
    </row>
    <row r="136" spans="1:10" x14ac:dyDescent="0.25">
      <c r="A136" s="1">
        <v>2018</v>
      </c>
      <c r="B136" s="1">
        <v>5</v>
      </c>
      <c r="C136" s="1" t="s">
        <v>63</v>
      </c>
      <c r="D136" s="1" t="s">
        <v>22</v>
      </c>
      <c r="E136" s="1" t="s">
        <v>23</v>
      </c>
      <c r="F136" s="1" t="s">
        <v>281</v>
      </c>
      <c r="G136" s="1" t="s">
        <v>292</v>
      </c>
      <c r="H136" s="1" t="s">
        <v>282</v>
      </c>
      <c r="I136" s="1">
        <v>-80</v>
      </c>
      <c r="J136" s="1">
        <v>-14393</v>
      </c>
    </row>
    <row r="137" spans="1:10" x14ac:dyDescent="0.25">
      <c r="A137" s="1">
        <v>2018</v>
      </c>
      <c r="B137" s="1">
        <v>5</v>
      </c>
      <c r="C137" s="1" t="s">
        <v>63</v>
      </c>
      <c r="D137" s="1" t="s">
        <v>22</v>
      </c>
      <c r="E137" s="1" t="s">
        <v>23</v>
      </c>
      <c r="F137" s="1" t="s">
        <v>281</v>
      </c>
      <c r="G137" s="1" t="s">
        <v>293</v>
      </c>
      <c r="H137" s="1" t="s">
        <v>282</v>
      </c>
      <c r="I137" s="1">
        <v>-160</v>
      </c>
      <c r="J137" s="1">
        <v>-32008</v>
      </c>
    </row>
    <row r="138" spans="1:10" x14ac:dyDescent="0.25">
      <c r="A138" s="1">
        <v>2018</v>
      </c>
      <c r="B138" s="1">
        <v>5</v>
      </c>
      <c r="C138" s="1" t="s">
        <v>63</v>
      </c>
      <c r="D138" s="1" t="s">
        <v>22</v>
      </c>
      <c r="E138" s="1" t="s">
        <v>23</v>
      </c>
      <c r="F138" s="1" t="s">
        <v>281</v>
      </c>
      <c r="G138" s="1" t="s">
        <v>294</v>
      </c>
      <c r="H138" s="1" t="s">
        <v>282</v>
      </c>
      <c r="I138" s="1">
        <v>-280</v>
      </c>
      <c r="J138" s="1">
        <v>-54948.999839999997</v>
      </c>
    </row>
    <row r="139" spans="1:10" x14ac:dyDescent="0.25">
      <c r="A139" s="1">
        <v>2018</v>
      </c>
      <c r="B139" s="1">
        <v>5</v>
      </c>
      <c r="C139" s="1" t="s">
        <v>63</v>
      </c>
      <c r="D139" s="1" t="s">
        <v>22</v>
      </c>
      <c r="E139" s="1" t="s">
        <v>23</v>
      </c>
      <c r="F139" s="1" t="s">
        <v>281</v>
      </c>
      <c r="G139" s="1" t="s">
        <v>260</v>
      </c>
      <c r="H139" s="1" t="s">
        <v>282</v>
      </c>
      <c r="I139" s="1">
        <v>-214</v>
      </c>
      <c r="J139" s="1">
        <v>-22044.999852000001</v>
      </c>
    </row>
    <row r="140" spans="1:10" x14ac:dyDescent="0.25">
      <c r="A140" s="1">
        <v>2018</v>
      </c>
      <c r="B140" s="1">
        <v>5</v>
      </c>
      <c r="C140" s="1" t="s">
        <v>63</v>
      </c>
      <c r="D140" s="1" t="s">
        <v>22</v>
      </c>
      <c r="E140" s="1" t="s">
        <v>23</v>
      </c>
      <c r="F140" s="1" t="s">
        <v>281</v>
      </c>
      <c r="G140" s="1" t="s">
        <v>261</v>
      </c>
      <c r="H140" s="1" t="s">
        <v>282</v>
      </c>
      <c r="I140" s="1">
        <v>-3000</v>
      </c>
      <c r="J140" s="1">
        <v>-228151.99799999999</v>
      </c>
    </row>
    <row r="141" spans="1:10" x14ac:dyDescent="0.25">
      <c r="A141" s="1">
        <v>2018</v>
      </c>
      <c r="B141" s="1">
        <v>5</v>
      </c>
      <c r="C141" s="1" t="s">
        <v>63</v>
      </c>
      <c r="D141" s="1" t="s">
        <v>22</v>
      </c>
      <c r="E141" s="1" t="s">
        <v>23</v>
      </c>
      <c r="F141" s="1" t="s">
        <v>281</v>
      </c>
      <c r="G141" s="1" t="s">
        <v>295</v>
      </c>
      <c r="H141" s="1" t="s">
        <v>282</v>
      </c>
      <c r="I141" s="1">
        <v>-580.79999999999995</v>
      </c>
      <c r="J141" s="1">
        <v>-62731.999493000003</v>
      </c>
    </row>
    <row r="142" spans="1:10" x14ac:dyDescent="0.25">
      <c r="A142" s="1">
        <v>2018</v>
      </c>
      <c r="B142" s="1">
        <v>5</v>
      </c>
      <c r="C142" s="1" t="s">
        <v>63</v>
      </c>
      <c r="D142" s="1" t="s">
        <v>22</v>
      </c>
      <c r="E142" s="1" t="s">
        <v>23</v>
      </c>
      <c r="F142" s="1" t="s">
        <v>281</v>
      </c>
      <c r="G142" s="1" t="s">
        <v>262</v>
      </c>
      <c r="H142" s="1" t="s">
        <v>282</v>
      </c>
      <c r="I142" s="1">
        <v>-207.8</v>
      </c>
      <c r="J142" s="1">
        <v>-21359.999930999998</v>
      </c>
    </row>
    <row r="143" spans="1:10" x14ac:dyDescent="0.25">
      <c r="A143" s="1">
        <v>2018</v>
      </c>
      <c r="B143" s="1">
        <v>5</v>
      </c>
      <c r="C143" s="1" t="s">
        <v>63</v>
      </c>
      <c r="D143" s="1" t="s">
        <v>22</v>
      </c>
      <c r="E143" s="1" t="s">
        <v>23</v>
      </c>
      <c r="F143" s="1" t="s">
        <v>281</v>
      </c>
      <c r="G143" s="1" t="s">
        <v>265</v>
      </c>
      <c r="H143" s="1" t="s">
        <v>282</v>
      </c>
      <c r="I143" s="1">
        <v>-36</v>
      </c>
      <c r="J143" s="1">
        <v>-11125.999980000001</v>
      </c>
    </row>
    <row r="144" spans="1:10" x14ac:dyDescent="0.25">
      <c r="A144" s="1">
        <v>2018</v>
      </c>
      <c r="B144" s="1">
        <v>5</v>
      </c>
      <c r="C144" s="1" t="s">
        <v>63</v>
      </c>
      <c r="D144" s="1" t="s">
        <v>22</v>
      </c>
      <c r="E144" s="1" t="s">
        <v>23</v>
      </c>
      <c r="F144" s="1" t="s">
        <v>281</v>
      </c>
      <c r="G144" s="1" t="s">
        <v>287</v>
      </c>
      <c r="H144" s="1" t="s">
        <v>282</v>
      </c>
      <c r="I144" s="1">
        <v>-175</v>
      </c>
      <c r="J144" s="1">
        <v>-17306.99985</v>
      </c>
    </row>
    <row r="145" spans="1:10" x14ac:dyDescent="0.25">
      <c r="A145" s="1">
        <v>2018</v>
      </c>
      <c r="B145" s="1">
        <v>5</v>
      </c>
      <c r="C145" s="1" t="s">
        <v>63</v>
      </c>
      <c r="D145" s="1" t="s">
        <v>22</v>
      </c>
      <c r="E145" s="1" t="s">
        <v>23</v>
      </c>
      <c r="F145" s="1" t="s">
        <v>281</v>
      </c>
      <c r="G145" s="1" t="s">
        <v>266</v>
      </c>
      <c r="H145" s="1" t="s">
        <v>282</v>
      </c>
      <c r="I145" s="1">
        <v>-240</v>
      </c>
      <c r="J145" s="1">
        <v>-36235.999920000002</v>
      </c>
    </row>
    <row r="146" spans="1:10" x14ac:dyDescent="0.25">
      <c r="A146" s="1">
        <v>2018</v>
      </c>
      <c r="B146" s="1">
        <v>5</v>
      </c>
      <c r="C146" s="1" t="s">
        <v>63</v>
      </c>
      <c r="D146" s="1" t="s">
        <v>22</v>
      </c>
      <c r="E146" s="1" t="s">
        <v>23</v>
      </c>
      <c r="F146" s="1" t="s">
        <v>281</v>
      </c>
      <c r="G146" s="1" t="s">
        <v>296</v>
      </c>
      <c r="H146" s="1" t="s">
        <v>282</v>
      </c>
      <c r="I146" s="1">
        <v>-18</v>
      </c>
      <c r="J146" s="1">
        <v>-21281.999994000002</v>
      </c>
    </row>
    <row r="147" spans="1:10" x14ac:dyDescent="0.25">
      <c r="A147" s="1">
        <v>2018</v>
      </c>
      <c r="B147" s="1">
        <v>5</v>
      </c>
      <c r="C147" s="1" t="s">
        <v>63</v>
      </c>
      <c r="D147" s="1" t="s">
        <v>22</v>
      </c>
      <c r="E147" s="1" t="s">
        <v>23</v>
      </c>
      <c r="F147" s="1" t="s">
        <v>281</v>
      </c>
      <c r="G147" s="1" t="s">
        <v>297</v>
      </c>
      <c r="H147" s="1" t="s">
        <v>282</v>
      </c>
      <c r="I147" s="1">
        <v>-90</v>
      </c>
      <c r="J147" s="1">
        <v>-63173.999969999997</v>
      </c>
    </row>
    <row r="148" spans="1:10" x14ac:dyDescent="0.25">
      <c r="A148" s="1">
        <v>2018</v>
      </c>
      <c r="B148" s="1">
        <v>5</v>
      </c>
      <c r="C148" s="1" t="s">
        <v>63</v>
      </c>
      <c r="D148" s="1" t="s">
        <v>22</v>
      </c>
      <c r="E148" s="1" t="s">
        <v>23</v>
      </c>
      <c r="F148" s="1" t="s">
        <v>281</v>
      </c>
      <c r="G148" s="1" t="s">
        <v>268</v>
      </c>
      <c r="H148" s="1" t="s">
        <v>282</v>
      </c>
      <c r="I148" s="1">
        <v>-52</v>
      </c>
      <c r="J148" s="1">
        <v>-38259</v>
      </c>
    </row>
    <row r="149" spans="1:10" x14ac:dyDescent="0.25">
      <c r="A149" s="1">
        <v>2018</v>
      </c>
      <c r="B149" s="1">
        <v>5</v>
      </c>
      <c r="C149" s="1" t="s">
        <v>63</v>
      </c>
      <c r="D149" s="1" t="s">
        <v>22</v>
      </c>
      <c r="E149" s="1" t="s">
        <v>23</v>
      </c>
      <c r="F149" s="1" t="s">
        <v>281</v>
      </c>
      <c r="G149" s="1" t="s">
        <v>298</v>
      </c>
      <c r="H149" s="1" t="s">
        <v>282</v>
      </c>
      <c r="I149" s="1">
        <v>-18</v>
      </c>
      <c r="J149" s="1">
        <v>-17768.999988</v>
      </c>
    </row>
    <row r="150" spans="1:10" x14ac:dyDescent="0.25">
      <c r="A150" s="1">
        <v>2018</v>
      </c>
      <c r="B150" s="1">
        <v>5</v>
      </c>
      <c r="C150" s="1" t="s">
        <v>63</v>
      </c>
      <c r="D150" s="1" t="s">
        <v>22</v>
      </c>
      <c r="E150" s="1" t="s">
        <v>23</v>
      </c>
      <c r="F150" s="1" t="s">
        <v>281</v>
      </c>
      <c r="G150" s="1" t="s">
        <v>269</v>
      </c>
      <c r="H150" s="1" t="s">
        <v>282</v>
      </c>
      <c r="I150" s="1">
        <v>-15</v>
      </c>
      <c r="J150" s="1">
        <v>-14164.999995</v>
      </c>
    </row>
    <row r="151" spans="1:10" x14ac:dyDescent="0.25">
      <c r="A151" s="1">
        <v>2018</v>
      </c>
      <c r="B151" s="1">
        <v>5</v>
      </c>
      <c r="C151" s="1" t="s">
        <v>63</v>
      </c>
      <c r="D151" s="1" t="s">
        <v>22</v>
      </c>
      <c r="E151" s="1" t="s">
        <v>23</v>
      </c>
      <c r="F151" s="1" t="s">
        <v>281</v>
      </c>
      <c r="G151" s="1" t="s">
        <v>299</v>
      </c>
      <c r="H151" s="1" t="s">
        <v>282</v>
      </c>
      <c r="I151" s="1">
        <v>-17</v>
      </c>
      <c r="J151" s="1">
        <v>-20590.999997999999</v>
      </c>
    </row>
    <row r="152" spans="1:10" x14ac:dyDescent="0.25">
      <c r="A152" s="1">
        <v>2018</v>
      </c>
      <c r="B152" s="1">
        <v>5</v>
      </c>
      <c r="C152" s="1" t="s">
        <v>63</v>
      </c>
      <c r="D152" s="1" t="s">
        <v>22</v>
      </c>
      <c r="E152" s="1" t="s">
        <v>23</v>
      </c>
      <c r="F152" s="1" t="s">
        <v>281</v>
      </c>
      <c r="G152" s="1" t="s">
        <v>271</v>
      </c>
      <c r="H152" s="1" t="s">
        <v>282</v>
      </c>
      <c r="I152" s="1">
        <v>-34</v>
      </c>
      <c r="J152" s="1">
        <v>-21173.999970000001</v>
      </c>
    </row>
    <row r="153" spans="1:10" x14ac:dyDescent="0.25">
      <c r="A153" s="1">
        <v>2018</v>
      </c>
      <c r="B153" s="1">
        <v>5</v>
      </c>
      <c r="C153" s="1" t="s">
        <v>63</v>
      </c>
      <c r="D153" s="1" t="s">
        <v>22</v>
      </c>
      <c r="E153" s="1" t="s">
        <v>23</v>
      </c>
      <c r="F153" s="1" t="s">
        <v>281</v>
      </c>
      <c r="G153" s="1" t="s">
        <v>300</v>
      </c>
      <c r="H153" s="1" t="s">
        <v>282</v>
      </c>
      <c r="I153" s="1">
        <v>-17</v>
      </c>
      <c r="J153" s="1">
        <v>-16378.999996</v>
      </c>
    </row>
    <row r="154" spans="1:10" x14ac:dyDescent="0.25">
      <c r="A154" s="1">
        <v>2018</v>
      </c>
      <c r="B154" s="1">
        <v>5</v>
      </c>
      <c r="C154" s="1" t="s">
        <v>63</v>
      </c>
      <c r="D154" s="1" t="s">
        <v>22</v>
      </c>
      <c r="E154" s="1" t="s">
        <v>23</v>
      </c>
      <c r="F154" s="1" t="s">
        <v>281</v>
      </c>
      <c r="G154" s="1" t="s">
        <v>289</v>
      </c>
      <c r="H154" s="1" t="s">
        <v>282</v>
      </c>
      <c r="I154" s="1">
        <v>-51</v>
      </c>
      <c r="J154" s="1">
        <v>-70607.999987999996</v>
      </c>
    </row>
    <row r="155" spans="1:10" x14ac:dyDescent="0.25">
      <c r="A155" s="1">
        <v>2018</v>
      </c>
      <c r="B155" s="1">
        <v>5</v>
      </c>
      <c r="C155" s="1" t="s">
        <v>63</v>
      </c>
      <c r="D155" s="1" t="s">
        <v>22</v>
      </c>
      <c r="E155" s="1" t="s">
        <v>23</v>
      </c>
      <c r="F155" s="1" t="s">
        <v>281</v>
      </c>
      <c r="G155" s="1" t="s">
        <v>274</v>
      </c>
      <c r="H155" s="1" t="s">
        <v>282</v>
      </c>
      <c r="I155" s="1">
        <v>-34</v>
      </c>
      <c r="J155" s="1">
        <v>-35422.999993999998</v>
      </c>
    </row>
    <row r="156" spans="1:10" x14ac:dyDescent="0.25">
      <c r="A156" s="1">
        <v>2018</v>
      </c>
      <c r="B156" s="1">
        <v>5</v>
      </c>
      <c r="C156" s="1" t="s">
        <v>63</v>
      </c>
      <c r="D156" s="1" t="s">
        <v>22</v>
      </c>
      <c r="E156" s="1" t="s">
        <v>23</v>
      </c>
      <c r="F156" s="1" t="s">
        <v>281</v>
      </c>
      <c r="G156" s="1" t="s">
        <v>275</v>
      </c>
      <c r="H156" s="1" t="s">
        <v>282</v>
      </c>
      <c r="I156" s="1">
        <v>-54</v>
      </c>
      <c r="J156" s="1">
        <v>-82668.999978000007</v>
      </c>
    </row>
    <row r="157" spans="1:10" x14ac:dyDescent="0.25">
      <c r="A157" s="1">
        <v>2018</v>
      </c>
      <c r="B157" s="1">
        <v>5</v>
      </c>
      <c r="C157" s="1" t="s">
        <v>63</v>
      </c>
      <c r="D157" s="1" t="s">
        <v>22</v>
      </c>
      <c r="E157" s="1" t="s">
        <v>23</v>
      </c>
      <c r="F157" s="1" t="s">
        <v>281</v>
      </c>
      <c r="G157" s="1" t="s">
        <v>291</v>
      </c>
      <c r="H157" s="1" t="s">
        <v>282</v>
      </c>
      <c r="I157" s="1">
        <v>-85</v>
      </c>
      <c r="J157" s="1">
        <v>-110996.99993000001</v>
      </c>
    </row>
    <row r="158" spans="1:10" x14ac:dyDescent="0.25">
      <c r="A158" s="1">
        <v>2018</v>
      </c>
      <c r="B158" s="1">
        <v>5</v>
      </c>
      <c r="C158" s="1" t="s">
        <v>63</v>
      </c>
      <c r="D158" s="1" t="s">
        <v>22</v>
      </c>
      <c r="E158" s="1" t="s">
        <v>23</v>
      </c>
      <c r="F158" s="1" t="s">
        <v>281</v>
      </c>
      <c r="G158" s="1" t="s">
        <v>279</v>
      </c>
      <c r="H158" s="1" t="s">
        <v>282</v>
      </c>
      <c r="I158" s="1">
        <v>-16</v>
      </c>
      <c r="J158" s="1">
        <v>-7263</v>
      </c>
    </row>
    <row r="159" spans="1:10" x14ac:dyDescent="0.25">
      <c r="A159" s="1">
        <v>2018</v>
      </c>
      <c r="B159" s="1">
        <v>5</v>
      </c>
      <c r="C159" s="1" t="s">
        <v>63</v>
      </c>
      <c r="D159" s="1" t="s">
        <v>22</v>
      </c>
      <c r="E159" s="1" t="s">
        <v>23</v>
      </c>
      <c r="F159" s="1" t="s">
        <v>281</v>
      </c>
      <c r="G159" s="1" t="s">
        <v>301</v>
      </c>
      <c r="H159" s="1" t="s">
        <v>282</v>
      </c>
      <c r="I159" s="1">
        <v>-5</v>
      </c>
      <c r="J159" s="1">
        <v>-60449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3:D51"/>
  <sheetViews>
    <sheetView workbookViewId="0">
      <selection activeCell="A3" sqref="A3"/>
    </sheetView>
  </sheetViews>
  <sheetFormatPr defaultRowHeight="12.75" x14ac:dyDescent="0.2"/>
  <cols>
    <col min="1" max="1" width="11" bestFit="1" customWidth="1"/>
    <col min="2" max="2" width="9.42578125" bestFit="1" customWidth="1"/>
    <col min="3" max="3" width="9.140625" bestFit="1" customWidth="1"/>
    <col min="4" max="4" width="5.28515625" bestFit="1" customWidth="1"/>
  </cols>
  <sheetData>
    <row r="3" spans="1:4" x14ac:dyDescent="0.2">
      <c r="A3" s="9" t="s">
        <v>980</v>
      </c>
      <c r="B3" s="9" t="s">
        <v>968</v>
      </c>
      <c r="C3" s="6"/>
      <c r="D3" s="7"/>
    </row>
    <row r="4" spans="1:4" x14ac:dyDescent="0.2">
      <c r="A4" s="9" t="s">
        <v>954</v>
      </c>
      <c r="B4" s="5" t="s">
        <v>282</v>
      </c>
      <c r="C4" s="20" t="s">
        <v>254</v>
      </c>
      <c r="D4" s="10" t="s">
        <v>955</v>
      </c>
    </row>
    <row r="5" spans="1:4" x14ac:dyDescent="0.2">
      <c r="A5" s="11" t="s">
        <v>253</v>
      </c>
      <c r="B5" s="21">
        <v>-1720</v>
      </c>
      <c r="C5" s="22">
        <v>1720</v>
      </c>
      <c r="D5" s="12">
        <v>0</v>
      </c>
    </row>
    <row r="6" spans="1:4" x14ac:dyDescent="0.2">
      <c r="A6" s="15" t="s">
        <v>255</v>
      </c>
      <c r="B6" s="32">
        <v>-960</v>
      </c>
      <c r="C6" s="33">
        <v>960</v>
      </c>
      <c r="D6" s="14">
        <v>0</v>
      </c>
    </row>
    <row r="7" spans="1:4" x14ac:dyDescent="0.2">
      <c r="A7" s="15" t="s">
        <v>256</v>
      </c>
      <c r="B7" s="32">
        <v>-960</v>
      </c>
      <c r="C7" s="33">
        <v>960</v>
      </c>
      <c r="D7" s="14">
        <v>0</v>
      </c>
    </row>
    <row r="8" spans="1:4" x14ac:dyDescent="0.2">
      <c r="A8" s="15" t="s">
        <v>257</v>
      </c>
      <c r="B8" s="32">
        <v>-60</v>
      </c>
      <c r="C8" s="33">
        <v>60</v>
      </c>
      <c r="D8" s="14">
        <v>0</v>
      </c>
    </row>
    <row r="9" spans="1:4" x14ac:dyDescent="0.2">
      <c r="A9" s="15" t="s">
        <v>292</v>
      </c>
      <c r="B9" s="32">
        <v>-80</v>
      </c>
      <c r="C9" s="33">
        <v>80</v>
      </c>
      <c r="D9" s="14">
        <v>0</v>
      </c>
    </row>
    <row r="10" spans="1:4" x14ac:dyDescent="0.2">
      <c r="A10" s="15" t="s">
        <v>283</v>
      </c>
      <c r="B10" s="32">
        <v>-19.7</v>
      </c>
      <c r="C10" s="33">
        <v>19.7</v>
      </c>
      <c r="D10" s="14">
        <v>0</v>
      </c>
    </row>
    <row r="11" spans="1:4" x14ac:dyDescent="0.2">
      <c r="A11" s="15" t="s">
        <v>293</v>
      </c>
      <c r="B11" s="32">
        <v>-160</v>
      </c>
      <c r="C11" s="33">
        <v>160</v>
      </c>
      <c r="D11" s="14">
        <v>0</v>
      </c>
    </row>
    <row r="12" spans="1:4" x14ac:dyDescent="0.2">
      <c r="A12" s="15" t="s">
        <v>294</v>
      </c>
      <c r="B12" s="32">
        <v>-280</v>
      </c>
      <c r="C12" s="33">
        <v>280</v>
      </c>
      <c r="D12" s="14">
        <v>0</v>
      </c>
    </row>
    <row r="13" spans="1:4" x14ac:dyDescent="0.2">
      <c r="A13" s="15" t="s">
        <v>258</v>
      </c>
      <c r="B13" s="32">
        <v>-20</v>
      </c>
      <c r="C13" s="33">
        <v>20</v>
      </c>
      <c r="D13" s="14">
        <v>0</v>
      </c>
    </row>
    <row r="14" spans="1:4" x14ac:dyDescent="0.2">
      <c r="A14" s="15" t="s">
        <v>259</v>
      </c>
      <c r="B14" s="32">
        <v>-80</v>
      </c>
      <c r="C14" s="33">
        <v>80</v>
      </c>
      <c r="D14" s="14">
        <v>0</v>
      </c>
    </row>
    <row r="15" spans="1:4" x14ac:dyDescent="0.2">
      <c r="A15" s="15" t="s">
        <v>284</v>
      </c>
      <c r="B15" s="32">
        <v>-40</v>
      </c>
      <c r="C15" s="33">
        <v>40</v>
      </c>
      <c r="D15" s="14">
        <v>0</v>
      </c>
    </row>
    <row r="16" spans="1:4" x14ac:dyDescent="0.2">
      <c r="A16" s="15" t="s">
        <v>260</v>
      </c>
      <c r="B16" s="32">
        <v>-722</v>
      </c>
      <c r="C16" s="33">
        <v>722</v>
      </c>
      <c r="D16" s="14">
        <v>0</v>
      </c>
    </row>
    <row r="17" spans="1:4" x14ac:dyDescent="0.2">
      <c r="A17" s="15" t="s">
        <v>261</v>
      </c>
      <c r="B17" s="32">
        <v>-6500</v>
      </c>
      <c r="C17" s="33">
        <v>6500</v>
      </c>
      <c r="D17" s="14">
        <v>0</v>
      </c>
    </row>
    <row r="18" spans="1:4" x14ac:dyDescent="0.2">
      <c r="A18" s="15" t="s">
        <v>295</v>
      </c>
      <c r="B18" s="32">
        <v>-580.79999999999995</v>
      </c>
      <c r="C18" s="33">
        <v>580.79999999999995</v>
      </c>
      <c r="D18" s="14">
        <v>0</v>
      </c>
    </row>
    <row r="19" spans="1:4" x14ac:dyDescent="0.2">
      <c r="A19" s="15" t="s">
        <v>262</v>
      </c>
      <c r="B19" s="32">
        <v>-1039</v>
      </c>
      <c r="C19" s="33">
        <v>1039</v>
      </c>
      <c r="D19" s="14">
        <v>0</v>
      </c>
    </row>
    <row r="20" spans="1:4" x14ac:dyDescent="0.2">
      <c r="A20" s="15" t="s">
        <v>263</v>
      </c>
      <c r="B20" s="32">
        <v>-36</v>
      </c>
      <c r="C20" s="33">
        <v>36</v>
      </c>
      <c r="D20" s="14">
        <v>0</v>
      </c>
    </row>
    <row r="21" spans="1:4" x14ac:dyDescent="0.2">
      <c r="A21" s="15" t="s">
        <v>264</v>
      </c>
      <c r="B21" s="32">
        <v>-1250</v>
      </c>
      <c r="C21" s="33">
        <v>1250</v>
      </c>
      <c r="D21" s="14">
        <v>0</v>
      </c>
    </row>
    <row r="22" spans="1:4" x14ac:dyDescent="0.2">
      <c r="A22" s="15" t="s">
        <v>285</v>
      </c>
      <c r="B22" s="32">
        <v>-232.4</v>
      </c>
      <c r="C22" s="33">
        <v>232.4</v>
      </c>
      <c r="D22" s="14">
        <v>0</v>
      </c>
    </row>
    <row r="23" spans="1:4" x14ac:dyDescent="0.2">
      <c r="A23" s="15" t="s">
        <v>286</v>
      </c>
      <c r="B23" s="32">
        <v>-108</v>
      </c>
      <c r="C23" s="33">
        <v>108</v>
      </c>
      <c r="D23" s="14">
        <v>0</v>
      </c>
    </row>
    <row r="24" spans="1:4" x14ac:dyDescent="0.2">
      <c r="A24" s="15" t="s">
        <v>265</v>
      </c>
      <c r="B24" s="32">
        <v>-126</v>
      </c>
      <c r="C24" s="33">
        <v>126</v>
      </c>
      <c r="D24" s="14">
        <v>0</v>
      </c>
    </row>
    <row r="25" spans="1:4" x14ac:dyDescent="0.2">
      <c r="A25" s="15" t="s">
        <v>287</v>
      </c>
      <c r="B25" s="32">
        <v>-350</v>
      </c>
      <c r="C25" s="33">
        <v>350</v>
      </c>
      <c r="D25" s="14">
        <v>0</v>
      </c>
    </row>
    <row r="26" spans="1:4" x14ac:dyDescent="0.2">
      <c r="A26" s="15" t="s">
        <v>266</v>
      </c>
      <c r="B26" s="32">
        <v>-800</v>
      </c>
      <c r="C26" s="33">
        <v>800</v>
      </c>
      <c r="D26" s="14">
        <v>0</v>
      </c>
    </row>
    <row r="27" spans="1:4" x14ac:dyDescent="0.2">
      <c r="A27" s="15" t="s">
        <v>288</v>
      </c>
      <c r="B27" s="32">
        <v>-1</v>
      </c>
      <c r="C27" s="33">
        <v>1</v>
      </c>
      <c r="D27" s="14">
        <v>0</v>
      </c>
    </row>
    <row r="28" spans="1:4" x14ac:dyDescent="0.2">
      <c r="A28" s="15" t="s">
        <v>267</v>
      </c>
      <c r="B28" s="32">
        <v>-17</v>
      </c>
      <c r="C28" s="33">
        <v>17</v>
      </c>
      <c r="D28" s="14">
        <v>0</v>
      </c>
    </row>
    <row r="29" spans="1:4" x14ac:dyDescent="0.2">
      <c r="A29" s="15" t="s">
        <v>296</v>
      </c>
      <c r="B29" s="32">
        <v>-18</v>
      </c>
      <c r="C29" s="33">
        <v>18</v>
      </c>
      <c r="D29" s="14">
        <v>0</v>
      </c>
    </row>
    <row r="30" spans="1:4" x14ac:dyDescent="0.2">
      <c r="A30" s="15" t="s">
        <v>297</v>
      </c>
      <c r="B30" s="32">
        <v>-90</v>
      </c>
      <c r="C30" s="33">
        <v>90</v>
      </c>
      <c r="D30" s="14">
        <v>0</v>
      </c>
    </row>
    <row r="31" spans="1:4" x14ac:dyDescent="0.2">
      <c r="A31" s="15" t="s">
        <v>268</v>
      </c>
      <c r="B31" s="32">
        <v>-78</v>
      </c>
      <c r="C31" s="33">
        <v>78</v>
      </c>
      <c r="D31" s="14">
        <v>0</v>
      </c>
    </row>
    <row r="32" spans="1:4" x14ac:dyDescent="0.2">
      <c r="A32" s="15" t="s">
        <v>298</v>
      </c>
      <c r="B32" s="32">
        <v>-18</v>
      </c>
      <c r="C32" s="33">
        <v>18</v>
      </c>
      <c r="D32" s="14">
        <v>0</v>
      </c>
    </row>
    <row r="33" spans="1:4" x14ac:dyDescent="0.2">
      <c r="A33" s="15" t="s">
        <v>269</v>
      </c>
      <c r="B33" s="32">
        <v>-60</v>
      </c>
      <c r="C33" s="33">
        <v>60</v>
      </c>
      <c r="D33" s="14">
        <v>0</v>
      </c>
    </row>
    <row r="34" spans="1:4" x14ac:dyDescent="0.2">
      <c r="A34" s="15" t="s">
        <v>270</v>
      </c>
      <c r="B34" s="32">
        <v>-108</v>
      </c>
      <c r="C34" s="33">
        <v>108</v>
      </c>
      <c r="D34" s="14">
        <v>0</v>
      </c>
    </row>
    <row r="35" spans="1:4" x14ac:dyDescent="0.2">
      <c r="A35" s="15" t="s">
        <v>299</v>
      </c>
      <c r="B35" s="32">
        <v>-17</v>
      </c>
      <c r="C35" s="33">
        <v>17</v>
      </c>
      <c r="D35" s="14">
        <v>0</v>
      </c>
    </row>
    <row r="36" spans="1:4" x14ac:dyDescent="0.2">
      <c r="A36" s="15" t="s">
        <v>271</v>
      </c>
      <c r="B36" s="32">
        <v>-714</v>
      </c>
      <c r="C36" s="33">
        <v>714</v>
      </c>
      <c r="D36" s="14">
        <v>0</v>
      </c>
    </row>
    <row r="37" spans="1:4" x14ac:dyDescent="0.2">
      <c r="A37" s="15" t="s">
        <v>300</v>
      </c>
      <c r="B37" s="32">
        <v>-17</v>
      </c>
      <c r="C37" s="33">
        <v>17</v>
      </c>
      <c r="D37" s="14">
        <v>0</v>
      </c>
    </row>
    <row r="38" spans="1:4" x14ac:dyDescent="0.2">
      <c r="A38" s="15" t="s">
        <v>289</v>
      </c>
      <c r="B38" s="32">
        <v>-153</v>
      </c>
      <c r="C38" s="33">
        <v>153</v>
      </c>
      <c r="D38" s="14">
        <v>0</v>
      </c>
    </row>
    <row r="39" spans="1:4" x14ac:dyDescent="0.2">
      <c r="A39" s="15" t="s">
        <v>272</v>
      </c>
      <c r="B39" s="32">
        <v>-17</v>
      </c>
      <c r="C39" s="33">
        <v>17</v>
      </c>
      <c r="D39" s="14">
        <v>0</v>
      </c>
    </row>
    <row r="40" spans="1:4" x14ac:dyDescent="0.2">
      <c r="A40" s="15" t="s">
        <v>273</v>
      </c>
      <c r="B40" s="32">
        <v>-38</v>
      </c>
      <c r="C40" s="33">
        <v>38</v>
      </c>
      <c r="D40" s="14">
        <v>0</v>
      </c>
    </row>
    <row r="41" spans="1:4" x14ac:dyDescent="0.2">
      <c r="A41" s="15" t="s">
        <v>290</v>
      </c>
      <c r="B41" s="32">
        <v>-18</v>
      </c>
      <c r="C41" s="33">
        <v>18</v>
      </c>
      <c r="D41" s="14">
        <v>0</v>
      </c>
    </row>
    <row r="42" spans="1:4" x14ac:dyDescent="0.2">
      <c r="A42" s="15" t="s">
        <v>274</v>
      </c>
      <c r="B42" s="32">
        <v>-85</v>
      </c>
      <c r="C42" s="33">
        <v>85</v>
      </c>
      <c r="D42" s="14">
        <v>0</v>
      </c>
    </row>
    <row r="43" spans="1:4" x14ac:dyDescent="0.2">
      <c r="A43" s="15" t="s">
        <v>275</v>
      </c>
      <c r="B43" s="32">
        <v>-162</v>
      </c>
      <c r="C43" s="33">
        <v>162</v>
      </c>
      <c r="D43" s="14">
        <v>0</v>
      </c>
    </row>
    <row r="44" spans="1:4" x14ac:dyDescent="0.2">
      <c r="A44" s="15" t="s">
        <v>276</v>
      </c>
      <c r="B44" s="32">
        <v>-3</v>
      </c>
      <c r="C44" s="33">
        <v>3</v>
      </c>
      <c r="D44" s="14">
        <v>0</v>
      </c>
    </row>
    <row r="45" spans="1:4" x14ac:dyDescent="0.2">
      <c r="A45" s="15" t="s">
        <v>291</v>
      </c>
      <c r="B45" s="32">
        <v>-170</v>
      </c>
      <c r="C45" s="33">
        <v>170</v>
      </c>
      <c r="D45" s="14">
        <v>0</v>
      </c>
    </row>
    <row r="46" spans="1:4" x14ac:dyDescent="0.2">
      <c r="A46" s="15" t="s">
        <v>277</v>
      </c>
      <c r="B46" s="32">
        <v>-16</v>
      </c>
      <c r="C46" s="33">
        <v>16</v>
      </c>
      <c r="D46" s="14">
        <v>0</v>
      </c>
    </row>
    <row r="47" spans="1:4" x14ac:dyDescent="0.2">
      <c r="A47" s="15" t="s">
        <v>278</v>
      </c>
      <c r="B47" s="32">
        <v>-16</v>
      </c>
      <c r="C47" s="33">
        <v>16</v>
      </c>
      <c r="D47" s="14">
        <v>0</v>
      </c>
    </row>
    <row r="48" spans="1:4" x14ac:dyDescent="0.2">
      <c r="A48" s="15" t="s">
        <v>279</v>
      </c>
      <c r="B48" s="32">
        <v>-48</v>
      </c>
      <c r="C48" s="33">
        <v>48</v>
      </c>
      <c r="D48" s="14">
        <v>0</v>
      </c>
    </row>
    <row r="49" spans="1:4" x14ac:dyDescent="0.2">
      <c r="A49" s="15" t="s">
        <v>280</v>
      </c>
      <c r="B49" s="32">
        <v>-45</v>
      </c>
      <c r="C49" s="33">
        <v>45</v>
      </c>
      <c r="D49" s="14">
        <v>0</v>
      </c>
    </row>
    <row r="50" spans="1:4" x14ac:dyDescent="0.2">
      <c r="A50" s="15" t="s">
        <v>301</v>
      </c>
      <c r="B50" s="32">
        <v>-5</v>
      </c>
      <c r="C50" s="33">
        <v>5</v>
      </c>
      <c r="D50" s="14">
        <v>0</v>
      </c>
    </row>
    <row r="51" spans="1:4" x14ac:dyDescent="0.2">
      <c r="A51" s="16" t="s">
        <v>955</v>
      </c>
      <c r="B51" s="23">
        <v>-18037.900000000001</v>
      </c>
      <c r="C51" s="24">
        <v>18037.900000000001</v>
      </c>
      <c r="D51" s="17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69"/>
  <sheetViews>
    <sheetView zoomScale="70" zoomScaleNormal="70" workbookViewId="0">
      <selection activeCell="B1" sqref="B1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17.28515625" style="1" bestFit="1" customWidth="1"/>
    <col min="7" max="7" width="32" style="1" bestFit="1" customWidth="1"/>
    <col min="8" max="8" width="21.28515625" style="1" bestFit="1" customWidth="1"/>
    <col min="9" max="9" width="19" style="1" bestFit="1" customWidth="1"/>
    <col min="10" max="10" width="26.42578125" style="1" bestFit="1" customWidth="1"/>
    <col min="11" max="11" width="12.28515625" style="1" bestFit="1" customWidth="1"/>
    <col min="12" max="12" width="23.28515625" style="1" bestFit="1" customWidth="1"/>
    <col min="13" max="13" width="18" style="1" bestFit="1" customWidth="1"/>
    <col min="14" max="14" width="18" style="1" customWidth="1"/>
    <col min="15" max="15" width="12.5703125" style="1" bestFit="1" customWidth="1"/>
    <col min="16" max="16" width="8.42578125" style="1" bestFit="1" customWidth="1"/>
    <col min="17" max="17" width="13.85546875" style="1" bestFit="1" customWidth="1"/>
    <col min="18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302</v>
      </c>
      <c r="G1" s="1" t="s">
        <v>303</v>
      </c>
      <c r="H1" s="1" t="s">
        <v>18</v>
      </c>
      <c r="I1" s="1" t="s">
        <v>250</v>
      </c>
      <c r="J1" s="1" t="s">
        <v>5</v>
      </c>
      <c r="K1" s="1" t="s">
        <v>304</v>
      </c>
      <c r="L1" s="1" t="s">
        <v>305</v>
      </c>
      <c r="M1" s="1" t="s">
        <v>13</v>
      </c>
      <c r="N1" s="3" t="s">
        <v>969</v>
      </c>
      <c r="O1" s="1" t="s">
        <v>281</v>
      </c>
      <c r="P1" s="1" t="s">
        <v>251</v>
      </c>
      <c r="Q1" s="1" t="s">
        <v>956</v>
      </c>
    </row>
    <row r="2" spans="1:17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461</v>
      </c>
      <c r="G2" s="1" t="s">
        <v>462</v>
      </c>
      <c r="H2" s="1" t="s">
        <v>46</v>
      </c>
      <c r="I2" s="1" t="s">
        <v>308</v>
      </c>
      <c r="J2" s="1" t="s">
        <v>24</v>
      </c>
      <c r="K2" s="1" t="s">
        <v>312</v>
      </c>
      <c r="L2" s="1" t="s">
        <v>463</v>
      </c>
      <c r="M2" s="1">
        <v>3092</v>
      </c>
    </row>
    <row r="3" spans="1:17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310</v>
      </c>
      <c r="G3" s="1" t="s">
        <v>311</v>
      </c>
      <c r="H3" s="1" t="s">
        <v>46</v>
      </c>
      <c r="I3" s="1" t="s">
        <v>308</v>
      </c>
      <c r="J3" s="1" t="s">
        <v>32</v>
      </c>
      <c r="K3" s="1" t="s">
        <v>312</v>
      </c>
      <c r="L3" s="1" t="s">
        <v>313</v>
      </c>
      <c r="M3" s="1">
        <v>300</v>
      </c>
      <c r="Q3" s="1" t="s">
        <v>604</v>
      </c>
    </row>
    <row r="4" spans="1:17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310</v>
      </c>
      <c r="G4" s="1" t="s">
        <v>311</v>
      </c>
      <c r="H4" s="1" t="s">
        <v>46</v>
      </c>
      <c r="I4" s="1" t="s">
        <v>308</v>
      </c>
      <c r="J4" s="1" t="s">
        <v>32</v>
      </c>
      <c r="K4" s="1" t="s">
        <v>312</v>
      </c>
      <c r="L4" s="1" t="s">
        <v>314</v>
      </c>
      <c r="M4" s="1">
        <v>6350</v>
      </c>
      <c r="Q4" s="1" t="s">
        <v>604</v>
      </c>
    </row>
    <row r="5" spans="1:17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315</v>
      </c>
      <c r="G5" s="1" t="s">
        <v>316</v>
      </c>
      <c r="H5" s="1" t="s">
        <v>46</v>
      </c>
      <c r="I5" s="1" t="s">
        <v>308</v>
      </c>
      <c r="J5" s="1" t="s">
        <v>32</v>
      </c>
      <c r="K5" s="1" t="s">
        <v>312</v>
      </c>
      <c r="L5" s="1" t="s">
        <v>314</v>
      </c>
      <c r="M5" s="1">
        <v>3372</v>
      </c>
      <c r="Q5" s="1" t="s">
        <v>604</v>
      </c>
    </row>
    <row r="6" spans="1:17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461</v>
      </c>
      <c r="G6" s="1" t="s">
        <v>462</v>
      </c>
      <c r="H6" s="1" t="s">
        <v>46</v>
      </c>
      <c r="I6" s="1" t="s">
        <v>308</v>
      </c>
      <c r="J6" s="1" t="s">
        <v>32</v>
      </c>
      <c r="K6" s="1" t="s">
        <v>312</v>
      </c>
      <c r="L6" s="1" t="s">
        <v>463</v>
      </c>
      <c r="M6" s="1">
        <v>24210</v>
      </c>
    </row>
    <row r="7" spans="1:17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369</v>
      </c>
      <c r="G7" s="1" t="s">
        <v>370</v>
      </c>
      <c r="H7" s="1" t="s">
        <v>46</v>
      </c>
      <c r="I7" s="1" t="s">
        <v>308</v>
      </c>
      <c r="J7" s="1" t="s">
        <v>34</v>
      </c>
      <c r="K7" s="1" t="s">
        <v>312</v>
      </c>
      <c r="L7" s="1" t="s">
        <v>313</v>
      </c>
      <c r="M7" s="1">
        <v>1035</v>
      </c>
      <c r="Q7" s="1" t="s">
        <v>610</v>
      </c>
    </row>
    <row r="8" spans="1:17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383</v>
      </c>
      <c r="G8" s="1" t="s">
        <v>384</v>
      </c>
      <c r="H8" s="1" t="s">
        <v>46</v>
      </c>
      <c r="I8" s="1" t="s">
        <v>308</v>
      </c>
      <c r="J8" s="1" t="s">
        <v>34</v>
      </c>
      <c r="K8" s="1" t="s">
        <v>312</v>
      </c>
      <c r="L8" s="1" t="s">
        <v>313</v>
      </c>
      <c r="M8" s="1">
        <v>3526</v>
      </c>
      <c r="Q8" s="1" t="s">
        <v>610</v>
      </c>
    </row>
    <row r="9" spans="1:17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389</v>
      </c>
      <c r="G9" s="1" t="s">
        <v>390</v>
      </c>
      <c r="H9" s="1" t="s">
        <v>46</v>
      </c>
      <c r="I9" s="1" t="s">
        <v>308</v>
      </c>
      <c r="J9" s="1" t="s">
        <v>34</v>
      </c>
      <c r="K9" s="1" t="s">
        <v>312</v>
      </c>
      <c r="L9" s="1" t="s">
        <v>313</v>
      </c>
      <c r="M9" s="1">
        <v>8493</v>
      </c>
      <c r="Q9" s="1" t="s">
        <v>610</v>
      </c>
    </row>
    <row r="10" spans="1:17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461</v>
      </c>
      <c r="G10" s="1" t="s">
        <v>462</v>
      </c>
      <c r="H10" s="1" t="s">
        <v>46</v>
      </c>
      <c r="I10" s="1" t="s">
        <v>308</v>
      </c>
      <c r="J10" s="1" t="s">
        <v>34</v>
      </c>
      <c r="K10" s="1" t="s">
        <v>312</v>
      </c>
      <c r="L10" s="1" t="s">
        <v>463</v>
      </c>
      <c r="M10" s="1">
        <v>16648</v>
      </c>
    </row>
    <row r="11" spans="1:17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306</v>
      </c>
      <c r="G11" s="1" t="s">
        <v>307</v>
      </c>
      <c r="H11" s="1" t="s">
        <v>46</v>
      </c>
      <c r="I11" s="1" t="s">
        <v>308</v>
      </c>
      <c r="J11" s="1" t="s">
        <v>32</v>
      </c>
      <c r="K11" s="1" t="s">
        <v>309</v>
      </c>
      <c r="L11" s="1" t="s">
        <v>86</v>
      </c>
      <c r="M11" s="1">
        <v>1886.3913043478001</v>
      </c>
      <c r="N11" s="2">
        <f>M11/ActivityCenter!$L$2</f>
        <v>48.000000000096691</v>
      </c>
      <c r="Q11" s="1" t="s">
        <v>622</v>
      </c>
    </row>
    <row r="12" spans="1:17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319</v>
      </c>
      <c r="G12" s="1" t="s">
        <v>320</v>
      </c>
      <c r="H12" s="1" t="s">
        <v>46</v>
      </c>
      <c r="I12" s="1" t="s">
        <v>308</v>
      </c>
      <c r="J12" s="1" t="s">
        <v>32</v>
      </c>
      <c r="K12" s="1" t="s">
        <v>309</v>
      </c>
      <c r="L12" s="1" t="s">
        <v>86</v>
      </c>
      <c r="M12" s="1">
        <v>2279.3894927535998</v>
      </c>
      <c r="N12" s="2">
        <f>M12/ActivityCenter!$L$2</f>
        <v>58.000000000117041</v>
      </c>
      <c r="Q12" s="1" t="s">
        <v>622</v>
      </c>
    </row>
    <row r="13" spans="1:17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321</v>
      </c>
      <c r="G13" s="1" t="s">
        <v>322</v>
      </c>
      <c r="H13" s="1" t="s">
        <v>46</v>
      </c>
      <c r="I13" s="1" t="s">
        <v>308</v>
      </c>
      <c r="J13" s="1" t="s">
        <v>32</v>
      </c>
      <c r="K13" s="1" t="s">
        <v>309</v>
      </c>
      <c r="L13" s="1" t="s">
        <v>87</v>
      </c>
      <c r="M13" s="1">
        <v>18863.9130434783</v>
      </c>
      <c r="N13" s="2">
        <f>M13/ActivityCenter!$L$2</f>
        <v>480.00000000097452</v>
      </c>
      <c r="Q13" s="1" t="s">
        <v>622</v>
      </c>
    </row>
    <row r="14" spans="1:17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323</v>
      </c>
      <c r="G14" s="1" t="s">
        <v>324</v>
      </c>
      <c r="H14" s="1" t="s">
        <v>46</v>
      </c>
      <c r="I14" s="1" t="s">
        <v>308</v>
      </c>
      <c r="J14" s="1" t="s">
        <v>32</v>
      </c>
      <c r="K14" s="1" t="s">
        <v>309</v>
      </c>
      <c r="L14" s="1" t="s">
        <v>90</v>
      </c>
      <c r="M14" s="1">
        <v>8881.7590579709995</v>
      </c>
      <c r="N14" s="2">
        <f>M14/ActivityCenter!$L$2</f>
        <v>226.00000000045799</v>
      </c>
      <c r="Q14" s="1" t="s">
        <v>622</v>
      </c>
    </row>
    <row r="15" spans="1:17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325</v>
      </c>
      <c r="G15" s="1" t="s">
        <v>326</v>
      </c>
      <c r="H15" s="1" t="s">
        <v>46</v>
      </c>
      <c r="I15" s="1" t="s">
        <v>308</v>
      </c>
      <c r="J15" s="1" t="s">
        <v>32</v>
      </c>
      <c r="K15" s="1" t="s">
        <v>309</v>
      </c>
      <c r="L15" s="1" t="s">
        <v>90</v>
      </c>
      <c r="M15" s="1">
        <v>1650.5923913043</v>
      </c>
      <c r="N15" s="2">
        <f>M15/ActivityCenter!$L$2</f>
        <v>42.000000000083965</v>
      </c>
      <c r="Q15" s="1" t="s">
        <v>622</v>
      </c>
    </row>
    <row r="16" spans="1:17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325</v>
      </c>
      <c r="G16" s="1" t="s">
        <v>326</v>
      </c>
      <c r="H16" s="1" t="s">
        <v>46</v>
      </c>
      <c r="I16" s="1" t="s">
        <v>308</v>
      </c>
      <c r="J16" s="1" t="s">
        <v>32</v>
      </c>
      <c r="K16" s="1" t="s">
        <v>309</v>
      </c>
      <c r="L16" s="1" t="s">
        <v>93</v>
      </c>
      <c r="M16" s="1">
        <v>3694.1829710144998</v>
      </c>
      <c r="N16" s="2">
        <f>M16/ActivityCenter!$L$2</f>
        <v>94.000000000190823</v>
      </c>
      <c r="Q16" s="1" t="s">
        <v>622</v>
      </c>
    </row>
    <row r="17" spans="1:17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327</v>
      </c>
      <c r="G17" s="1" t="s">
        <v>328</v>
      </c>
      <c r="H17" s="1" t="s">
        <v>46</v>
      </c>
      <c r="I17" s="1" t="s">
        <v>308</v>
      </c>
      <c r="J17" s="1" t="s">
        <v>32</v>
      </c>
      <c r="K17" s="1" t="s">
        <v>309</v>
      </c>
      <c r="L17" s="1" t="s">
        <v>90</v>
      </c>
      <c r="M17" s="1">
        <v>5698.4737318840998</v>
      </c>
      <c r="N17" s="2">
        <f>M17/ActivityCenter!$L$2</f>
        <v>145.00000000029516</v>
      </c>
      <c r="Q17" s="1" t="s">
        <v>622</v>
      </c>
    </row>
    <row r="18" spans="1:17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329</v>
      </c>
      <c r="G18" s="1" t="s">
        <v>330</v>
      </c>
      <c r="H18" s="1" t="s">
        <v>46</v>
      </c>
      <c r="I18" s="1" t="s">
        <v>308</v>
      </c>
      <c r="J18" s="1" t="s">
        <v>32</v>
      </c>
      <c r="K18" s="1" t="s">
        <v>309</v>
      </c>
      <c r="L18" s="1" t="s">
        <v>90</v>
      </c>
      <c r="M18" s="1">
        <v>5384.0751811596001</v>
      </c>
      <c r="N18" s="2">
        <f>M18/ActivityCenter!$L$2</f>
        <v>137.00000000028243</v>
      </c>
      <c r="Q18" s="1" t="s">
        <v>622</v>
      </c>
    </row>
    <row r="19" spans="1:17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331</v>
      </c>
      <c r="G19" s="1" t="s">
        <v>332</v>
      </c>
      <c r="H19" s="1" t="s">
        <v>46</v>
      </c>
      <c r="I19" s="1" t="s">
        <v>308</v>
      </c>
      <c r="J19" s="1" t="s">
        <v>32</v>
      </c>
      <c r="K19" s="1" t="s">
        <v>309</v>
      </c>
      <c r="L19" s="1" t="s">
        <v>90</v>
      </c>
      <c r="M19" s="1">
        <v>2633.0878623188</v>
      </c>
      <c r="N19" s="2">
        <f>M19/ActivityCenter!$L$2</f>
        <v>67.000000000134861</v>
      </c>
      <c r="Q19" s="1" t="s">
        <v>622</v>
      </c>
    </row>
    <row r="20" spans="1:17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23</v>
      </c>
      <c r="F20" s="1" t="s">
        <v>333</v>
      </c>
      <c r="G20" s="1" t="s">
        <v>334</v>
      </c>
      <c r="H20" s="1" t="s">
        <v>46</v>
      </c>
      <c r="I20" s="1" t="s">
        <v>308</v>
      </c>
      <c r="J20" s="1" t="s">
        <v>32</v>
      </c>
      <c r="K20" s="1" t="s">
        <v>309</v>
      </c>
      <c r="L20" s="1" t="s">
        <v>90</v>
      </c>
      <c r="M20" s="1">
        <v>4991.0769927536003</v>
      </c>
      <c r="N20" s="2">
        <f>M20/ActivityCenter!$L$2</f>
        <v>127.000000000257</v>
      </c>
      <c r="Q20" s="1" t="s">
        <v>622</v>
      </c>
    </row>
    <row r="21" spans="1:17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23</v>
      </c>
      <c r="F21" s="1" t="s">
        <v>333</v>
      </c>
      <c r="G21" s="1" t="s">
        <v>334</v>
      </c>
      <c r="H21" s="1" t="s">
        <v>46</v>
      </c>
      <c r="I21" s="1" t="s">
        <v>308</v>
      </c>
      <c r="J21" s="1" t="s">
        <v>32</v>
      </c>
      <c r="K21" s="1" t="s">
        <v>309</v>
      </c>
      <c r="L21" s="1" t="s">
        <v>93</v>
      </c>
      <c r="M21" s="1">
        <v>4087.1811594203</v>
      </c>
      <c r="N21" s="2">
        <f>M21/ActivityCenter!$L$2</f>
        <v>104.00000000021119</v>
      </c>
      <c r="Q21" s="1" t="s">
        <v>622</v>
      </c>
    </row>
    <row r="22" spans="1:17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23</v>
      </c>
      <c r="F22" s="1" t="s">
        <v>335</v>
      </c>
      <c r="G22" s="1" t="s">
        <v>336</v>
      </c>
      <c r="H22" s="1" t="s">
        <v>46</v>
      </c>
      <c r="I22" s="1" t="s">
        <v>308</v>
      </c>
      <c r="J22" s="1" t="s">
        <v>32</v>
      </c>
      <c r="K22" s="1" t="s">
        <v>309</v>
      </c>
      <c r="L22" s="1" t="s">
        <v>90</v>
      </c>
      <c r="M22" s="1">
        <v>2515.1884057971001</v>
      </c>
      <c r="N22" s="2">
        <f>M22/ActivityCenter!$L$2</f>
        <v>64.000000000129774</v>
      </c>
      <c r="Q22" s="1" t="s">
        <v>622</v>
      </c>
    </row>
    <row r="23" spans="1:17" x14ac:dyDescent="0.25">
      <c r="A23" s="1">
        <v>2018</v>
      </c>
      <c r="B23" s="1">
        <v>3</v>
      </c>
      <c r="C23" s="1" t="s">
        <v>21</v>
      </c>
      <c r="D23" s="1" t="s">
        <v>22</v>
      </c>
      <c r="E23" s="1" t="s">
        <v>23</v>
      </c>
      <c r="F23" s="1" t="s">
        <v>337</v>
      </c>
      <c r="G23" s="1" t="s">
        <v>338</v>
      </c>
      <c r="H23" s="1" t="s">
        <v>46</v>
      </c>
      <c r="I23" s="1" t="s">
        <v>308</v>
      </c>
      <c r="J23" s="1" t="s">
        <v>32</v>
      </c>
      <c r="K23" s="1" t="s">
        <v>309</v>
      </c>
      <c r="L23" s="1" t="s">
        <v>86</v>
      </c>
      <c r="M23" s="1">
        <v>10571.651268116</v>
      </c>
      <c r="N23" s="2">
        <f>M23/ActivityCenter!$L$2</f>
        <v>269.00000000054706</v>
      </c>
      <c r="Q23" s="1" t="s">
        <v>622</v>
      </c>
    </row>
    <row r="24" spans="1:17" x14ac:dyDescent="0.25">
      <c r="A24" s="1">
        <v>2018</v>
      </c>
      <c r="B24" s="1">
        <v>3</v>
      </c>
      <c r="C24" s="1" t="s">
        <v>21</v>
      </c>
      <c r="D24" s="1" t="s">
        <v>22</v>
      </c>
      <c r="E24" s="1" t="s">
        <v>23</v>
      </c>
      <c r="F24" s="1" t="s">
        <v>337</v>
      </c>
      <c r="G24" s="1" t="s">
        <v>338</v>
      </c>
      <c r="H24" s="1" t="s">
        <v>46</v>
      </c>
      <c r="I24" s="1" t="s">
        <v>308</v>
      </c>
      <c r="J24" s="1" t="s">
        <v>32</v>
      </c>
      <c r="K24" s="1" t="s">
        <v>309</v>
      </c>
      <c r="L24" s="1" t="s">
        <v>90</v>
      </c>
      <c r="M24" s="1">
        <v>3772.7826086956002</v>
      </c>
      <c r="N24" s="2">
        <f>M24/ActivityCenter!$L$2</f>
        <v>96.000000000193381</v>
      </c>
      <c r="Q24" s="1" t="s">
        <v>622</v>
      </c>
    </row>
    <row r="25" spans="1:17" x14ac:dyDescent="0.25">
      <c r="A25" s="1">
        <v>2018</v>
      </c>
      <c r="B25" s="1">
        <v>3</v>
      </c>
      <c r="C25" s="1" t="s">
        <v>21</v>
      </c>
      <c r="D25" s="1" t="s">
        <v>22</v>
      </c>
      <c r="E25" s="1" t="s">
        <v>23</v>
      </c>
      <c r="F25" s="1" t="s">
        <v>337</v>
      </c>
      <c r="G25" s="1" t="s">
        <v>338</v>
      </c>
      <c r="H25" s="1" t="s">
        <v>46</v>
      </c>
      <c r="I25" s="1" t="s">
        <v>308</v>
      </c>
      <c r="J25" s="1" t="s">
        <v>32</v>
      </c>
      <c r="K25" s="1" t="s">
        <v>309</v>
      </c>
      <c r="L25" s="1" t="s">
        <v>93</v>
      </c>
      <c r="M25" s="1">
        <v>2868.8867753621998</v>
      </c>
      <c r="N25" s="2">
        <f>M25/ActivityCenter!$L$2</f>
        <v>73.000000000145036</v>
      </c>
      <c r="Q25" s="1" t="s">
        <v>622</v>
      </c>
    </row>
    <row r="26" spans="1:17" x14ac:dyDescent="0.25">
      <c r="A26" s="1">
        <v>2018</v>
      </c>
      <c r="B26" s="1">
        <v>3</v>
      </c>
      <c r="C26" s="1" t="s">
        <v>21</v>
      </c>
      <c r="D26" s="1" t="s">
        <v>22</v>
      </c>
      <c r="E26" s="1" t="s">
        <v>23</v>
      </c>
      <c r="F26" s="1" t="s">
        <v>339</v>
      </c>
      <c r="G26" s="1" t="s">
        <v>340</v>
      </c>
      <c r="H26" s="1" t="s">
        <v>46</v>
      </c>
      <c r="I26" s="1" t="s">
        <v>308</v>
      </c>
      <c r="J26" s="1" t="s">
        <v>32</v>
      </c>
      <c r="K26" s="1" t="s">
        <v>309</v>
      </c>
      <c r="L26" s="1" t="s">
        <v>86</v>
      </c>
      <c r="M26" s="1">
        <v>1650.5923913043</v>
      </c>
      <c r="N26" s="2">
        <f>M26/ActivityCenter!$L$2</f>
        <v>42.000000000083965</v>
      </c>
      <c r="Q26" s="1" t="s">
        <v>622</v>
      </c>
    </row>
    <row r="27" spans="1:17" x14ac:dyDescent="0.25">
      <c r="A27" s="1">
        <v>2018</v>
      </c>
      <c r="B27" s="1">
        <v>3</v>
      </c>
      <c r="C27" s="1" t="s">
        <v>21</v>
      </c>
      <c r="D27" s="1" t="s">
        <v>22</v>
      </c>
      <c r="E27" s="1" t="s">
        <v>23</v>
      </c>
      <c r="F27" s="1" t="s">
        <v>339</v>
      </c>
      <c r="G27" s="1" t="s">
        <v>340</v>
      </c>
      <c r="H27" s="1" t="s">
        <v>46</v>
      </c>
      <c r="I27" s="1" t="s">
        <v>308</v>
      </c>
      <c r="J27" s="1" t="s">
        <v>32</v>
      </c>
      <c r="K27" s="1" t="s">
        <v>309</v>
      </c>
      <c r="L27" s="1" t="s">
        <v>90</v>
      </c>
      <c r="M27" s="1">
        <v>1296.8940217391</v>
      </c>
      <c r="N27" s="2">
        <f>M27/ActivityCenter!$L$2</f>
        <v>33.000000000066159</v>
      </c>
      <c r="Q27" s="1" t="s">
        <v>622</v>
      </c>
    </row>
    <row r="28" spans="1:17" x14ac:dyDescent="0.25">
      <c r="A28" s="1">
        <v>2018</v>
      </c>
      <c r="B28" s="1">
        <v>3</v>
      </c>
      <c r="C28" s="1" t="s">
        <v>21</v>
      </c>
      <c r="D28" s="1" t="s">
        <v>22</v>
      </c>
      <c r="E28" s="1" t="s">
        <v>23</v>
      </c>
      <c r="F28" s="1" t="s">
        <v>339</v>
      </c>
      <c r="G28" s="1" t="s">
        <v>340</v>
      </c>
      <c r="H28" s="1" t="s">
        <v>46</v>
      </c>
      <c r="I28" s="1" t="s">
        <v>308</v>
      </c>
      <c r="J28" s="1" t="s">
        <v>32</v>
      </c>
      <c r="K28" s="1" t="s">
        <v>309</v>
      </c>
      <c r="L28" s="1" t="s">
        <v>93</v>
      </c>
      <c r="M28" s="1">
        <v>5501.9746376812</v>
      </c>
      <c r="N28" s="2">
        <f>M28/ActivityCenter!$L$2</f>
        <v>140.00000000028498</v>
      </c>
      <c r="Q28" s="1" t="s">
        <v>622</v>
      </c>
    </row>
    <row r="29" spans="1:17" x14ac:dyDescent="0.25">
      <c r="A29" s="1">
        <v>2018</v>
      </c>
      <c r="B29" s="1">
        <v>3</v>
      </c>
      <c r="C29" s="1" t="s">
        <v>21</v>
      </c>
      <c r="D29" s="1" t="s">
        <v>22</v>
      </c>
      <c r="E29" s="1" t="s">
        <v>23</v>
      </c>
      <c r="F29" s="1" t="s">
        <v>341</v>
      </c>
      <c r="G29" s="1" t="s">
        <v>342</v>
      </c>
      <c r="H29" s="1" t="s">
        <v>46</v>
      </c>
      <c r="I29" s="1" t="s">
        <v>308</v>
      </c>
      <c r="J29" s="1" t="s">
        <v>32</v>
      </c>
      <c r="K29" s="1" t="s">
        <v>309</v>
      </c>
      <c r="L29" s="1" t="s">
        <v>86</v>
      </c>
      <c r="M29" s="1">
        <v>5462.6748188406</v>
      </c>
      <c r="N29" s="2">
        <f>M29/ActivityCenter!$L$2</f>
        <v>139.00000000028243</v>
      </c>
      <c r="Q29" s="1" t="s">
        <v>622</v>
      </c>
    </row>
    <row r="30" spans="1:17" x14ac:dyDescent="0.25">
      <c r="A30" s="1">
        <v>2018</v>
      </c>
      <c r="B30" s="1">
        <v>3</v>
      </c>
      <c r="C30" s="1" t="s">
        <v>21</v>
      </c>
      <c r="D30" s="1" t="s">
        <v>22</v>
      </c>
      <c r="E30" s="1" t="s">
        <v>23</v>
      </c>
      <c r="F30" s="1" t="s">
        <v>343</v>
      </c>
      <c r="G30" s="1" t="s">
        <v>344</v>
      </c>
      <c r="H30" s="1" t="s">
        <v>46</v>
      </c>
      <c r="I30" s="1" t="s">
        <v>308</v>
      </c>
      <c r="J30" s="1" t="s">
        <v>32</v>
      </c>
      <c r="K30" s="1" t="s">
        <v>309</v>
      </c>
      <c r="L30" s="1" t="s">
        <v>86</v>
      </c>
      <c r="M30" s="1">
        <v>12104.344202898599</v>
      </c>
      <c r="N30" s="2">
        <f>M30/ActivityCenter!$L$2</f>
        <v>308.0000000006259</v>
      </c>
      <c r="Q30" s="1" t="s">
        <v>622</v>
      </c>
    </row>
    <row r="31" spans="1:17" x14ac:dyDescent="0.25">
      <c r="A31" s="1">
        <v>2018</v>
      </c>
      <c r="B31" s="1">
        <v>3</v>
      </c>
      <c r="C31" s="1" t="s">
        <v>21</v>
      </c>
      <c r="D31" s="1" t="s">
        <v>22</v>
      </c>
      <c r="E31" s="1" t="s">
        <v>23</v>
      </c>
      <c r="F31" s="1" t="s">
        <v>343</v>
      </c>
      <c r="G31" s="1" t="s">
        <v>344</v>
      </c>
      <c r="H31" s="1" t="s">
        <v>46</v>
      </c>
      <c r="I31" s="1" t="s">
        <v>308</v>
      </c>
      <c r="J31" s="1" t="s">
        <v>32</v>
      </c>
      <c r="K31" s="1" t="s">
        <v>309</v>
      </c>
      <c r="L31" s="1" t="s">
        <v>93</v>
      </c>
      <c r="M31" s="1">
        <v>5659.1739130434999</v>
      </c>
      <c r="N31" s="2">
        <f>M31/ActivityCenter!$L$2</f>
        <v>144.0000000002926</v>
      </c>
      <c r="Q31" s="1" t="s">
        <v>622</v>
      </c>
    </row>
    <row r="32" spans="1:17" x14ac:dyDescent="0.25">
      <c r="A32" s="1">
        <v>2018</v>
      </c>
      <c r="B32" s="1">
        <v>3</v>
      </c>
      <c r="C32" s="1" t="s">
        <v>21</v>
      </c>
      <c r="D32" s="1" t="s">
        <v>22</v>
      </c>
      <c r="E32" s="1" t="s">
        <v>23</v>
      </c>
      <c r="F32" s="1" t="s">
        <v>345</v>
      </c>
      <c r="G32" s="1" t="s">
        <v>346</v>
      </c>
      <c r="H32" s="1" t="s">
        <v>46</v>
      </c>
      <c r="I32" s="1" t="s">
        <v>308</v>
      </c>
      <c r="J32" s="1" t="s">
        <v>32</v>
      </c>
      <c r="K32" s="1" t="s">
        <v>309</v>
      </c>
      <c r="L32" s="1" t="s">
        <v>86</v>
      </c>
      <c r="M32" s="1">
        <v>4833.8777173913004</v>
      </c>
      <c r="N32" s="2">
        <f>M32/ActivityCenter!$L$2</f>
        <v>123.00000000024937</v>
      </c>
      <c r="Q32" s="1" t="s">
        <v>622</v>
      </c>
    </row>
    <row r="33" spans="1:17" x14ac:dyDescent="0.25">
      <c r="A33" s="1">
        <v>2018</v>
      </c>
      <c r="B33" s="1">
        <v>3</v>
      </c>
      <c r="C33" s="1" t="s">
        <v>21</v>
      </c>
      <c r="D33" s="1" t="s">
        <v>22</v>
      </c>
      <c r="E33" s="1" t="s">
        <v>23</v>
      </c>
      <c r="F33" s="1" t="s">
        <v>347</v>
      </c>
      <c r="G33" s="1" t="s">
        <v>348</v>
      </c>
      <c r="H33" s="1" t="s">
        <v>46</v>
      </c>
      <c r="I33" s="1" t="s">
        <v>308</v>
      </c>
      <c r="J33" s="1" t="s">
        <v>32</v>
      </c>
      <c r="K33" s="1" t="s">
        <v>309</v>
      </c>
      <c r="L33" s="1" t="s">
        <v>86</v>
      </c>
      <c r="M33" s="1">
        <v>5148.2762681159002</v>
      </c>
      <c r="N33" s="2">
        <f>M33/ActivityCenter!$L$2</f>
        <v>131.00000000026463</v>
      </c>
      <c r="Q33" s="1" t="s">
        <v>622</v>
      </c>
    </row>
    <row r="34" spans="1:17" x14ac:dyDescent="0.25">
      <c r="A34" s="1">
        <v>2018</v>
      </c>
      <c r="B34" s="1">
        <v>3</v>
      </c>
      <c r="C34" s="1" t="s">
        <v>21</v>
      </c>
      <c r="D34" s="1" t="s">
        <v>22</v>
      </c>
      <c r="E34" s="1" t="s">
        <v>23</v>
      </c>
      <c r="F34" s="1" t="s">
        <v>349</v>
      </c>
      <c r="G34" s="1" t="s">
        <v>350</v>
      </c>
      <c r="H34" s="1" t="s">
        <v>46</v>
      </c>
      <c r="I34" s="1" t="s">
        <v>308</v>
      </c>
      <c r="J34" s="1" t="s">
        <v>32</v>
      </c>
      <c r="K34" s="1" t="s">
        <v>309</v>
      </c>
      <c r="L34" s="1" t="s">
        <v>86</v>
      </c>
      <c r="M34" s="1">
        <v>5305.4755434783001</v>
      </c>
      <c r="N34" s="2">
        <f>M34/ActivityCenter!$L$2</f>
        <v>135.00000000027481</v>
      </c>
      <c r="Q34" s="1" t="s">
        <v>622</v>
      </c>
    </row>
    <row r="35" spans="1:17" x14ac:dyDescent="0.25">
      <c r="A35" s="1">
        <v>2018</v>
      </c>
      <c r="B35" s="1">
        <v>3</v>
      </c>
      <c r="C35" s="1" t="s">
        <v>21</v>
      </c>
      <c r="D35" s="1" t="s">
        <v>22</v>
      </c>
      <c r="E35" s="1" t="s">
        <v>23</v>
      </c>
      <c r="F35" s="1" t="s">
        <v>351</v>
      </c>
      <c r="G35" s="1" t="s">
        <v>352</v>
      </c>
      <c r="H35" s="1" t="s">
        <v>46</v>
      </c>
      <c r="I35" s="1" t="s">
        <v>308</v>
      </c>
      <c r="J35" s="1" t="s">
        <v>32</v>
      </c>
      <c r="K35" s="1" t="s">
        <v>309</v>
      </c>
      <c r="L35" s="1" t="s">
        <v>78</v>
      </c>
      <c r="M35" s="1">
        <v>8174.3623188406</v>
      </c>
      <c r="N35" s="2">
        <f>M35/ActivityCenter!$L$2</f>
        <v>208.00000000042238</v>
      </c>
      <c r="Q35" s="1" t="s">
        <v>622</v>
      </c>
    </row>
    <row r="36" spans="1:17" x14ac:dyDescent="0.25">
      <c r="A36" s="1">
        <v>2018</v>
      </c>
      <c r="B36" s="1">
        <v>3</v>
      </c>
      <c r="C36" s="1" t="s">
        <v>21</v>
      </c>
      <c r="D36" s="1" t="s">
        <v>22</v>
      </c>
      <c r="E36" s="1" t="s">
        <v>23</v>
      </c>
      <c r="F36" s="1" t="s">
        <v>351</v>
      </c>
      <c r="G36" s="1" t="s">
        <v>352</v>
      </c>
      <c r="H36" s="1" t="s">
        <v>46</v>
      </c>
      <c r="I36" s="1" t="s">
        <v>308</v>
      </c>
      <c r="J36" s="1" t="s">
        <v>32</v>
      </c>
      <c r="K36" s="1" t="s">
        <v>309</v>
      </c>
      <c r="L36" s="1" t="s">
        <v>82</v>
      </c>
      <c r="M36" s="1">
        <v>8174.3623188406</v>
      </c>
      <c r="N36" s="2">
        <f>M36/ActivityCenter!$L$2</f>
        <v>208.00000000042238</v>
      </c>
      <c r="Q36" s="1" t="s">
        <v>622</v>
      </c>
    </row>
    <row r="37" spans="1:17" x14ac:dyDescent="0.25">
      <c r="A37" s="1">
        <v>2018</v>
      </c>
      <c r="B37" s="1">
        <v>3</v>
      </c>
      <c r="C37" s="1" t="s">
        <v>21</v>
      </c>
      <c r="D37" s="1" t="s">
        <v>22</v>
      </c>
      <c r="E37" s="1" t="s">
        <v>23</v>
      </c>
      <c r="F37" s="1" t="s">
        <v>353</v>
      </c>
      <c r="G37" s="1" t="s">
        <v>354</v>
      </c>
      <c r="H37" s="1" t="s">
        <v>46</v>
      </c>
      <c r="I37" s="1" t="s">
        <v>308</v>
      </c>
      <c r="J37" s="1" t="s">
        <v>32</v>
      </c>
      <c r="K37" s="1" t="s">
        <v>309</v>
      </c>
      <c r="L37" s="1" t="s">
        <v>86</v>
      </c>
      <c r="M37" s="1">
        <v>4951.7771739130003</v>
      </c>
      <c r="N37" s="2">
        <f>M37/ActivityCenter!$L$2</f>
        <v>126.00000000025446</v>
      </c>
      <c r="Q37" s="1" t="s">
        <v>622</v>
      </c>
    </row>
    <row r="38" spans="1:17" x14ac:dyDescent="0.25">
      <c r="A38" s="1">
        <v>2018</v>
      </c>
      <c r="B38" s="1">
        <v>3</v>
      </c>
      <c r="C38" s="1" t="s">
        <v>21</v>
      </c>
      <c r="D38" s="1" t="s">
        <v>22</v>
      </c>
      <c r="E38" s="1" t="s">
        <v>23</v>
      </c>
      <c r="F38" s="1" t="s">
        <v>355</v>
      </c>
      <c r="G38" s="1" t="s">
        <v>356</v>
      </c>
      <c r="H38" s="1" t="s">
        <v>46</v>
      </c>
      <c r="I38" s="1" t="s">
        <v>308</v>
      </c>
      <c r="J38" s="1" t="s">
        <v>32</v>
      </c>
      <c r="K38" s="1" t="s">
        <v>309</v>
      </c>
      <c r="L38" s="1" t="s">
        <v>86</v>
      </c>
      <c r="M38" s="1">
        <v>9628.4556159420008</v>
      </c>
      <c r="N38" s="2">
        <f>M38/ActivityCenter!$L$2</f>
        <v>245.00000000049619</v>
      </c>
      <c r="Q38" s="1" t="s">
        <v>622</v>
      </c>
    </row>
    <row r="39" spans="1:17" x14ac:dyDescent="0.25">
      <c r="A39" s="1">
        <v>2018</v>
      </c>
      <c r="B39" s="1">
        <v>3</v>
      </c>
      <c r="C39" s="1" t="s">
        <v>21</v>
      </c>
      <c r="D39" s="1" t="s">
        <v>22</v>
      </c>
      <c r="E39" s="1" t="s">
        <v>23</v>
      </c>
      <c r="F39" s="1" t="s">
        <v>357</v>
      </c>
      <c r="G39" s="1" t="s">
        <v>358</v>
      </c>
      <c r="H39" s="1" t="s">
        <v>46</v>
      </c>
      <c r="I39" s="1" t="s">
        <v>308</v>
      </c>
      <c r="J39" s="1" t="s">
        <v>32</v>
      </c>
      <c r="K39" s="1" t="s">
        <v>309</v>
      </c>
      <c r="L39" s="1" t="s">
        <v>86</v>
      </c>
      <c r="M39" s="1">
        <v>18863.913043478398</v>
      </c>
      <c r="N39" s="2">
        <f>M39/ActivityCenter!$L$2</f>
        <v>480.00000000097702</v>
      </c>
      <c r="Q39" s="1" t="s">
        <v>622</v>
      </c>
    </row>
    <row r="40" spans="1:17" x14ac:dyDescent="0.25">
      <c r="A40" s="1">
        <v>2018</v>
      </c>
      <c r="B40" s="1">
        <v>3</v>
      </c>
      <c r="C40" s="1" t="s">
        <v>21</v>
      </c>
      <c r="D40" s="1" t="s">
        <v>22</v>
      </c>
      <c r="E40" s="1" t="s">
        <v>23</v>
      </c>
      <c r="F40" s="1" t="s">
        <v>359</v>
      </c>
      <c r="G40" s="1" t="s">
        <v>360</v>
      </c>
      <c r="H40" s="1" t="s">
        <v>46</v>
      </c>
      <c r="I40" s="1" t="s">
        <v>308</v>
      </c>
      <c r="J40" s="1" t="s">
        <v>32</v>
      </c>
      <c r="K40" s="1" t="s">
        <v>309</v>
      </c>
      <c r="L40" s="1" t="s">
        <v>86</v>
      </c>
      <c r="M40" s="1">
        <v>5659.1739130434999</v>
      </c>
      <c r="N40" s="2">
        <f>M40/ActivityCenter!$L$2</f>
        <v>144.0000000002926</v>
      </c>
      <c r="Q40" s="1" t="s">
        <v>622</v>
      </c>
    </row>
    <row r="41" spans="1:17" x14ac:dyDescent="0.25">
      <c r="A41" s="1">
        <v>2018</v>
      </c>
      <c r="B41" s="1">
        <v>3</v>
      </c>
      <c r="C41" s="1" t="s">
        <v>21</v>
      </c>
      <c r="D41" s="1" t="s">
        <v>22</v>
      </c>
      <c r="E41" s="1" t="s">
        <v>23</v>
      </c>
      <c r="F41" s="1" t="s">
        <v>361</v>
      </c>
      <c r="G41" s="1" t="s">
        <v>362</v>
      </c>
      <c r="H41" s="1" t="s">
        <v>46</v>
      </c>
      <c r="I41" s="1" t="s">
        <v>308</v>
      </c>
      <c r="J41" s="1" t="s">
        <v>32</v>
      </c>
      <c r="K41" s="1" t="s">
        <v>309</v>
      </c>
      <c r="L41" s="1" t="s">
        <v>86</v>
      </c>
      <c r="M41" s="1">
        <v>4008.5815217391</v>
      </c>
      <c r="N41" s="2">
        <f>M41/ActivityCenter!$L$2</f>
        <v>102.0000000002061</v>
      </c>
      <c r="Q41" s="1" t="s">
        <v>622</v>
      </c>
    </row>
    <row r="42" spans="1:17" x14ac:dyDescent="0.25">
      <c r="A42" s="1">
        <v>2018</v>
      </c>
      <c r="B42" s="1">
        <v>3</v>
      </c>
      <c r="C42" s="1" t="s">
        <v>21</v>
      </c>
      <c r="D42" s="1" t="s">
        <v>22</v>
      </c>
      <c r="E42" s="1" t="s">
        <v>23</v>
      </c>
      <c r="F42" s="1" t="s">
        <v>363</v>
      </c>
      <c r="G42" s="1" t="s">
        <v>364</v>
      </c>
      <c r="H42" s="1" t="s">
        <v>46</v>
      </c>
      <c r="I42" s="1" t="s">
        <v>308</v>
      </c>
      <c r="J42" s="1" t="s">
        <v>32</v>
      </c>
      <c r="K42" s="1" t="s">
        <v>309</v>
      </c>
      <c r="L42" s="1" t="s">
        <v>93</v>
      </c>
      <c r="M42" s="1">
        <v>18863.9130434783</v>
      </c>
      <c r="N42" s="2">
        <f>M42/ActivityCenter!$L$2</f>
        <v>480.00000000097452</v>
      </c>
      <c r="Q42" s="1" t="s">
        <v>622</v>
      </c>
    </row>
    <row r="43" spans="1:17" x14ac:dyDescent="0.25">
      <c r="A43" s="1">
        <v>2018</v>
      </c>
      <c r="B43" s="1">
        <v>3</v>
      </c>
      <c r="C43" s="1" t="s">
        <v>21</v>
      </c>
      <c r="D43" s="1" t="s">
        <v>22</v>
      </c>
      <c r="E43" s="1" t="s">
        <v>23</v>
      </c>
      <c r="F43" s="1" t="s">
        <v>365</v>
      </c>
      <c r="G43" s="1" t="s">
        <v>366</v>
      </c>
      <c r="H43" s="1" t="s">
        <v>46</v>
      </c>
      <c r="I43" s="1" t="s">
        <v>308</v>
      </c>
      <c r="J43" s="1" t="s">
        <v>32</v>
      </c>
      <c r="K43" s="1" t="s">
        <v>309</v>
      </c>
      <c r="L43" s="1" t="s">
        <v>86</v>
      </c>
      <c r="M43" s="1">
        <v>2436.5887681159002</v>
      </c>
      <c r="N43" s="2">
        <f>M43/ActivityCenter!$L$2</f>
        <v>62.000000000124686</v>
      </c>
      <c r="Q43" s="1" t="s">
        <v>622</v>
      </c>
    </row>
    <row r="44" spans="1:17" x14ac:dyDescent="0.25">
      <c r="A44" s="1">
        <v>2018</v>
      </c>
      <c r="B44" s="1">
        <v>3</v>
      </c>
      <c r="C44" s="1" t="s">
        <v>21</v>
      </c>
      <c r="D44" s="1" t="s">
        <v>22</v>
      </c>
      <c r="E44" s="1" t="s">
        <v>23</v>
      </c>
      <c r="F44" s="1" t="s">
        <v>457</v>
      </c>
      <c r="G44" s="1" t="s">
        <v>458</v>
      </c>
      <c r="H44" s="1" t="s">
        <v>46</v>
      </c>
      <c r="I44" s="1" t="s">
        <v>308</v>
      </c>
      <c r="J44" s="1" t="s">
        <v>32</v>
      </c>
      <c r="K44" s="1" t="s">
        <v>309</v>
      </c>
      <c r="L44" s="1" t="s">
        <v>101</v>
      </c>
      <c r="M44" s="1">
        <v>226366.95652173911</v>
      </c>
      <c r="N44" s="2">
        <f>M44/ActivityCenter!$L$2</f>
        <v>5760.0000000116815</v>
      </c>
      <c r="Q44" s="1" t="s">
        <v>676</v>
      </c>
    </row>
    <row r="45" spans="1:17" x14ac:dyDescent="0.25">
      <c r="A45" s="1">
        <v>2018</v>
      </c>
      <c r="B45" s="1">
        <v>3</v>
      </c>
      <c r="C45" s="1" t="s">
        <v>21</v>
      </c>
      <c r="D45" s="1" t="s">
        <v>22</v>
      </c>
      <c r="E45" s="1" t="s">
        <v>23</v>
      </c>
      <c r="F45" s="1" t="s">
        <v>317</v>
      </c>
      <c r="G45" s="1" t="s">
        <v>318</v>
      </c>
      <c r="H45" s="1" t="s">
        <v>46</v>
      </c>
      <c r="I45" s="1" t="s">
        <v>308</v>
      </c>
      <c r="J45" s="1" t="s">
        <v>34</v>
      </c>
      <c r="K45" s="1" t="s">
        <v>309</v>
      </c>
      <c r="L45" s="1" t="s">
        <v>85</v>
      </c>
      <c r="M45" s="1">
        <v>1276.9887462714</v>
      </c>
      <c r="N45" s="2">
        <f>M45/ActivityCenter!$L$6</f>
        <v>133.00000000135398</v>
      </c>
      <c r="Q45" s="1" t="s">
        <v>601</v>
      </c>
    </row>
    <row r="46" spans="1:17" x14ac:dyDescent="0.25">
      <c r="A46" s="1">
        <v>2018</v>
      </c>
      <c r="B46" s="1">
        <v>3</v>
      </c>
      <c r="C46" s="1" t="s">
        <v>21</v>
      </c>
      <c r="D46" s="1" t="s">
        <v>22</v>
      </c>
      <c r="E46" s="1" t="s">
        <v>23</v>
      </c>
      <c r="F46" s="1" t="s">
        <v>367</v>
      </c>
      <c r="G46" s="1" t="s">
        <v>368</v>
      </c>
      <c r="H46" s="1" t="s">
        <v>46</v>
      </c>
      <c r="I46" s="1" t="s">
        <v>308</v>
      </c>
      <c r="J46" s="1" t="s">
        <v>34</v>
      </c>
      <c r="K46" s="1" t="s">
        <v>309</v>
      </c>
      <c r="L46" s="1" t="s">
        <v>86</v>
      </c>
      <c r="M46" s="1">
        <v>2304.3405947753999</v>
      </c>
      <c r="N46" s="2">
        <f>M46/ActivityCenter!$L$6</f>
        <v>240.00000000243716</v>
      </c>
      <c r="Q46" s="1" t="s">
        <v>610</v>
      </c>
    </row>
    <row r="47" spans="1:17" x14ac:dyDescent="0.25">
      <c r="A47" s="1">
        <v>2018</v>
      </c>
      <c r="B47" s="1">
        <v>3</v>
      </c>
      <c r="C47" s="1" t="s">
        <v>21</v>
      </c>
      <c r="D47" s="1" t="s">
        <v>22</v>
      </c>
      <c r="E47" s="1" t="s">
        <v>23</v>
      </c>
      <c r="F47" s="1" t="s">
        <v>369</v>
      </c>
      <c r="G47" s="1" t="s">
        <v>370</v>
      </c>
      <c r="H47" s="1" t="s">
        <v>46</v>
      </c>
      <c r="I47" s="1" t="s">
        <v>308</v>
      </c>
      <c r="J47" s="1" t="s">
        <v>34</v>
      </c>
      <c r="K47" s="1" t="s">
        <v>309</v>
      </c>
      <c r="L47" s="1" t="s">
        <v>92</v>
      </c>
      <c r="M47" s="1">
        <v>4608.6811895506999</v>
      </c>
      <c r="N47" s="2">
        <f>M47/ActivityCenter!$L$6</f>
        <v>480.00000000486386</v>
      </c>
      <c r="Q47" s="1" t="s">
        <v>610</v>
      </c>
    </row>
    <row r="48" spans="1:17" x14ac:dyDescent="0.25">
      <c r="A48" s="1">
        <v>2018</v>
      </c>
      <c r="B48" s="1">
        <v>3</v>
      </c>
      <c r="C48" s="1" t="s">
        <v>21</v>
      </c>
      <c r="D48" s="1" t="s">
        <v>22</v>
      </c>
      <c r="E48" s="1" t="s">
        <v>23</v>
      </c>
      <c r="F48" s="1" t="s">
        <v>371</v>
      </c>
      <c r="G48" s="1" t="s">
        <v>372</v>
      </c>
      <c r="H48" s="1" t="s">
        <v>46</v>
      </c>
      <c r="I48" s="1" t="s">
        <v>308</v>
      </c>
      <c r="J48" s="1" t="s">
        <v>34</v>
      </c>
      <c r="K48" s="1" t="s">
        <v>309</v>
      </c>
      <c r="L48" s="1" t="s">
        <v>84</v>
      </c>
      <c r="M48" s="1">
        <v>3072.4541263671999</v>
      </c>
      <c r="N48" s="2">
        <f>M48/ActivityCenter!$L$6</f>
        <v>320.00000000324951</v>
      </c>
      <c r="Q48" s="1" t="s">
        <v>610</v>
      </c>
    </row>
    <row r="49" spans="1:17" x14ac:dyDescent="0.25">
      <c r="A49" s="1">
        <v>2018</v>
      </c>
      <c r="B49" s="1">
        <v>3</v>
      </c>
      <c r="C49" s="1" t="s">
        <v>21</v>
      </c>
      <c r="D49" s="1" t="s">
        <v>22</v>
      </c>
      <c r="E49" s="1" t="s">
        <v>23</v>
      </c>
      <c r="F49" s="1" t="s">
        <v>373</v>
      </c>
      <c r="G49" s="1" t="s">
        <v>374</v>
      </c>
      <c r="H49" s="1" t="s">
        <v>46</v>
      </c>
      <c r="I49" s="1" t="s">
        <v>308</v>
      </c>
      <c r="J49" s="1" t="s">
        <v>34</v>
      </c>
      <c r="K49" s="1" t="s">
        <v>309</v>
      </c>
      <c r="L49" s="1" t="s">
        <v>86</v>
      </c>
      <c r="M49" s="1">
        <v>1344.1986802855999</v>
      </c>
      <c r="N49" s="2">
        <f>M49/ActivityCenter!$L$6</f>
        <v>140.00000000141645</v>
      </c>
      <c r="Q49" s="1" t="s">
        <v>610</v>
      </c>
    </row>
    <row r="50" spans="1:17" x14ac:dyDescent="0.25">
      <c r="A50" s="1">
        <v>2018</v>
      </c>
      <c r="B50" s="1">
        <v>3</v>
      </c>
      <c r="C50" s="1" t="s">
        <v>21</v>
      </c>
      <c r="D50" s="1" t="s">
        <v>22</v>
      </c>
      <c r="E50" s="1" t="s">
        <v>23</v>
      </c>
      <c r="F50" s="1" t="s">
        <v>375</v>
      </c>
      <c r="G50" s="1" t="s">
        <v>376</v>
      </c>
      <c r="H50" s="1" t="s">
        <v>46</v>
      </c>
      <c r="I50" s="1" t="s">
        <v>308</v>
      </c>
      <c r="J50" s="1" t="s">
        <v>34</v>
      </c>
      <c r="K50" s="1" t="s">
        <v>309</v>
      </c>
      <c r="L50" s="1" t="s">
        <v>87</v>
      </c>
      <c r="M50" s="1">
        <v>1536.2270631836</v>
      </c>
      <c r="N50" s="2">
        <f>M50/ActivityCenter!$L$6</f>
        <v>160.00000000162476</v>
      </c>
      <c r="Q50" s="1" t="s">
        <v>610</v>
      </c>
    </row>
    <row r="51" spans="1:17" x14ac:dyDescent="0.25">
      <c r="A51" s="1">
        <v>2018</v>
      </c>
      <c r="B51" s="1">
        <v>3</v>
      </c>
      <c r="C51" s="1" t="s">
        <v>21</v>
      </c>
      <c r="D51" s="1" t="s">
        <v>22</v>
      </c>
      <c r="E51" s="1" t="s">
        <v>23</v>
      </c>
      <c r="F51" s="1" t="s">
        <v>377</v>
      </c>
      <c r="G51" s="1" t="s">
        <v>378</v>
      </c>
      <c r="H51" s="1" t="s">
        <v>46</v>
      </c>
      <c r="I51" s="1" t="s">
        <v>308</v>
      </c>
      <c r="J51" s="1" t="s">
        <v>34</v>
      </c>
      <c r="K51" s="1" t="s">
        <v>309</v>
      </c>
      <c r="L51" s="1" t="s">
        <v>85</v>
      </c>
      <c r="M51" s="1">
        <v>2304.3405947753999</v>
      </c>
      <c r="N51" s="2">
        <f>M51/ActivityCenter!$L$6</f>
        <v>240.00000000243716</v>
      </c>
      <c r="Q51" s="1" t="s">
        <v>610</v>
      </c>
    </row>
    <row r="52" spans="1:17" x14ac:dyDescent="0.25">
      <c r="A52" s="1">
        <v>2018</v>
      </c>
      <c r="B52" s="1">
        <v>3</v>
      </c>
      <c r="C52" s="1" t="s">
        <v>21</v>
      </c>
      <c r="D52" s="1" t="s">
        <v>22</v>
      </c>
      <c r="E52" s="1" t="s">
        <v>23</v>
      </c>
      <c r="F52" s="1" t="s">
        <v>379</v>
      </c>
      <c r="G52" s="1" t="s">
        <v>380</v>
      </c>
      <c r="H52" s="1" t="s">
        <v>46</v>
      </c>
      <c r="I52" s="1" t="s">
        <v>308</v>
      </c>
      <c r="J52" s="1" t="s">
        <v>34</v>
      </c>
      <c r="K52" s="1" t="s">
        <v>309</v>
      </c>
      <c r="L52" s="1" t="s">
        <v>92</v>
      </c>
      <c r="M52" s="1">
        <v>2304.3405947752999</v>
      </c>
      <c r="N52" s="2">
        <f>M52/ActivityCenter!$L$6</f>
        <v>240.00000000242673</v>
      </c>
      <c r="Q52" s="1" t="s">
        <v>610</v>
      </c>
    </row>
    <row r="53" spans="1:17" x14ac:dyDescent="0.25">
      <c r="A53" s="1">
        <v>2018</v>
      </c>
      <c r="B53" s="1">
        <v>3</v>
      </c>
      <c r="C53" s="1" t="s">
        <v>21</v>
      </c>
      <c r="D53" s="1" t="s">
        <v>22</v>
      </c>
      <c r="E53" s="1" t="s">
        <v>23</v>
      </c>
      <c r="F53" s="1" t="s">
        <v>381</v>
      </c>
      <c r="G53" s="1" t="s">
        <v>382</v>
      </c>
      <c r="H53" s="1" t="s">
        <v>46</v>
      </c>
      <c r="I53" s="1" t="s">
        <v>308</v>
      </c>
      <c r="J53" s="1" t="s">
        <v>34</v>
      </c>
      <c r="K53" s="1" t="s">
        <v>309</v>
      </c>
      <c r="L53" s="1" t="s">
        <v>92</v>
      </c>
      <c r="M53" s="1">
        <v>2304.3405947753999</v>
      </c>
      <c r="N53" s="2">
        <f>M53/ActivityCenter!$L$6</f>
        <v>240.00000000243716</v>
      </c>
      <c r="Q53" s="1" t="s">
        <v>610</v>
      </c>
    </row>
    <row r="54" spans="1:17" x14ac:dyDescent="0.25">
      <c r="A54" s="1">
        <v>2018</v>
      </c>
      <c r="B54" s="1">
        <v>3</v>
      </c>
      <c r="C54" s="1" t="s">
        <v>21</v>
      </c>
      <c r="D54" s="1" t="s">
        <v>22</v>
      </c>
      <c r="E54" s="1" t="s">
        <v>23</v>
      </c>
      <c r="F54" s="1" t="s">
        <v>383</v>
      </c>
      <c r="G54" s="1" t="s">
        <v>384</v>
      </c>
      <c r="H54" s="1" t="s">
        <v>46</v>
      </c>
      <c r="I54" s="1" t="s">
        <v>308</v>
      </c>
      <c r="J54" s="1" t="s">
        <v>34</v>
      </c>
      <c r="K54" s="1" t="s">
        <v>309</v>
      </c>
      <c r="L54" s="1" t="s">
        <v>90</v>
      </c>
      <c r="M54" s="1">
        <v>1022.5511389316</v>
      </c>
      <c r="N54" s="2">
        <f>M54/ActivityCenter!$L$6</f>
        <v>106.50000000108318</v>
      </c>
      <c r="Q54" s="1" t="s">
        <v>610</v>
      </c>
    </row>
    <row r="55" spans="1:17" x14ac:dyDescent="0.25">
      <c r="A55" s="1">
        <v>2018</v>
      </c>
      <c r="B55" s="1">
        <v>3</v>
      </c>
      <c r="C55" s="1" t="s">
        <v>21</v>
      </c>
      <c r="D55" s="1" t="s">
        <v>22</v>
      </c>
      <c r="E55" s="1" t="s">
        <v>23</v>
      </c>
      <c r="F55" s="1" t="s">
        <v>383</v>
      </c>
      <c r="G55" s="1" t="s">
        <v>384</v>
      </c>
      <c r="H55" s="1" t="s">
        <v>46</v>
      </c>
      <c r="I55" s="1" t="s">
        <v>308</v>
      </c>
      <c r="J55" s="1" t="s">
        <v>34</v>
      </c>
      <c r="K55" s="1" t="s">
        <v>309</v>
      </c>
      <c r="L55" s="1" t="s">
        <v>92</v>
      </c>
      <c r="M55" s="1">
        <v>3326.8917337070002</v>
      </c>
      <c r="N55" s="2">
        <f>M55/ActivityCenter!$L$6</f>
        <v>346.50000000352037</v>
      </c>
      <c r="Q55" s="1" t="s">
        <v>610</v>
      </c>
    </row>
    <row r="56" spans="1:17" x14ac:dyDescent="0.25">
      <c r="A56" s="1">
        <v>2018</v>
      </c>
      <c r="B56" s="1">
        <v>3</v>
      </c>
      <c r="C56" s="1" t="s">
        <v>21</v>
      </c>
      <c r="D56" s="1" t="s">
        <v>22</v>
      </c>
      <c r="E56" s="1" t="s">
        <v>23</v>
      </c>
      <c r="F56" s="1" t="s">
        <v>383</v>
      </c>
      <c r="G56" s="1" t="s">
        <v>384</v>
      </c>
      <c r="H56" s="1" t="s">
        <v>46</v>
      </c>
      <c r="I56" s="1" t="s">
        <v>308</v>
      </c>
      <c r="J56" s="1" t="s">
        <v>34</v>
      </c>
      <c r="K56" s="1" t="s">
        <v>309</v>
      </c>
      <c r="L56" s="1" t="s">
        <v>94</v>
      </c>
      <c r="M56" s="1">
        <v>4608.6811895507999</v>
      </c>
      <c r="N56" s="2">
        <f>M56/ActivityCenter!$L$6</f>
        <v>480.00000000487432</v>
      </c>
      <c r="Q56" s="1" t="s">
        <v>610</v>
      </c>
    </row>
    <row r="57" spans="1:17" x14ac:dyDescent="0.25">
      <c r="A57" s="1">
        <v>2018</v>
      </c>
      <c r="B57" s="1">
        <v>3</v>
      </c>
      <c r="C57" s="1" t="s">
        <v>21</v>
      </c>
      <c r="D57" s="1" t="s">
        <v>22</v>
      </c>
      <c r="E57" s="1" t="s">
        <v>23</v>
      </c>
      <c r="F57" s="1" t="s">
        <v>385</v>
      </c>
      <c r="G57" s="1" t="s">
        <v>386</v>
      </c>
      <c r="H57" s="1" t="s">
        <v>46</v>
      </c>
      <c r="I57" s="1" t="s">
        <v>308</v>
      </c>
      <c r="J57" s="1" t="s">
        <v>34</v>
      </c>
      <c r="K57" s="1" t="s">
        <v>309</v>
      </c>
      <c r="L57" s="1" t="s">
        <v>85</v>
      </c>
      <c r="M57" s="1">
        <v>2313.9420139202998</v>
      </c>
      <c r="N57" s="2">
        <f>M57/ActivityCenter!$L$6</f>
        <v>241.00000000244754</v>
      </c>
      <c r="Q57" s="1" t="s">
        <v>610</v>
      </c>
    </row>
    <row r="58" spans="1:17" x14ac:dyDescent="0.25">
      <c r="A58" s="1">
        <v>2018</v>
      </c>
      <c r="B58" s="1">
        <v>3</v>
      </c>
      <c r="C58" s="1" t="s">
        <v>21</v>
      </c>
      <c r="D58" s="1" t="s">
        <v>22</v>
      </c>
      <c r="E58" s="1" t="s">
        <v>23</v>
      </c>
      <c r="F58" s="1" t="s">
        <v>385</v>
      </c>
      <c r="G58" s="1" t="s">
        <v>386</v>
      </c>
      <c r="H58" s="1" t="s">
        <v>46</v>
      </c>
      <c r="I58" s="1" t="s">
        <v>308</v>
      </c>
      <c r="J58" s="1" t="s">
        <v>34</v>
      </c>
      <c r="K58" s="1" t="s">
        <v>309</v>
      </c>
      <c r="L58" s="1" t="s">
        <v>87</v>
      </c>
      <c r="M58" s="1">
        <v>1977.8923438489001</v>
      </c>
      <c r="N58" s="2">
        <f>M58/ActivityCenter!$L$6</f>
        <v>206.00000000209346</v>
      </c>
      <c r="Q58" s="1" t="s">
        <v>610</v>
      </c>
    </row>
    <row r="59" spans="1:17" x14ac:dyDescent="0.25">
      <c r="A59" s="1">
        <v>2018</v>
      </c>
      <c r="B59" s="1">
        <v>3</v>
      </c>
      <c r="C59" s="1" t="s">
        <v>21</v>
      </c>
      <c r="D59" s="1" t="s">
        <v>22</v>
      </c>
      <c r="E59" s="1" t="s">
        <v>23</v>
      </c>
      <c r="F59" s="1" t="s">
        <v>387</v>
      </c>
      <c r="G59" s="1" t="s">
        <v>388</v>
      </c>
      <c r="H59" s="1" t="s">
        <v>46</v>
      </c>
      <c r="I59" s="1" t="s">
        <v>308</v>
      </c>
      <c r="J59" s="1" t="s">
        <v>34</v>
      </c>
      <c r="K59" s="1" t="s">
        <v>309</v>
      </c>
      <c r="L59" s="1" t="s">
        <v>84</v>
      </c>
      <c r="M59" s="1">
        <v>2304.3405947753999</v>
      </c>
      <c r="N59" s="2">
        <f>M59/ActivityCenter!$L$6</f>
        <v>240.00000000243716</v>
      </c>
      <c r="Q59" s="1" t="s">
        <v>610</v>
      </c>
    </row>
    <row r="60" spans="1:17" x14ac:dyDescent="0.25">
      <c r="A60" s="1">
        <v>2018</v>
      </c>
      <c r="B60" s="1">
        <v>3</v>
      </c>
      <c r="C60" s="1" t="s">
        <v>21</v>
      </c>
      <c r="D60" s="1" t="s">
        <v>22</v>
      </c>
      <c r="E60" s="1" t="s">
        <v>23</v>
      </c>
      <c r="F60" s="1" t="s">
        <v>389</v>
      </c>
      <c r="G60" s="1" t="s">
        <v>390</v>
      </c>
      <c r="H60" s="1" t="s">
        <v>46</v>
      </c>
      <c r="I60" s="1" t="s">
        <v>308</v>
      </c>
      <c r="J60" s="1" t="s">
        <v>34</v>
      </c>
      <c r="K60" s="1" t="s">
        <v>309</v>
      </c>
      <c r="L60" s="1" t="s">
        <v>90</v>
      </c>
      <c r="M60" s="1">
        <v>1281.7894558437999</v>
      </c>
      <c r="N60" s="2">
        <f>M60/ActivityCenter!$L$6</f>
        <v>133.50000000135398</v>
      </c>
      <c r="Q60" s="1" t="s">
        <v>610</v>
      </c>
    </row>
    <row r="61" spans="1:17" x14ac:dyDescent="0.25">
      <c r="A61" s="1">
        <v>2018</v>
      </c>
      <c r="B61" s="1">
        <v>3</v>
      </c>
      <c r="C61" s="1" t="s">
        <v>21</v>
      </c>
      <c r="D61" s="1" t="s">
        <v>22</v>
      </c>
      <c r="E61" s="1" t="s">
        <v>23</v>
      </c>
      <c r="F61" s="1" t="s">
        <v>389</v>
      </c>
      <c r="G61" s="1" t="s">
        <v>390</v>
      </c>
      <c r="H61" s="1" t="s">
        <v>46</v>
      </c>
      <c r="I61" s="1" t="s">
        <v>308</v>
      </c>
      <c r="J61" s="1" t="s">
        <v>34</v>
      </c>
      <c r="K61" s="1" t="s">
        <v>309</v>
      </c>
      <c r="L61" s="1" t="s">
        <v>92</v>
      </c>
      <c r="M61" s="1">
        <v>3586.1300506192001</v>
      </c>
      <c r="N61" s="2">
        <f>M61/ActivityCenter!$L$6</f>
        <v>373.50000000379111</v>
      </c>
      <c r="Q61" s="1" t="s">
        <v>610</v>
      </c>
    </row>
    <row r="62" spans="1:17" x14ac:dyDescent="0.25">
      <c r="A62" s="1">
        <v>2018</v>
      </c>
      <c r="B62" s="1">
        <v>3</v>
      </c>
      <c r="C62" s="1" t="s">
        <v>21</v>
      </c>
      <c r="D62" s="1" t="s">
        <v>22</v>
      </c>
      <c r="E62" s="1" t="s">
        <v>23</v>
      </c>
      <c r="F62" s="1" t="s">
        <v>391</v>
      </c>
      <c r="G62" s="1" t="s">
        <v>392</v>
      </c>
      <c r="H62" s="1" t="s">
        <v>46</v>
      </c>
      <c r="I62" s="1" t="s">
        <v>308</v>
      </c>
      <c r="J62" s="1" t="s">
        <v>34</v>
      </c>
      <c r="K62" s="1" t="s">
        <v>309</v>
      </c>
      <c r="L62" s="1" t="s">
        <v>85</v>
      </c>
      <c r="M62" s="1">
        <v>2304.3405947753999</v>
      </c>
      <c r="N62" s="2">
        <f>M62/ActivityCenter!$L$6</f>
        <v>240.00000000243716</v>
      </c>
      <c r="Q62" s="1" t="s">
        <v>610</v>
      </c>
    </row>
    <row r="63" spans="1:17" x14ac:dyDescent="0.25">
      <c r="A63" s="1">
        <v>2018</v>
      </c>
      <c r="B63" s="1">
        <v>3</v>
      </c>
      <c r="C63" s="1" t="s">
        <v>21</v>
      </c>
      <c r="D63" s="1" t="s">
        <v>22</v>
      </c>
      <c r="E63" s="1" t="s">
        <v>23</v>
      </c>
      <c r="F63" s="1" t="s">
        <v>393</v>
      </c>
      <c r="G63" s="1" t="s">
        <v>394</v>
      </c>
      <c r="H63" s="1" t="s">
        <v>46</v>
      </c>
      <c r="I63" s="1" t="s">
        <v>308</v>
      </c>
      <c r="J63" s="1" t="s">
        <v>34</v>
      </c>
      <c r="K63" s="1" t="s">
        <v>309</v>
      </c>
      <c r="L63" s="1" t="s">
        <v>82</v>
      </c>
      <c r="M63" s="1">
        <v>1315.3944228508999</v>
      </c>
      <c r="N63" s="2">
        <f>M63/ActivityCenter!$L$6</f>
        <v>137.00000000138522</v>
      </c>
      <c r="Q63" s="1" t="s">
        <v>610</v>
      </c>
    </row>
    <row r="64" spans="1:17" x14ac:dyDescent="0.25">
      <c r="A64" s="1">
        <v>2018</v>
      </c>
      <c r="B64" s="1">
        <v>3</v>
      </c>
      <c r="C64" s="1" t="s">
        <v>21</v>
      </c>
      <c r="D64" s="1" t="s">
        <v>22</v>
      </c>
      <c r="E64" s="1" t="s">
        <v>23</v>
      </c>
      <c r="F64" s="1" t="s">
        <v>395</v>
      </c>
      <c r="G64" s="1" t="s">
        <v>396</v>
      </c>
      <c r="H64" s="1" t="s">
        <v>46</v>
      </c>
      <c r="I64" s="1" t="s">
        <v>308</v>
      </c>
      <c r="J64" s="1" t="s">
        <v>34</v>
      </c>
      <c r="K64" s="1" t="s">
        <v>309</v>
      </c>
      <c r="L64" s="1" t="s">
        <v>78</v>
      </c>
      <c r="M64" s="1">
        <v>614.49082527339999</v>
      </c>
      <c r="N64" s="2">
        <f>M64/ActivityCenter!$L$6</f>
        <v>64.000000000645741</v>
      </c>
      <c r="Q64" s="1" t="s">
        <v>610</v>
      </c>
    </row>
    <row r="65" spans="1:17" x14ac:dyDescent="0.25">
      <c r="A65" s="1">
        <v>2018</v>
      </c>
      <c r="B65" s="1">
        <v>3</v>
      </c>
      <c r="C65" s="1" t="s">
        <v>21</v>
      </c>
      <c r="D65" s="1" t="s">
        <v>22</v>
      </c>
      <c r="E65" s="1" t="s">
        <v>23</v>
      </c>
      <c r="F65" s="1" t="s">
        <v>395</v>
      </c>
      <c r="G65" s="1" t="s">
        <v>396</v>
      </c>
      <c r="H65" s="1" t="s">
        <v>46</v>
      </c>
      <c r="I65" s="1" t="s">
        <v>308</v>
      </c>
      <c r="J65" s="1" t="s">
        <v>34</v>
      </c>
      <c r="K65" s="1" t="s">
        <v>309</v>
      </c>
      <c r="L65" s="1" t="s">
        <v>85</v>
      </c>
      <c r="M65" s="1">
        <v>8295.6261411914002</v>
      </c>
      <c r="N65" s="2">
        <f>M65/ActivityCenter!$L$6</f>
        <v>864.00000000876958</v>
      </c>
      <c r="Q65" s="1" t="s">
        <v>610</v>
      </c>
    </row>
    <row r="66" spans="1:17" x14ac:dyDescent="0.25">
      <c r="A66" s="1">
        <v>2018</v>
      </c>
      <c r="B66" s="1">
        <v>3</v>
      </c>
      <c r="C66" s="1" t="s">
        <v>21</v>
      </c>
      <c r="D66" s="1" t="s">
        <v>22</v>
      </c>
      <c r="E66" s="1" t="s">
        <v>23</v>
      </c>
      <c r="F66" s="1" t="s">
        <v>397</v>
      </c>
      <c r="G66" s="1" t="s">
        <v>398</v>
      </c>
      <c r="H66" s="1" t="s">
        <v>46</v>
      </c>
      <c r="I66" s="1" t="s">
        <v>308</v>
      </c>
      <c r="J66" s="1" t="s">
        <v>34</v>
      </c>
      <c r="K66" s="1" t="s">
        <v>309</v>
      </c>
      <c r="L66" s="1" t="s">
        <v>82</v>
      </c>
      <c r="M66" s="1">
        <v>772.91424116420001</v>
      </c>
      <c r="N66" s="2">
        <f>M66/ActivityCenter!$L$6</f>
        <v>80.500000000812392</v>
      </c>
      <c r="Q66" s="1" t="s">
        <v>610</v>
      </c>
    </row>
    <row r="67" spans="1:17" x14ac:dyDescent="0.25">
      <c r="A67" s="1">
        <v>2018</v>
      </c>
      <c r="B67" s="1">
        <v>3</v>
      </c>
      <c r="C67" s="1" t="s">
        <v>21</v>
      </c>
      <c r="D67" s="1" t="s">
        <v>22</v>
      </c>
      <c r="E67" s="1" t="s">
        <v>23</v>
      </c>
      <c r="F67" s="1" t="s">
        <v>397</v>
      </c>
      <c r="G67" s="1" t="s">
        <v>398</v>
      </c>
      <c r="H67" s="1" t="s">
        <v>46</v>
      </c>
      <c r="I67" s="1" t="s">
        <v>308</v>
      </c>
      <c r="J67" s="1" t="s">
        <v>34</v>
      </c>
      <c r="K67" s="1" t="s">
        <v>309</v>
      </c>
      <c r="L67" s="1" t="s">
        <v>84</v>
      </c>
      <c r="M67" s="1">
        <v>2088.3086640151</v>
      </c>
      <c r="N67" s="2">
        <f>M67/ActivityCenter!$L$6</f>
        <v>217.50000000219759</v>
      </c>
      <c r="Q67" s="1" t="s">
        <v>610</v>
      </c>
    </row>
    <row r="68" spans="1:17" x14ac:dyDescent="0.25">
      <c r="A68" s="1">
        <v>2018</v>
      </c>
      <c r="B68" s="1">
        <v>3</v>
      </c>
      <c r="C68" s="1" t="s">
        <v>21</v>
      </c>
      <c r="D68" s="1" t="s">
        <v>22</v>
      </c>
      <c r="E68" s="1" t="s">
        <v>23</v>
      </c>
      <c r="F68" s="1" t="s">
        <v>399</v>
      </c>
      <c r="G68" s="1" t="s">
        <v>400</v>
      </c>
      <c r="H68" s="1" t="s">
        <v>46</v>
      </c>
      <c r="I68" s="1" t="s">
        <v>308</v>
      </c>
      <c r="J68" s="1" t="s">
        <v>34</v>
      </c>
      <c r="K68" s="1" t="s">
        <v>309</v>
      </c>
      <c r="L68" s="1" t="s">
        <v>78</v>
      </c>
      <c r="M68" s="1">
        <v>748.91069330200003</v>
      </c>
      <c r="N68" s="2">
        <f>M68/ActivityCenter!$L$6</f>
        <v>78.000000000791559</v>
      </c>
      <c r="Q68" s="1" t="s">
        <v>610</v>
      </c>
    </row>
    <row r="69" spans="1:17" x14ac:dyDescent="0.25">
      <c r="A69" s="1">
        <v>2018</v>
      </c>
      <c r="B69" s="1">
        <v>3</v>
      </c>
      <c r="C69" s="1" t="s">
        <v>21</v>
      </c>
      <c r="D69" s="1" t="s">
        <v>22</v>
      </c>
      <c r="E69" s="1" t="s">
        <v>23</v>
      </c>
      <c r="F69" s="1" t="s">
        <v>399</v>
      </c>
      <c r="G69" s="1" t="s">
        <v>400</v>
      </c>
      <c r="H69" s="1" t="s">
        <v>46</v>
      </c>
      <c r="I69" s="1" t="s">
        <v>308</v>
      </c>
      <c r="J69" s="1" t="s">
        <v>34</v>
      </c>
      <c r="K69" s="1" t="s">
        <v>309</v>
      </c>
      <c r="L69" s="1" t="s">
        <v>85</v>
      </c>
      <c r="M69" s="1">
        <v>3293.2867666998</v>
      </c>
      <c r="N69" s="2">
        <f>M69/ActivityCenter!$L$6</f>
        <v>343.00000000347865</v>
      </c>
      <c r="Q69" s="1" t="s">
        <v>610</v>
      </c>
    </row>
    <row r="70" spans="1:17" x14ac:dyDescent="0.25">
      <c r="A70" s="1">
        <v>2018</v>
      </c>
      <c r="B70" s="1">
        <v>3</v>
      </c>
      <c r="C70" s="1" t="s">
        <v>21</v>
      </c>
      <c r="D70" s="1" t="s">
        <v>22</v>
      </c>
      <c r="E70" s="1" t="s">
        <v>23</v>
      </c>
      <c r="F70" s="1" t="s">
        <v>401</v>
      </c>
      <c r="G70" s="1" t="s">
        <v>402</v>
      </c>
      <c r="H70" s="1" t="s">
        <v>46</v>
      </c>
      <c r="I70" s="1" t="s">
        <v>308</v>
      </c>
      <c r="J70" s="1" t="s">
        <v>34</v>
      </c>
      <c r="K70" s="1" t="s">
        <v>309</v>
      </c>
      <c r="L70" s="1" t="s">
        <v>85</v>
      </c>
      <c r="M70" s="1">
        <v>1536.2270631836</v>
      </c>
      <c r="N70" s="2">
        <f>M70/ActivityCenter!$L$6</f>
        <v>160.00000000162476</v>
      </c>
      <c r="Q70" s="1" t="s">
        <v>610</v>
      </c>
    </row>
    <row r="71" spans="1:17" x14ac:dyDescent="0.25">
      <c r="A71" s="1">
        <v>2018</v>
      </c>
      <c r="B71" s="1">
        <v>3</v>
      </c>
      <c r="C71" s="1" t="s">
        <v>21</v>
      </c>
      <c r="D71" s="1" t="s">
        <v>22</v>
      </c>
      <c r="E71" s="1" t="s">
        <v>23</v>
      </c>
      <c r="F71" s="1" t="s">
        <v>403</v>
      </c>
      <c r="G71" s="1" t="s">
        <v>404</v>
      </c>
      <c r="H71" s="1" t="s">
        <v>46</v>
      </c>
      <c r="I71" s="1" t="s">
        <v>308</v>
      </c>
      <c r="J71" s="1" t="s">
        <v>34</v>
      </c>
      <c r="K71" s="1" t="s">
        <v>309</v>
      </c>
      <c r="L71" s="1" t="s">
        <v>78</v>
      </c>
      <c r="M71" s="1">
        <v>1541.0277727560001</v>
      </c>
      <c r="N71" s="2">
        <f>M71/ActivityCenter!$L$6</f>
        <v>160.50000000162478</v>
      </c>
      <c r="Q71" s="1" t="s">
        <v>610</v>
      </c>
    </row>
    <row r="72" spans="1:17" x14ac:dyDescent="0.25">
      <c r="A72" s="1">
        <v>2018</v>
      </c>
      <c r="B72" s="1">
        <v>3</v>
      </c>
      <c r="C72" s="1" t="s">
        <v>21</v>
      </c>
      <c r="D72" s="1" t="s">
        <v>22</v>
      </c>
      <c r="E72" s="1" t="s">
        <v>23</v>
      </c>
      <c r="F72" s="1" t="s">
        <v>403</v>
      </c>
      <c r="G72" s="1" t="s">
        <v>404</v>
      </c>
      <c r="H72" s="1" t="s">
        <v>46</v>
      </c>
      <c r="I72" s="1" t="s">
        <v>308</v>
      </c>
      <c r="J72" s="1" t="s">
        <v>34</v>
      </c>
      <c r="K72" s="1" t="s">
        <v>309</v>
      </c>
      <c r="L72" s="1" t="s">
        <v>82</v>
      </c>
      <c r="M72" s="1">
        <v>1541.0277727560001</v>
      </c>
      <c r="N72" s="2">
        <f>M72/ActivityCenter!$L$6</f>
        <v>160.50000000162478</v>
      </c>
      <c r="Q72" s="1" t="s">
        <v>610</v>
      </c>
    </row>
    <row r="73" spans="1:17" x14ac:dyDescent="0.25">
      <c r="A73" s="1">
        <v>2018</v>
      </c>
      <c r="B73" s="1">
        <v>3</v>
      </c>
      <c r="C73" s="1" t="s">
        <v>21</v>
      </c>
      <c r="D73" s="1" t="s">
        <v>22</v>
      </c>
      <c r="E73" s="1" t="s">
        <v>23</v>
      </c>
      <c r="F73" s="1" t="s">
        <v>403</v>
      </c>
      <c r="G73" s="1" t="s">
        <v>404</v>
      </c>
      <c r="H73" s="1" t="s">
        <v>46</v>
      </c>
      <c r="I73" s="1" t="s">
        <v>308</v>
      </c>
      <c r="J73" s="1" t="s">
        <v>34</v>
      </c>
      <c r="K73" s="1" t="s">
        <v>309</v>
      </c>
      <c r="L73" s="1" t="s">
        <v>86</v>
      </c>
      <c r="M73" s="1">
        <v>1997.0951821387</v>
      </c>
      <c r="N73" s="2">
        <f>M73/ActivityCenter!$L$6</f>
        <v>208.00000000211429</v>
      </c>
      <c r="Q73" s="1" t="s">
        <v>610</v>
      </c>
    </row>
    <row r="74" spans="1:17" x14ac:dyDescent="0.25">
      <c r="A74" s="1">
        <v>2018</v>
      </c>
      <c r="B74" s="1">
        <v>3</v>
      </c>
      <c r="C74" s="1" t="s">
        <v>21</v>
      </c>
      <c r="D74" s="1" t="s">
        <v>22</v>
      </c>
      <c r="E74" s="1" t="s">
        <v>23</v>
      </c>
      <c r="F74" s="1" t="s">
        <v>405</v>
      </c>
      <c r="G74" s="1" t="s">
        <v>406</v>
      </c>
      <c r="H74" s="1" t="s">
        <v>46</v>
      </c>
      <c r="I74" s="1" t="s">
        <v>308</v>
      </c>
      <c r="J74" s="1" t="s">
        <v>34</v>
      </c>
      <c r="K74" s="1" t="s">
        <v>309</v>
      </c>
      <c r="L74" s="1" t="s">
        <v>78</v>
      </c>
      <c r="M74" s="1">
        <v>763.31282201930003</v>
      </c>
      <c r="N74" s="2">
        <f>M74/ActivityCenter!$L$6</f>
        <v>79.500000000801975</v>
      </c>
      <c r="Q74" s="1" t="s">
        <v>610</v>
      </c>
    </row>
    <row r="75" spans="1:17" x14ac:dyDescent="0.25">
      <c r="A75" s="1">
        <v>2018</v>
      </c>
      <c r="B75" s="1">
        <v>3</v>
      </c>
      <c r="C75" s="1" t="s">
        <v>21</v>
      </c>
      <c r="D75" s="1" t="s">
        <v>22</v>
      </c>
      <c r="E75" s="1" t="s">
        <v>23</v>
      </c>
      <c r="F75" s="1" t="s">
        <v>405</v>
      </c>
      <c r="G75" s="1" t="s">
        <v>406</v>
      </c>
      <c r="H75" s="1" t="s">
        <v>46</v>
      </c>
      <c r="I75" s="1" t="s">
        <v>308</v>
      </c>
      <c r="J75" s="1" t="s">
        <v>34</v>
      </c>
      <c r="K75" s="1" t="s">
        <v>309</v>
      </c>
      <c r="L75" s="1" t="s">
        <v>82</v>
      </c>
      <c r="M75" s="1">
        <v>763.31282201930003</v>
      </c>
      <c r="N75" s="2">
        <f>M75/ActivityCenter!$L$6</f>
        <v>79.500000000801975</v>
      </c>
      <c r="Q75" s="1" t="s">
        <v>610</v>
      </c>
    </row>
    <row r="76" spans="1:17" x14ac:dyDescent="0.25">
      <c r="A76" s="1">
        <v>2018</v>
      </c>
      <c r="B76" s="1">
        <v>3</v>
      </c>
      <c r="C76" s="1" t="s">
        <v>21</v>
      </c>
      <c r="D76" s="1" t="s">
        <v>22</v>
      </c>
      <c r="E76" s="1" t="s">
        <v>23</v>
      </c>
      <c r="F76" s="1" t="s">
        <v>407</v>
      </c>
      <c r="G76" s="1" t="s">
        <v>408</v>
      </c>
      <c r="H76" s="1" t="s">
        <v>46</v>
      </c>
      <c r="I76" s="1" t="s">
        <v>308</v>
      </c>
      <c r="J76" s="1" t="s">
        <v>34</v>
      </c>
      <c r="K76" s="1" t="s">
        <v>309</v>
      </c>
      <c r="L76" s="1" t="s">
        <v>85</v>
      </c>
      <c r="M76" s="1">
        <v>1315.3944228508999</v>
      </c>
      <c r="N76" s="2">
        <f>M76/ActivityCenter!$L$6</f>
        <v>137.00000000138522</v>
      </c>
      <c r="Q76" s="1" t="s">
        <v>610</v>
      </c>
    </row>
    <row r="77" spans="1:17" x14ac:dyDescent="0.25">
      <c r="A77" s="1">
        <v>2018</v>
      </c>
      <c r="B77" s="1">
        <v>3</v>
      </c>
      <c r="C77" s="1" t="s">
        <v>21</v>
      </c>
      <c r="D77" s="1" t="s">
        <v>22</v>
      </c>
      <c r="E77" s="1" t="s">
        <v>23</v>
      </c>
      <c r="F77" s="1" t="s">
        <v>409</v>
      </c>
      <c r="G77" s="1" t="s">
        <v>410</v>
      </c>
      <c r="H77" s="1" t="s">
        <v>46</v>
      </c>
      <c r="I77" s="1" t="s">
        <v>308</v>
      </c>
      <c r="J77" s="1" t="s">
        <v>34</v>
      </c>
      <c r="K77" s="1" t="s">
        <v>309</v>
      </c>
      <c r="L77" s="1" t="s">
        <v>87</v>
      </c>
      <c r="M77" s="1">
        <v>681.70075928769995</v>
      </c>
      <c r="N77" s="2">
        <f>M77/ActivityCenter!$L$6</f>
        <v>71.000000000718643</v>
      </c>
      <c r="Q77" s="1" t="s">
        <v>610</v>
      </c>
    </row>
    <row r="78" spans="1:17" x14ac:dyDescent="0.25">
      <c r="A78" s="1">
        <v>2018</v>
      </c>
      <c r="B78" s="1">
        <v>3</v>
      </c>
      <c r="C78" s="1" t="s">
        <v>21</v>
      </c>
      <c r="D78" s="1" t="s">
        <v>22</v>
      </c>
      <c r="E78" s="1" t="s">
        <v>23</v>
      </c>
      <c r="F78" s="1" t="s">
        <v>411</v>
      </c>
      <c r="G78" s="1" t="s">
        <v>412</v>
      </c>
      <c r="H78" s="1" t="s">
        <v>46</v>
      </c>
      <c r="I78" s="1" t="s">
        <v>308</v>
      </c>
      <c r="J78" s="1" t="s">
        <v>34</v>
      </c>
      <c r="K78" s="1" t="s">
        <v>309</v>
      </c>
      <c r="L78" s="1" t="s">
        <v>86</v>
      </c>
      <c r="M78" s="1">
        <v>4608.6811895507999</v>
      </c>
      <c r="N78" s="2">
        <f>M78/ActivityCenter!$L$6</f>
        <v>480.00000000487432</v>
      </c>
      <c r="Q78" s="1" t="s">
        <v>601</v>
      </c>
    </row>
    <row r="79" spans="1:17" x14ac:dyDescent="0.25">
      <c r="A79" s="1">
        <v>2018</v>
      </c>
      <c r="B79" s="1">
        <v>3</v>
      </c>
      <c r="C79" s="1" t="s">
        <v>21</v>
      </c>
      <c r="D79" s="1" t="s">
        <v>22</v>
      </c>
      <c r="E79" s="1" t="s">
        <v>23</v>
      </c>
      <c r="F79" s="1" t="s">
        <v>413</v>
      </c>
      <c r="G79" s="1" t="s">
        <v>414</v>
      </c>
      <c r="H79" s="1" t="s">
        <v>46</v>
      </c>
      <c r="I79" s="1" t="s">
        <v>308</v>
      </c>
      <c r="J79" s="1" t="s">
        <v>34</v>
      </c>
      <c r="K79" s="1" t="s">
        <v>309</v>
      </c>
      <c r="L79" s="1" t="s">
        <v>84</v>
      </c>
      <c r="M79" s="1">
        <v>1843.4724758202999</v>
      </c>
      <c r="N79" s="2">
        <f>M79/ActivityCenter!$L$6</f>
        <v>192.00000000194763</v>
      </c>
      <c r="Q79" s="1" t="s">
        <v>601</v>
      </c>
    </row>
    <row r="80" spans="1:17" x14ac:dyDescent="0.25">
      <c r="A80" s="1">
        <v>2018</v>
      </c>
      <c r="B80" s="1">
        <v>3</v>
      </c>
      <c r="C80" s="1" t="s">
        <v>21</v>
      </c>
      <c r="D80" s="1" t="s">
        <v>22</v>
      </c>
      <c r="E80" s="1" t="s">
        <v>23</v>
      </c>
      <c r="F80" s="1" t="s">
        <v>415</v>
      </c>
      <c r="G80" s="1" t="s">
        <v>416</v>
      </c>
      <c r="H80" s="1" t="s">
        <v>46</v>
      </c>
      <c r="I80" s="1" t="s">
        <v>308</v>
      </c>
      <c r="J80" s="1" t="s">
        <v>34</v>
      </c>
      <c r="K80" s="1" t="s">
        <v>309</v>
      </c>
      <c r="L80" s="1" t="s">
        <v>85</v>
      </c>
      <c r="M80" s="1">
        <v>144.02128717350001</v>
      </c>
      <c r="N80" s="2">
        <f>M80/ActivityCenter!$L$6</f>
        <v>15.000000000156229</v>
      </c>
      <c r="Q80" s="1" t="s">
        <v>601</v>
      </c>
    </row>
    <row r="81" spans="1:17" x14ac:dyDescent="0.25">
      <c r="A81" s="1">
        <v>2018</v>
      </c>
      <c r="B81" s="1">
        <v>3</v>
      </c>
      <c r="C81" s="1" t="s">
        <v>21</v>
      </c>
      <c r="D81" s="1" t="s">
        <v>22</v>
      </c>
      <c r="E81" s="1" t="s">
        <v>23</v>
      </c>
      <c r="F81" s="1" t="s">
        <v>417</v>
      </c>
      <c r="G81" s="1" t="s">
        <v>418</v>
      </c>
      <c r="H81" s="1" t="s">
        <v>46</v>
      </c>
      <c r="I81" s="1" t="s">
        <v>308</v>
      </c>
      <c r="J81" s="1" t="s">
        <v>34</v>
      </c>
      <c r="K81" s="1" t="s">
        <v>309</v>
      </c>
      <c r="L81" s="1" t="s">
        <v>84</v>
      </c>
      <c r="M81" s="1">
        <v>1536.2270631836</v>
      </c>
      <c r="N81" s="2">
        <f>M81/ActivityCenter!$L$6</f>
        <v>160.00000000162476</v>
      </c>
      <c r="Q81" s="1" t="s">
        <v>601</v>
      </c>
    </row>
    <row r="82" spans="1:17" x14ac:dyDescent="0.25">
      <c r="A82" s="1">
        <v>2018</v>
      </c>
      <c r="B82" s="1">
        <v>3</v>
      </c>
      <c r="C82" s="1" t="s">
        <v>21</v>
      </c>
      <c r="D82" s="1" t="s">
        <v>22</v>
      </c>
      <c r="E82" s="1" t="s">
        <v>23</v>
      </c>
      <c r="F82" s="1" t="s">
        <v>419</v>
      </c>
      <c r="G82" s="1" t="s">
        <v>420</v>
      </c>
      <c r="H82" s="1" t="s">
        <v>46</v>
      </c>
      <c r="I82" s="1" t="s">
        <v>308</v>
      </c>
      <c r="J82" s="1" t="s">
        <v>34</v>
      </c>
      <c r="K82" s="1" t="s">
        <v>309</v>
      </c>
      <c r="L82" s="1" t="s">
        <v>85</v>
      </c>
      <c r="M82" s="1">
        <v>1824.2696375304999</v>
      </c>
      <c r="N82" s="2">
        <f>M82/ActivityCenter!$L$6</f>
        <v>190.00000000192679</v>
      </c>
      <c r="Q82" s="1" t="s">
        <v>601</v>
      </c>
    </row>
    <row r="83" spans="1:17" x14ac:dyDescent="0.25">
      <c r="A83" s="1">
        <v>2018</v>
      </c>
      <c r="B83" s="1">
        <v>3</v>
      </c>
      <c r="C83" s="1" t="s">
        <v>21</v>
      </c>
      <c r="D83" s="1" t="s">
        <v>22</v>
      </c>
      <c r="E83" s="1" t="s">
        <v>23</v>
      </c>
      <c r="F83" s="1" t="s">
        <v>421</v>
      </c>
      <c r="G83" s="1" t="s">
        <v>422</v>
      </c>
      <c r="H83" s="1" t="s">
        <v>46</v>
      </c>
      <c r="I83" s="1" t="s">
        <v>308</v>
      </c>
      <c r="J83" s="1" t="s">
        <v>34</v>
      </c>
      <c r="K83" s="1" t="s">
        <v>309</v>
      </c>
      <c r="L83" s="1" t="s">
        <v>84</v>
      </c>
      <c r="M83" s="1">
        <v>4608.6811895507999</v>
      </c>
      <c r="N83" s="2">
        <f>M83/ActivityCenter!$L$6</f>
        <v>480.00000000487432</v>
      </c>
      <c r="Q83" s="1" t="s">
        <v>601</v>
      </c>
    </row>
    <row r="84" spans="1:17" x14ac:dyDescent="0.25">
      <c r="A84" s="1">
        <v>2018</v>
      </c>
      <c r="B84" s="1">
        <v>3</v>
      </c>
      <c r="C84" s="1" t="s">
        <v>21</v>
      </c>
      <c r="D84" s="1" t="s">
        <v>22</v>
      </c>
      <c r="E84" s="1" t="s">
        <v>23</v>
      </c>
      <c r="F84" s="1" t="s">
        <v>423</v>
      </c>
      <c r="G84" s="1" t="s">
        <v>424</v>
      </c>
      <c r="H84" s="1" t="s">
        <v>46</v>
      </c>
      <c r="I84" s="1" t="s">
        <v>308</v>
      </c>
      <c r="J84" s="1" t="s">
        <v>34</v>
      </c>
      <c r="K84" s="1" t="s">
        <v>309</v>
      </c>
      <c r="L84" s="1" t="s">
        <v>84</v>
      </c>
      <c r="M84" s="1">
        <v>6144.9082527341998</v>
      </c>
      <c r="N84" s="2">
        <f>M84/ActivityCenter!$L$6</f>
        <v>640.00000000647822</v>
      </c>
      <c r="Q84" s="1" t="s">
        <v>601</v>
      </c>
    </row>
    <row r="85" spans="1:17" x14ac:dyDescent="0.25">
      <c r="A85" s="1">
        <v>2018</v>
      </c>
      <c r="B85" s="1">
        <v>3</v>
      </c>
      <c r="C85" s="1" t="s">
        <v>21</v>
      </c>
      <c r="D85" s="1" t="s">
        <v>22</v>
      </c>
      <c r="E85" s="1" t="s">
        <v>23</v>
      </c>
      <c r="F85" s="1" t="s">
        <v>425</v>
      </c>
      <c r="G85" s="1" t="s">
        <v>426</v>
      </c>
      <c r="H85" s="1" t="s">
        <v>46</v>
      </c>
      <c r="I85" s="1" t="s">
        <v>308</v>
      </c>
      <c r="J85" s="1" t="s">
        <v>34</v>
      </c>
      <c r="K85" s="1" t="s">
        <v>309</v>
      </c>
      <c r="L85" s="1" t="s">
        <v>84</v>
      </c>
      <c r="M85" s="1">
        <v>864.12772304079999</v>
      </c>
      <c r="N85" s="2">
        <f>M85/ActivityCenter!$L$6</f>
        <v>90.000000000916529</v>
      </c>
      <c r="Q85" s="1" t="s">
        <v>601</v>
      </c>
    </row>
    <row r="86" spans="1:17" x14ac:dyDescent="0.25">
      <c r="A86" s="1">
        <v>2018</v>
      </c>
      <c r="B86" s="1">
        <v>3</v>
      </c>
      <c r="C86" s="1" t="s">
        <v>21</v>
      </c>
      <c r="D86" s="1" t="s">
        <v>22</v>
      </c>
      <c r="E86" s="1" t="s">
        <v>23</v>
      </c>
      <c r="F86" s="1" t="s">
        <v>425</v>
      </c>
      <c r="G86" s="1" t="s">
        <v>426</v>
      </c>
      <c r="H86" s="1" t="s">
        <v>46</v>
      </c>
      <c r="I86" s="1" t="s">
        <v>308</v>
      </c>
      <c r="J86" s="1" t="s">
        <v>34</v>
      </c>
      <c r="K86" s="1" t="s">
        <v>309</v>
      </c>
      <c r="L86" s="1" t="s">
        <v>87</v>
      </c>
      <c r="M86" s="1">
        <v>48.007095724499997</v>
      </c>
      <c r="N86" s="2">
        <f>M86/ActivityCenter!$L$6</f>
        <v>5.0000000000520757</v>
      </c>
      <c r="Q86" s="1" t="s">
        <v>601</v>
      </c>
    </row>
    <row r="87" spans="1:17" x14ac:dyDescent="0.25">
      <c r="A87" s="1">
        <v>2018</v>
      </c>
      <c r="B87" s="1">
        <v>3</v>
      </c>
      <c r="C87" s="1" t="s">
        <v>21</v>
      </c>
      <c r="D87" s="1" t="s">
        <v>22</v>
      </c>
      <c r="E87" s="1" t="s">
        <v>23</v>
      </c>
      <c r="F87" s="1" t="s">
        <v>427</v>
      </c>
      <c r="G87" s="1" t="s">
        <v>428</v>
      </c>
      <c r="H87" s="1" t="s">
        <v>46</v>
      </c>
      <c r="I87" s="1" t="s">
        <v>308</v>
      </c>
      <c r="J87" s="1" t="s">
        <v>34</v>
      </c>
      <c r="K87" s="1" t="s">
        <v>309</v>
      </c>
      <c r="L87" s="1" t="s">
        <v>84</v>
      </c>
      <c r="M87" s="1">
        <v>4608.6811895507999</v>
      </c>
      <c r="N87" s="2">
        <f>M87/ActivityCenter!$L$6</f>
        <v>480.00000000487432</v>
      </c>
      <c r="Q87" s="1" t="s">
        <v>601</v>
      </c>
    </row>
    <row r="88" spans="1:17" x14ac:dyDescent="0.25">
      <c r="A88" s="1">
        <v>2018</v>
      </c>
      <c r="B88" s="1">
        <v>3</v>
      </c>
      <c r="C88" s="1" t="s">
        <v>21</v>
      </c>
      <c r="D88" s="1" t="s">
        <v>22</v>
      </c>
      <c r="E88" s="1" t="s">
        <v>23</v>
      </c>
      <c r="F88" s="1" t="s">
        <v>429</v>
      </c>
      <c r="G88" s="1" t="s">
        <v>430</v>
      </c>
      <c r="H88" s="1" t="s">
        <v>46</v>
      </c>
      <c r="I88" s="1" t="s">
        <v>308</v>
      </c>
      <c r="J88" s="1" t="s">
        <v>34</v>
      </c>
      <c r="K88" s="1" t="s">
        <v>309</v>
      </c>
      <c r="L88" s="1" t="s">
        <v>87</v>
      </c>
      <c r="M88" s="1">
        <v>748.91069330200003</v>
      </c>
      <c r="N88" s="2">
        <f>M88/ActivityCenter!$L$6</f>
        <v>78.000000000791559</v>
      </c>
      <c r="Q88" s="1" t="s">
        <v>601</v>
      </c>
    </row>
    <row r="89" spans="1:17" x14ac:dyDescent="0.25">
      <c r="A89" s="1">
        <v>2018</v>
      </c>
      <c r="B89" s="1">
        <v>3</v>
      </c>
      <c r="C89" s="1" t="s">
        <v>21</v>
      </c>
      <c r="D89" s="1" t="s">
        <v>22</v>
      </c>
      <c r="E89" s="1" t="s">
        <v>23</v>
      </c>
      <c r="F89" s="1" t="s">
        <v>431</v>
      </c>
      <c r="G89" s="1" t="s">
        <v>432</v>
      </c>
      <c r="H89" s="1" t="s">
        <v>46</v>
      </c>
      <c r="I89" s="1" t="s">
        <v>308</v>
      </c>
      <c r="J89" s="1" t="s">
        <v>34</v>
      </c>
      <c r="K89" s="1" t="s">
        <v>309</v>
      </c>
      <c r="L89" s="1" t="s">
        <v>85</v>
      </c>
      <c r="M89" s="1">
        <v>1862.6753141101001</v>
      </c>
      <c r="N89" s="2">
        <f>M89/ActivityCenter!$L$6</f>
        <v>194.00000000196849</v>
      </c>
      <c r="Q89" s="1" t="s">
        <v>601</v>
      </c>
    </row>
    <row r="90" spans="1:17" x14ac:dyDescent="0.25">
      <c r="A90" s="1">
        <v>2018</v>
      </c>
      <c r="B90" s="1">
        <v>3</v>
      </c>
      <c r="C90" s="1" t="s">
        <v>21</v>
      </c>
      <c r="D90" s="1" t="s">
        <v>22</v>
      </c>
      <c r="E90" s="1" t="s">
        <v>23</v>
      </c>
      <c r="F90" s="1" t="s">
        <v>433</v>
      </c>
      <c r="G90" s="1" t="s">
        <v>434</v>
      </c>
      <c r="H90" s="1" t="s">
        <v>46</v>
      </c>
      <c r="I90" s="1" t="s">
        <v>308</v>
      </c>
      <c r="J90" s="1" t="s">
        <v>34</v>
      </c>
      <c r="K90" s="1" t="s">
        <v>309</v>
      </c>
      <c r="L90" s="1" t="s">
        <v>85</v>
      </c>
      <c r="M90" s="1">
        <v>2208.3264033263999</v>
      </c>
      <c r="N90" s="2">
        <f>M90/ActivityCenter!$L$6</f>
        <v>230.000000002333</v>
      </c>
      <c r="Q90" s="1" t="s">
        <v>601</v>
      </c>
    </row>
    <row r="91" spans="1:17" x14ac:dyDescent="0.25">
      <c r="A91" s="1">
        <v>2018</v>
      </c>
      <c r="B91" s="1">
        <v>3</v>
      </c>
      <c r="C91" s="1" t="s">
        <v>21</v>
      </c>
      <c r="D91" s="1" t="s">
        <v>22</v>
      </c>
      <c r="E91" s="1" t="s">
        <v>23</v>
      </c>
      <c r="F91" s="1" t="s">
        <v>435</v>
      </c>
      <c r="G91" s="1" t="s">
        <v>436</v>
      </c>
      <c r="H91" s="1" t="s">
        <v>46</v>
      </c>
      <c r="I91" s="1" t="s">
        <v>308</v>
      </c>
      <c r="J91" s="1" t="s">
        <v>34</v>
      </c>
      <c r="K91" s="1" t="s">
        <v>309</v>
      </c>
      <c r="L91" s="1" t="s">
        <v>85</v>
      </c>
      <c r="M91" s="1">
        <v>969.7433336345</v>
      </c>
      <c r="N91" s="2">
        <f>M91/ActivityCenter!$L$6</f>
        <v>101.00000000101028</v>
      </c>
      <c r="Q91" s="1" t="s">
        <v>601</v>
      </c>
    </row>
    <row r="92" spans="1:17" x14ac:dyDescent="0.25">
      <c r="A92" s="1">
        <v>2018</v>
      </c>
      <c r="B92" s="1">
        <v>3</v>
      </c>
      <c r="C92" s="1" t="s">
        <v>21</v>
      </c>
      <c r="D92" s="1" t="s">
        <v>22</v>
      </c>
      <c r="E92" s="1" t="s">
        <v>23</v>
      </c>
      <c r="F92" s="1" t="s">
        <v>435</v>
      </c>
      <c r="G92" s="1" t="s">
        <v>436</v>
      </c>
      <c r="H92" s="1" t="s">
        <v>46</v>
      </c>
      <c r="I92" s="1" t="s">
        <v>308</v>
      </c>
      <c r="J92" s="1" t="s">
        <v>34</v>
      </c>
      <c r="K92" s="1" t="s">
        <v>309</v>
      </c>
      <c r="L92" s="1" t="s">
        <v>86</v>
      </c>
      <c r="M92" s="1">
        <v>1392.2057760101</v>
      </c>
      <c r="N92" s="2">
        <f>M92/ActivityCenter!$L$6</f>
        <v>145.00000000146855</v>
      </c>
      <c r="Q92" s="1" t="s">
        <v>601</v>
      </c>
    </row>
    <row r="93" spans="1:17" x14ac:dyDescent="0.25">
      <c r="A93" s="1">
        <v>2018</v>
      </c>
      <c r="B93" s="1">
        <v>3</v>
      </c>
      <c r="C93" s="1" t="s">
        <v>21</v>
      </c>
      <c r="D93" s="1" t="s">
        <v>22</v>
      </c>
      <c r="E93" s="1" t="s">
        <v>23</v>
      </c>
      <c r="F93" s="1" t="s">
        <v>437</v>
      </c>
      <c r="G93" s="1" t="s">
        <v>438</v>
      </c>
      <c r="H93" s="1" t="s">
        <v>46</v>
      </c>
      <c r="I93" s="1" t="s">
        <v>308</v>
      </c>
      <c r="J93" s="1" t="s">
        <v>34</v>
      </c>
      <c r="K93" s="1" t="s">
        <v>309</v>
      </c>
      <c r="L93" s="1" t="s">
        <v>82</v>
      </c>
      <c r="M93" s="1">
        <v>2054.7036970080999</v>
      </c>
      <c r="N93" s="2">
        <f>M93/ActivityCenter!$L$6</f>
        <v>214.00000000217676</v>
      </c>
      <c r="Q93" s="1" t="s">
        <v>601</v>
      </c>
    </row>
    <row r="94" spans="1:17" x14ac:dyDescent="0.25">
      <c r="A94" s="1">
        <v>2018</v>
      </c>
      <c r="B94" s="1">
        <v>3</v>
      </c>
      <c r="C94" s="1" t="s">
        <v>21</v>
      </c>
      <c r="D94" s="1" t="s">
        <v>22</v>
      </c>
      <c r="E94" s="1" t="s">
        <v>23</v>
      </c>
      <c r="F94" s="1" t="s">
        <v>439</v>
      </c>
      <c r="G94" s="1" t="s">
        <v>440</v>
      </c>
      <c r="H94" s="1" t="s">
        <v>46</v>
      </c>
      <c r="I94" s="1" t="s">
        <v>308</v>
      </c>
      <c r="J94" s="1" t="s">
        <v>34</v>
      </c>
      <c r="K94" s="1" t="s">
        <v>309</v>
      </c>
      <c r="L94" s="1" t="s">
        <v>82</v>
      </c>
      <c r="M94" s="1">
        <v>1977.8923438490001</v>
      </c>
      <c r="N94" s="2">
        <f>M94/ActivityCenter!$L$6</f>
        <v>206.00000000210389</v>
      </c>
      <c r="Q94" s="1" t="s">
        <v>601</v>
      </c>
    </row>
    <row r="95" spans="1:17" x14ac:dyDescent="0.25">
      <c r="A95" s="1">
        <v>2018</v>
      </c>
      <c r="B95" s="1">
        <v>3</v>
      </c>
      <c r="C95" s="1" t="s">
        <v>21</v>
      </c>
      <c r="D95" s="1" t="s">
        <v>22</v>
      </c>
      <c r="E95" s="1" t="s">
        <v>23</v>
      </c>
      <c r="F95" s="1" t="s">
        <v>441</v>
      </c>
      <c r="G95" s="1" t="s">
        <v>442</v>
      </c>
      <c r="H95" s="1" t="s">
        <v>46</v>
      </c>
      <c r="I95" s="1" t="s">
        <v>308</v>
      </c>
      <c r="J95" s="1" t="s">
        <v>34</v>
      </c>
      <c r="K95" s="1" t="s">
        <v>309</v>
      </c>
      <c r="L95" s="1" t="s">
        <v>85</v>
      </c>
      <c r="M95" s="1">
        <v>1536.2270631836</v>
      </c>
      <c r="N95" s="2">
        <f>M95/ActivityCenter!$L$6</f>
        <v>160.00000000162476</v>
      </c>
      <c r="Q95" s="1" t="s">
        <v>601</v>
      </c>
    </row>
    <row r="96" spans="1:17" x14ac:dyDescent="0.25">
      <c r="A96" s="1">
        <v>2018</v>
      </c>
      <c r="B96" s="1">
        <v>3</v>
      </c>
      <c r="C96" s="1" t="s">
        <v>21</v>
      </c>
      <c r="D96" s="1" t="s">
        <v>22</v>
      </c>
      <c r="E96" s="1" t="s">
        <v>23</v>
      </c>
      <c r="F96" s="1" t="s">
        <v>443</v>
      </c>
      <c r="G96" s="1" t="s">
        <v>444</v>
      </c>
      <c r="H96" s="1" t="s">
        <v>46</v>
      </c>
      <c r="I96" s="1" t="s">
        <v>308</v>
      </c>
      <c r="J96" s="1" t="s">
        <v>34</v>
      </c>
      <c r="K96" s="1" t="s">
        <v>309</v>
      </c>
      <c r="L96" s="1" t="s">
        <v>78</v>
      </c>
      <c r="M96" s="1">
        <v>1661.0455120674001</v>
      </c>
      <c r="N96" s="2">
        <f>M96/ActivityCenter!$L$6</f>
        <v>173.00000000177059</v>
      </c>
      <c r="Q96" s="1" t="s">
        <v>601</v>
      </c>
    </row>
    <row r="97" spans="1:17" x14ac:dyDescent="0.25">
      <c r="A97" s="1">
        <v>2018</v>
      </c>
      <c r="B97" s="1">
        <v>3</v>
      </c>
      <c r="C97" s="1" t="s">
        <v>21</v>
      </c>
      <c r="D97" s="1" t="s">
        <v>22</v>
      </c>
      <c r="E97" s="1" t="s">
        <v>23</v>
      </c>
      <c r="F97" s="1" t="s">
        <v>443</v>
      </c>
      <c r="G97" s="1" t="s">
        <v>444</v>
      </c>
      <c r="H97" s="1" t="s">
        <v>46</v>
      </c>
      <c r="I97" s="1" t="s">
        <v>308</v>
      </c>
      <c r="J97" s="1" t="s">
        <v>34</v>
      </c>
      <c r="K97" s="1" t="s">
        <v>309</v>
      </c>
      <c r="L97" s="1" t="s">
        <v>84</v>
      </c>
      <c r="M97" s="1">
        <v>3907.7775919731998</v>
      </c>
      <c r="N97" s="2">
        <f>M97/ActivityCenter!$L$6</f>
        <v>407.00000000412439</v>
      </c>
      <c r="Q97" s="1" t="s">
        <v>601</v>
      </c>
    </row>
    <row r="98" spans="1:17" x14ac:dyDescent="0.25">
      <c r="A98" s="1">
        <v>2018</v>
      </c>
      <c r="B98" s="1">
        <v>3</v>
      </c>
      <c r="C98" s="1" t="s">
        <v>21</v>
      </c>
      <c r="D98" s="1" t="s">
        <v>22</v>
      </c>
      <c r="E98" s="1" t="s">
        <v>23</v>
      </c>
      <c r="F98" s="1" t="s">
        <v>445</v>
      </c>
      <c r="G98" s="1" t="s">
        <v>446</v>
      </c>
      <c r="H98" s="1" t="s">
        <v>46</v>
      </c>
      <c r="I98" s="1" t="s">
        <v>308</v>
      </c>
      <c r="J98" s="1" t="s">
        <v>34</v>
      </c>
      <c r="K98" s="1" t="s">
        <v>309</v>
      </c>
      <c r="L98" s="1" t="s">
        <v>88</v>
      </c>
      <c r="M98" s="1">
        <v>1276.9887462710999</v>
      </c>
      <c r="N98" s="2">
        <f>M98/ActivityCenter!$L$6</f>
        <v>133.00000000132272</v>
      </c>
      <c r="Q98" s="1" t="s">
        <v>601</v>
      </c>
    </row>
    <row r="99" spans="1:17" x14ac:dyDescent="0.25">
      <c r="A99" s="1">
        <v>2018</v>
      </c>
      <c r="B99" s="1">
        <v>3</v>
      </c>
      <c r="C99" s="1" t="s">
        <v>21</v>
      </c>
      <c r="D99" s="1" t="s">
        <v>22</v>
      </c>
      <c r="E99" s="1" t="s">
        <v>23</v>
      </c>
      <c r="F99" s="1" t="s">
        <v>447</v>
      </c>
      <c r="G99" s="1" t="s">
        <v>448</v>
      </c>
      <c r="H99" s="1" t="s">
        <v>46</v>
      </c>
      <c r="I99" s="1" t="s">
        <v>308</v>
      </c>
      <c r="J99" s="1" t="s">
        <v>34</v>
      </c>
      <c r="K99" s="1" t="s">
        <v>309</v>
      </c>
      <c r="L99" s="1" t="s">
        <v>84</v>
      </c>
      <c r="M99" s="1">
        <v>2736.4044562958002</v>
      </c>
      <c r="N99" s="2">
        <f>M99/ActivityCenter!$L$6</f>
        <v>285.00000000289543</v>
      </c>
      <c r="Q99" s="1" t="s">
        <v>601</v>
      </c>
    </row>
    <row r="100" spans="1:17" x14ac:dyDescent="0.25">
      <c r="A100" s="1">
        <v>2018</v>
      </c>
      <c r="B100" s="1">
        <v>3</v>
      </c>
      <c r="C100" s="1" t="s">
        <v>21</v>
      </c>
      <c r="D100" s="1" t="s">
        <v>22</v>
      </c>
      <c r="E100" s="1" t="s">
        <v>23</v>
      </c>
      <c r="F100" s="1" t="s">
        <v>449</v>
      </c>
      <c r="G100" s="1" t="s">
        <v>450</v>
      </c>
      <c r="H100" s="1" t="s">
        <v>46</v>
      </c>
      <c r="I100" s="1" t="s">
        <v>308</v>
      </c>
      <c r="J100" s="1" t="s">
        <v>34</v>
      </c>
      <c r="K100" s="1" t="s">
        <v>309</v>
      </c>
      <c r="L100" s="1" t="s">
        <v>86</v>
      </c>
      <c r="M100" s="1">
        <v>1353.8000994305</v>
      </c>
      <c r="N100" s="2">
        <f>M100/ActivityCenter!$L$6</f>
        <v>141.00000000142688</v>
      </c>
      <c r="Q100" s="1" t="s">
        <v>601</v>
      </c>
    </row>
    <row r="101" spans="1:17" x14ac:dyDescent="0.25">
      <c r="A101" s="1">
        <v>2018</v>
      </c>
      <c r="B101" s="1">
        <v>3</v>
      </c>
      <c r="C101" s="1" t="s">
        <v>21</v>
      </c>
      <c r="D101" s="1" t="s">
        <v>22</v>
      </c>
      <c r="E101" s="1" t="s">
        <v>23</v>
      </c>
      <c r="F101" s="1" t="s">
        <v>451</v>
      </c>
      <c r="G101" s="1" t="s">
        <v>452</v>
      </c>
      <c r="H101" s="1" t="s">
        <v>46</v>
      </c>
      <c r="I101" s="1" t="s">
        <v>308</v>
      </c>
      <c r="J101" s="1" t="s">
        <v>34</v>
      </c>
      <c r="K101" s="1" t="s">
        <v>309</v>
      </c>
      <c r="L101" s="1" t="s">
        <v>93</v>
      </c>
      <c r="M101" s="1">
        <v>432.0638615204</v>
      </c>
      <c r="N101" s="2">
        <f>M101/ActivityCenter!$L$6</f>
        <v>45.000000000458265</v>
      </c>
      <c r="Q101" s="1" t="s">
        <v>601</v>
      </c>
    </row>
    <row r="102" spans="1:17" x14ac:dyDescent="0.25">
      <c r="A102" s="1">
        <v>2018</v>
      </c>
      <c r="B102" s="1">
        <v>3</v>
      </c>
      <c r="C102" s="1" t="s">
        <v>21</v>
      </c>
      <c r="D102" s="1" t="s">
        <v>22</v>
      </c>
      <c r="E102" s="1" t="s">
        <v>23</v>
      </c>
      <c r="F102" s="1" t="s">
        <v>453</v>
      </c>
      <c r="G102" s="1" t="s">
        <v>454</v>
      </c>
      <c r="H102" s="1" t="s">
        <v>46</v>
      </c>
      <c r="I102" s="1" t="s">
        <v>308</v>
      </c>
      <c r="J102" s="1" t="s">
        <v>34</v>
      </c>
      <c r="K102" s="1" t="s">
        <v>309</v>
      </c>
      <c r="L102" s="1" t="s">
        <v>86</v>
      </c>
      <c r="M102" s="1">
        <v>2697.9987797161998</v>
      </c>
      <c r="N102" s="2">
        <f>M102/ActivityCenter!$L$6</f>
        <v>281.00000000285377</v>
      </c>
      <c r="Q102" s="1" t="s">
        <v>601</v>
      </c>
    </row>
    <row r="103" spans="1:17" x14ac:dyDescent="0.25">
      <c r="A103" s="1">
        <v>2018</v>
      </c>
      <c r="B103" s="1">
        <v>3</v>
      </c>
      <c r="C103" s="1" t="s">
        <v>21</v>
      </c>
      <c r="D103" s="1" t="s">
        <v>22</v>
      </c>
      <c r="E103" s="1" t="s">
        <v>23</v>
      </c>
      <c r="F103" s="1" t="s">
        <v>455</v>
      </c>
      <c r="G103" s="1" t="s">
        <v>456</v>
      </c>
      <c r="H103" s="1" t="s">
        <v>46</v>
      </c>
      <c r="I103" s="1" t="s">
        <v>308</v>
      </c>
      <c r="J103" s="1" t="s">
        <v>34</v>
      </c>
      <c r="K103" s="1" t="s">
        <v>309</v>
      </c>
      <c r="L103" s="1" t="s">
        <v>84</v>
      </c>
      <c r="M103" s="1">
        <v>4464.6599023772997</v>
      </c>
      <c r="N103" s="2">
        <f>M103/ActivityCenter!$L$6</f>
        <v>465.00000000471806</v>
      </c>
      <c r="Q103" s="1" t="s">
        <v>601</v>
      </c>
    </row>
    <row r="104" spans="1:17" x14ac:dyDescent="0.25">
      <c r="A104" s="1">
        <v>2018</v>
      </c>
      <c r="B104" s="1">
        <v>3</v>
      </c>
      <c r="C104" s="1" t="s">
        <v>21</v>
      </c>
      <c r="D104" s="1" t="s">
        <v>22</v>
      </c>
      <c r="E104" s="1" t="s">
        <v>23</v>
      </c>
      <c r="F104" s="1" t="s">
        <v>457</v>
      </c>
      <c r="G104" s="1" t="s">
        <v>458</v>
      </c>
      <c r="H104" s="1" t="s">
        <v>46</v>
      </c>
      <c r="I104" s="1" t="s">
        <v>308</v>
      </c>
      <c r="J104" s="1" t="s">
        <v>34</v>
      </c>
      <c r="K104" s="1" t="s">
        <v>309</v>
      </c>
      <c r="L104" s="1" t="s">
        <v>101</v>
      </c>
      <c r="M104" s="1">
        <v>82956.261411913598</v>
      </c>
      <c r="N104" s="2">
        <f>M104/ActivityCenter!$L$6</f>
        <v>8640.0000000876535</v>
      </c>
      <c r="Q104" s="1" t="s">
        <v>676</v>
      </c>
    </row>
    <row r="105" spans="1:17" x14ac:dyDescent="0.25">
      <c r="A105" s="1">
        <v>2018</v>
      </c>
      <c r="B105" s="1">
        <v>3</v>
      </c>
      <c r="C105" s="1" t="s">
        <v>21</v>
      </c>
      <c r="D105" s="1" t="s">
        <v>22</v>
      </c>
      <c r="E105" s="1" t="s">
        <v>23</v>
      </c>
      <c r="F105" s="1" t="s">
        <v>459</v>
      </c>
      <c r="G105" s="1" t="s">
        <v>460</v>
      </c>
      <c r="H105" s="1" t="s">
        <v>46</v>
      </c>
      <c r="I105" s="1" t="s">
        <v>308</v>
      </c>
      <c r="J105" s="1" t="s">
        <v>34</v>
      </c>
      <c r="K105" s="1" t="s">
        <v>309</v>
      </c>
      <c r="L105" s="1" t="s">
        <v>84</v>
      </c>
      <c r="M105" s="1">
        <v>921.73623791019997</v>
      </c>
      <c r="N105" s="2">
        <f>M105/ActivityCenter!$L$6</f>
        <v>96.000000000979028</v>
      </c>
      <c r="Q105" s="1" t="s">
        <v>601</v>
      </c>
    </row>
    <row r="106" spans="1:17" x14ac:dyDescent="0.25">
      <c r="A106" s="1">
        <v>2018</v>
      </c>
      <c r="B106" s="1">
        <v>3</v>
      </c>
      <c r="C106" s="1" t="s">
        <v>21</v>
      </c>
      <c r="D106" s="1" t="s">
        <v>22</v>
      </c>
      <c r="E106" s="1" t="s">
        <v>23</v>
      </c>
      <c r="F106" s="1" t="s">
        <v>369</v>
      </c>
      <c r="G106" s="1" t="s">
        <v>370</v>
      </c>
      <c r="H106" s="1" t="s">
        <v>46</v>
      </c>
      <c r="I106" s="1" t="s">
        <v>464</v>
      </c>
      <c r="J106" s="1" t="s">
        <v>34</v>
      </c>
      <c r="M106" s="1">
        <v>-4608.6811895506999</v>
      </c>
      <c r="O106" s="1" t="s">
        <v>276</v>
      </c>
      <c r="P106" s="1">
        <v>3</v>
      </c>
      <c r="Q106" s="1" t="s">
        <v>610</v>
      </c>
    </row>
    <row r="107" spans="1:17" x14ac:dyDescent="0.25">
      <c r="A107" s="1">
        <v>2018</v>
      </c>
      <c r="B107" s="1">
        <v>3</v>
      </c>
      <c r="C107" s="1" t="s">
        <v>21</v>
      </c>
      <c r="D107" s="1" t="s">
        <v>22</v>
      </c>
      <c r="E107" s="1" t="s">
        <v>23</v>
      </c>
      <c r="F107" s="1" t="s">
        <v>369</v>
      </c>
      <c r="G107" s="1" t="s">
        <v>370</v>
      </c>
      <c r="H107" s="1" t="s">
        <v>46</v>
      </c>
      <c r="I107" s="1" t="s">
        <v>464</v>
      </c>
      <c r="J107" s="1" t="s">
        <v>34</v>
      </c>
      <c r="M107" s="1">
        <v>-1035</v>
      </c>
      <c r="O107" s="1" t="s">
        <v>276</v>
      </c>
      <c r="P107" s="1">
        <v>3</v>
      </c>
      <c r="Q107" s="1" t="s">
        <v>610</v>
      </c>
    </row>
    <row r="108" spans="1:17" x14ac:dyDescent="0.25">
      <c r="A108" s="1">
        <v>2018</v>
      </c>
      <c r="B108" s="1">
        <v>3</v>
      </c>
      <c r="C108" s="1" t="s">
        <v>21</v>
      </c>
      <c r="D108" s="1" t="s">
        <v>22</v>
      </c>
      <c r="E108" s="1" t="s">
        <v>23</v>
      </c>
      <c r="F108" s="1" t="s">
        <v>379</v>
      </c>
      <c r="G108" s="1" t="s">
        <v>380</v>
      </c>
      <c r="H108" s="1" t="s">
        <v>46</v>
      </c>
      <c r="I108" s="1" t="s">
        <v>464</v>
      </c>
      <c r="J108" s="1" t="s">
        <v>34</v>
      </c>
      <c r="M108" s="1">
        <v>-1241.5159374412999</v>
      </c>
      <c r="O108" s="1" t="s">
        <v>272</v>
      </c>
      <c r="P108" s="1">
        <v>17</v>
      </c>
      <c r="Q108" s="1" t="s">
        <v>610</v>
      </c>
    </row>
    <row r="109" spans="1:17" x14ac:dyDescent="0.25">
      <c r="A109" s="1">
        <v>2018</v>
      </c>
      <c r="B109" s="1">
        <v>3</v>
      </c>
      <c r="C109" s="1" t="s">
        <v>21</v>
      </c>
      <c r="D109" s="1" t="s">
        <v>22</v>
      </c>
      <c r="E109" s="1" t="s">
        <v>23</v>
      </c>
      <c r="F109" s="1" t="s">
        <v>379</v>
      </c>
      <c r="G109" s="1" t="s">
        <v>380</v>
      </c>
      <c r="H109" s="1" t="s">
        <v>46</v>
      </c>
      <c r="I109" s="1" t="s">
        <v>464</v>
      </c>
      <c r="J109" s="1" t="s">
        <v>34</v>
      </c>
      <c r="M109" s="1">
        <v>-1062.824657334</v>
      </c>
      <c r="O109" s="1" t="s">
        <v>273</v>
      </c>
      <c r="P109" s="1">
        <v>19</v>
      </c>
      <c r="Q109" s="1" t="s">
        <v>610</v>
      </c>
    </row>
    <row r="110" spans="1:17" x14ac:dyDescent="0.25">
      <c r="A110" s="1">
        <v>2018</v>
      </c>
      <c r="B110" s="1">
        <v>3</v>
      </c>
      <c r="C110" s="1" t="s">
        <v>21</v>
      </c>
      <c r="D110" s="1" t="s">
        <v>22</v>
      </c>
      <c r="E110" s="1" t="s">
        <v>23</v>
      </c>
      <c r="F110" s="1" t="s">
        <v>383</v>
      </c>
      <c r="G110" s="1" t="s">
        <v>384</v>
      </c>
      <c r="H110" s="1" t="s">
        <v>46</v>
      </c>
      <c r="I110" s="1" t="s">
        <v>464</v>
      </c>
      <c r="J110" s="1" t="s">
        <v>34</v>
      </c>
      <c r="M110" s="1">
        <v>-89.291759581400001</v>
      </c>
      <c r="O110" s="1" t="s">
        <v>267</v>
      </c>
      <c r="P110" s="1">
        <v>17</v>
      </c>
      <c r="Q110" s="1" t="s">
        <v>610</v>
      </c>
    </row>
    <row r="111" spans="1:17" x14ac:dyDescent="0.25">
      <c r="A111" s="1">
        <v>2018</v>
      </c>
      <c r="B111" s="1">
        <v>3</v>
      </c>
      <c r="C111" s="1" t="s">
        <v>21</v>
      </c>
      <c r="D111" s="1" t="s">
        <v>22</v>
      </c>
      <c r="E111" s="1" t="s">
        <v>23</v>
      </c>
      <c r="F111" s="1" t="s">
        <v>383</v>
      </c>
      <c r="G111" s="1" t="s">
        <v>384</v>
      </c>
      <c r="H111" s="1" t="s">
        <v>46</v>
      </c>
      <c r="I111" s="1" t="s">
        <v>464</v>
      </c>
      <c r="J111" s="1" t="s">
        <v>34</v>
      </c>
      <c r="M111" s="1">
        <v>-106.6540461667</v>
      </c>
      <c r="O111" s="1" t="s">
        <v>271</v>
      </c>
      <c r="P111" s="1">
        <v>187</v>
      </c>
      <c r="Q111" s="1" t="s">
        <v>610</v>
      </c>
    </row>
    <row r="112" spans="1:17" x14ac:dyDescent="0.25">
      <c r="A112" s="1">
        <v>2018</v>
      </c>
      <c r="B112" s="1">
        <v>3</v>
      </c>
      <c r="C112" s="1" t="s">
        <v>21</v>
      </c>
      <c r="D112" s="1" t="s">
        <v>22</v>
      </c>
      <c r="E112" s="1" t="s">
        <v>23</v>
      </c>
      <c r="F112" s="1" t="s">
        <v>383</v>
      </c>
      <c r="G112" s="1" t="s">
        <v>384</v>
      </c>
      <c r="H112" s="1" t="s">
        <v>46</v>
      </c>
      <c r="I112" s="1" t="s">
        <v>464</v>
      </c>
      <c r="J112" s="1" t="s">
        <v>34</v>
      </c>
      <c r="M112" s="1">
        <v>-1654.9585503317001</v>
      </c>
      <c r="O112" s="1" t="s">
        <v>271</v>
      </c>
      <c r="P112" s="1">
        <v>187</v>
      </c>
      <c r="Q112" s="1" t="s">
        <v>610</v>
      </c>
    </row>
    <row r="113" spans="1:17" x14ac:dyDescent="0.25">
      <c r="A113" s="1">
        <v>2018</v>
      </c>
      <c r="B113" s="1">
        <v>3</v>
      </c>
      <c r="C113" s="1" t="s">
        <v>21</v>
      </c>
      <c r="D113" s="1" t="s">
        <v>22</v>
      </c>
      <c r="E113" s="1" t="s">
        <v>23</v>
      </c>
      <c r="F113" s="1" t="s">
        <v>383</v>
      </c>
      <c r="G113" s="1" t="s">
        <v>384</v>
      </c>
      <c r="H113" s="1" t="s">
        <v>46</v>
      </c>
      <c r="I113" s="1" t="s">
        <v>464</v>
      </c>
      <c r="J113" s="1" t="s">
        <v>34</v>
      </c>
      <c r="M113" s="1">
        <v>-1195.3736177498999</v>
      </c>
      <c r="O113" s="1" t="s">
        <v>275</v>
      </c>
      <c r="P113" s="1">
        <v>36</v>
      </c>
      <c r="Q113" s="1" t="s">
        <v>610</v>
      </c>
    </row>
    <row r="114" spans="1:17" x14ac:dyDescent="0.25">
      <c r="A114" s="1">
        <v>2018</v>
      </c>
      <c r="B114" s="1">
        <v>3</v>
      </c>
      <c r="C114" s="1" t="s">
        <v>21</v>
      </c>
      <c r="D114" s="1" t="s">
        <v>22</v>
      </c>
      <c r="E114" s="1" t="s">
        <v>23</v>
      </c>
      <c r="F114" s="1" t="s">
        <v>389</v>
      </c>
      <c r="G114" s="1" t="s">
        <v>390</v>
      </c>
      <c r="H114" s="1" t="s">
        <v>46</v>
      </c>
      <c r="I114" s="1" t="s">
        <v>464</v>
      </c>
      <c r="J114" s="1" t="s">
        <v>34</v>
      </c>
      <c r="M114" s="1">
        <v>-453.10893807709999</v>
      </c>
      <c r="O114" s="1" t="s">
        <v>274</v>
      </c>
      <c r="P114" s="1">
        <v>17</v>
      </c>
      <c r="Q114" s="1" t="s">
        <v>610</v>
      </c>
    </row>
    <row r="115" spans="1:17" x14ac:dyDescent="0.25">
      <c r="A115" s="1">
        <v>2018</v>
      </c>
      <c r="B115" s="1">
        <v>3</v>
      </c>
      <c r="C115" s="1" t="s">
        <v>21</v>
      </c>
      <c r="D115" s="1" t="s">
        <v>22</v>
      </c>
      <c r="E115" s="1" t="s">
        <v>23</v>
      </c>
      <c r="F115" s="1" t="s">
        <v>389</v>
      </c>
      <c r="G115" s="1" t="s">
        <v>390</v>
      </c>
      <c r="H115" s="1" t="s">
        <v>46</v>
      </c>
      <c r="I115" s="1" t="s">
        <v>464</v>
      </c>
      <c r="J115" s="1" t="s">
        <v>34</v>
      </c>
      <c r="M115" s="1">
        <v>-828.68051776669995</v>
      </c>
      <c r="O115" s="1" t="s">
        <v>275</v>
      </c>
      <c r="P115" s="1">
        <v>18</v>
      </c>
      <c r="Q115" s="1" t="s">
        <v>610</v>
      </c>
    </row>
    <row r="116" spans="1:17" x14ac:dyDescent="0.25">
      <c r="A116" s="1">
        <v>2018</v>
      </c>
      <c r="B116" s="1">
        <v>3</v>
      </c>
      <c r="C116" s="1" t="s">
        <v>21</v>
      </c>
      <c r="D116" s="1" t="s">
        <v>22</v>
      </c>
      <c r="E116" s="1" t="s">
        <v>23</v>
      </c>
      <c r="F116" s="1" t="s">
        <v>389</v>
      </c>
      <c r="G116" s="1" t="s">
        <v>390</v>
      </c>
      <c r="H116" s="1" t="s">
        <v>46</v>
      </c>
      <c r="I116" s="1" t="s">
        <v>464</v>
      </c>
      <c r="J116" s="1" t="s">
        <v>34</v>
      </c>
      <c r="M116" s="1">
        <v>-1267.6868042832</v>
      </c>
      <c r="O116" s="1" t="s">
        <v>274</v>
      </c>
      <c r="P116" s="1">
        <v>17</v>
      </c>
      <c r="Q116" s="1" t="s">
        <v>610</v>
      </c>
    </row>
    <row r="117" spans="1:17" x14ac:dyDescent="0.25">
      <c r="A117" s="1">
        <v>2018</v>
      </c>
      <c r="B117" s="1">
        <v>3</v>
      </c>
      <c r="C117" s="1" t="s">
        <v>21</v>
      </c>
      <c r="D117" s="1" t="s">
        <v>22</v>
      </c>
      <c r="E117" s="1" t="s">
        <v>23</v>
      </c>
      <c r="F117" s="1" t="s">
        <v>389</v>
      </c>
      <c r="G117" s="1" t="s">
        <v>390</v>
      </c>
      <c r="H117" s="1" t="s">
        <v>46</v>
      </c>
      <c r="I117" s="1" t="s">
        <v>464</v>
      </c>
      <c r="J117" s="1" t="s">
        <v>34</v>
      </c>
      <c r="M117" s="1">
        <v>-2318.4432463359999</v>
      </c>
      <c r="O117" s="1" t="s">
        <v>275</v>
      </c>
      <c r="P117" s="1">
        <v>18</v>
      </c>
      <c r="Q117" s="1" t="s">
        <v>610</v>
      </c>
    </row>
    <row r="118" spans="1:17" x14ac:dyDescent="0.25">
      <c r="A118" s="1">
        <v>2018</v>
      </c>
      <c r="B118" s="1">
        <v>3</v>
      </c>
      <c r="C118" s="1" t="s">
        <v>21</v>
      </c>
      <c r="D118" s="1" t="s">
        <v>22</v>
      </c>
      <c r="E118" s="1" t="s">
        <v>23</v>
      </c>
      <c r="F118" s="1" t="s">
        <v>383</v>
      </c>
      <c r="G118" s="1" t="s">
        <v>384</v>
      </c>
      <c r="H118" s="1" t="s">
        <v>46</v>
      </c>
      <c r="I118" s="1" t="s">
        <v>464</v>
      </c>
      <c r="J118" s="1" t="s">
        <v>34</v>
      </c>
      <c r="M118" s="1">
        <v>-402.44173332449998</v>
      </c>
      <c r="O118" s="1" t="s">
        <v>267</v>
      </c>
      <c r="P118" s="1">
        <v>17</v>
      </c>
      <c r="Q118" s="1" t="s">
        <v>610</v>
      </c>
    </row>
    <row r="119" spans="1:17" x14ac:dyDescent="0.25">
      <c r="A119" s="1">
        <v>2018</v>
      </c>
      <c r="B119" s="1">
        <v>3</v>
      </c>
      <c r="C119" s="1" t="s">
        <v>21</v>
      </c>
      <c r="D119" s="1" t="s">
        <v>22</v>
      </c>
      <c r="E119" s="1" t="s">
        <v>23</v>
      </c>
      <c r="F119" s="1" t="s">
        <v>383</v>
      </c>
      <c r="G119" s="1" t="s">
        <v>384</v>
      </c>
      <c r="H119" s="1" t="s">
        <v>46</v>
      </c>
      <c r="I119" s="1" t="s">
        <v>464</v>
      </c>
      <c r="J119" s="1" t="s">
        <v>34</v>
      </c>
      <c r="M119" s="1">
        <v>-480.69429258209999</v>
      </c>
      <c r="O119" s="1" t="s">
        <v>271</v>
      </c>
      <c r="P119" s="1">
        <v>187</v>
      </c>
      <c r="Q119" s="1" t="s">
        <v>610</v>
      </c>
    </row>
    <row r="120" spans="1:17" x14ac:dyDescent="0.25">
      <c r="A120" s="1">
        <v>2018</v>
      </c>
      <c r="B120" s="1">
        <v>3</v>
      </c>
      <c r="C120" s="1" t="s">
        <v>21</v>
      </c>
      <c r="D120" s="1" t="s">
        <v>22</v>
      </c>
      <c r="E120" s="1" t="s">
        <v>23</v>
      </c>
      <c r="F120" s="1" t="s">
        <v>383</v>
      </c>
      <c r="G120" s="1" t="s">
        <v>384</v>
      </c>
      <c r="H120" s="1" t="s">
        <v>46</v>
      </c>
      <c r="I120" s="1" t="s">
        <v>464</v>
      </c>
      <c r="J120" s="1" t="s">
        <v>34</v>
      </c>
      <c r="M120" s="1">
        <v>-2163.1243166195</v>
      </c>
      <c r="O120" s="1" t="s">
        <v>271</v>
      </c>
      <c r="P120" s="1">
        <v>187</v>
      </c>
      <c r="Q120" s="1" t="s">
        <v>610</v>
      </c>
    </row>
    <row r="121" spans="1:17" x14ac:dyDescent="0.25">
      <c r="A121" s="1">
        <v>2018</v>
      </c>
      <c r="B121" s="1">
        <v>3</v>
      </c>
      <c r="C121" s="1" t="s">
        <v>21</v>
      </c>
      <c r="D121" s="1" t="s">
        <v>22</v>
      </c>
      <c r="E121" s="1" t="s">
        <v>23</v>
      </c>
      <c r="F121" s="1" t="s">
        <v>383</v>
      </c>
      <c r="G121" s="1" t="s">
        <v>384</v>
      </c>
      <c r="H121" s="1" t="s">
        <v>46</v>
      </c>
      <c r="I121" s="1" t="s">
        <v>464</v>
      </c>
      <c r="J121" s="1" t="s">
        <v>34</v>
      </c>
      <c r="M121" s="1">
        <v>-1562.4208470246999</v>
      </c>
      <c r="O121" s="1" t="s">
        <v>275</v>
      </c>
      <c r="P121" s="1">
        <v>36</v>
      </c>
      <c r="Q121" s="1" t="s">
        <v>610</v>
      </c>
    </row>
    <row r="122" spans="1:17" x14ac:dyDescent="0.25">
      <c r="A122" s="1">
        <v>2018</v>
      </c>
      <c r="B122" s="1">
        <v>3</v>
      </c>
      <c r="C122" s="1" t="s">
        <v>21</v>
      </c>
      <c r="D122" s="1" t="s">
        <v>22</v>
      </c>
      <c r="E122" s="1" t="s">
        <v>23</v>
      </c>
      <c r="F122" s="1" t="s">
        <v>383</v>
      </c>
      <c r="G122" s="1" t="s">
        <v>384</v>
      </c>
      <c r="H122" s="1" t="s">
        <v>46</v>
      </c>
      <c r="I122" s="1" t="s">
        <v>464</v>
      </c>
      <c r="J122" s="1" t="s">
        <v>34</v>
      </c>
      <c r="M122" s="1">
        <v>-307.89926517800001</v>
      </c>
      <c r="O122" s="1" t="s">
        <v>267</v>
      </c>
      <c r="P122" s="1">
        <v>17</v>
      </c>
      <c r="Q122" s="1" t="s">
        <v>610</v>
      </c>
    </row>
    <row r="123" spans="1:17" x14ac:dyDescent="0.25">
      <c r="A123" s="1">
        <v>2018</v>
      </c>
      <c r="B123" s="1">
        <v>3</v>
      </c>
      <c r="C123" s="1" t="s">
        <v>21</v>
      </c>
      <c r="D123" s="1" t="s">
        <v>22</v>
      </c>
      <c r="E123" s="1" t="s">
        <v>23</v>
      </c>
      <c r="F123" s="1" t="s">
        <v>383</v>
      </c>
      <c r="G123" s="1" t="s">
        <v>384</v>
      </c>
      <c r="H123" s="1" t="s">
        <v>46</v>
      </c>
      <c r="I123" s="1" t="s">
        <v>464</v>
      </c>
      <c r="J123" s="1" t="s">
        <v>34</v>
      </c>
      <c r="M123" s="1">
        <v>-367.76856674039999</v>
      </c>
      <c r="O123" s="1" t="s">
        <v>271</v>
      </c>
      <c r="P123" s="1">
        <v>187</v>
      </c>
      <c r="Q123" s="1" t="s">
        <v>610</v>
      </c>
    </row>
    <row r="124" spans="1:17" x14ac:dyDescent="0.25">
      <c r="A124" s="1">
        <v>2018</v>
      </c>
      <c r="B124" s="1">
        <v>3</v>
      </c>
      <c r="C124" s="1" t="s">
        <v>21</v>
      </c>
      <c r="D124" s="1" t="s">
        <v>22</v>
      </c>
      <c r="E124" s="1" t="s">
        <v>23</v>
      </c>
      <c r="F124" s="1" t="s">
        <v>383</v>
      </c>
      <c r="G124" s="1" t="s">
        <v>384</v>
      </c>
      <c r="H124" s="1" t="s">
        <v>46</v>
      </c>
      <c r="I124" s="1" t="s">
        <v>464</v>
      </c>
      <c r="J124" s="1" t="s">
        <v>34</v>
      </c>
      <c r="M124" s="1">
        <v>-479.94320774990001</v>
      </c>
      <c r="O124" s="1" t="s">
        <v>271</v>
      </c>
      <c r="P124" s="1">
        <v>187</v>
      </c>
      <c r="Q124" s="1" t="s">
        <v>610</v>
      </c>
    </row>
    <row r="125" spans="1:17" x14ac:dyDescent="0.25">
      <c r="A125" s="1">
        <v>2018</v>
      </c>
      <c r="B125" s="1">
        <v>3</v>
      </c>
      <c r="C125" s="1" t="s">
        <v>21</v>
      </c>
      <c r="D125" s="1" t="s">
        <v>22</v>
      </c>
      <c r="E125" s="1" t="s">
        <v>23</v>
      </c>
      <c r="F125" s="1" t="s">
        <v>383</v>
      </c>
      <c r="G125" s="1" t="s">
        <v>384</v>
      </c>
      <c r="H125" s="1" t="s">
        <v>46</v>
      </c>
      <c r="I125" s="1" t="s">
        <v>464</v>
      </c>
      <c r="J125" s="1" t="s">
        <v>34</v>
      </c>
      <c r="M125" s="1">
        <v>-346.66212543360001</v>
      </c>
      <c r="O125" s="1" t="s">
        <v>275</v>
      </c>
      <c r="P125" s="1">
        <v>36</v>
      </c>
      <c r="Q125" s="1" t="s">
        <v>610</v>
      </c>
    </row>
    <row r="126" spans="1:17" x14ac:dyDescent="0.25">
      <c r="A126" s="1">
        <v>2018</v>
      </c>
      <c r="B126" s="1">
        <v>3</v>
      </c>
      <c r="C126" s="1" t="s">
        <v>21</v>
      </c>
      <c r="D126" s="1" t="s">
        <v>22</v>
      </c>
      <c r="E126" s="1" t="s">
        <v>23</v>
      </c>
      <c r="F126" s="1" t="s">
        <v>383</v>
      </c>
      <c r="G126" s="1" t="s">
        <v>384</v>
      </c>
      <c r="H126" s="1" t="s">
        <v>46</v>
      </c>
      <c r="I126" s="1" t="s">
        <v>464</v>
      </c>
      <c r="J126" s="1" t="s">
        <v>34</v>
      </c>
      <c r="M126" s="1">
        <v>-290.51262624370003</v>
      </c>
      <c r="O126" s="1" t="s">
        <v>267</v>
      </c>
      <c r="P126" s="1">
        <v>17</v>
      </c>
      <c r="Q126" s="1" t="s">
        <v>610</v>
      </c>
    </row>
    <row r="127" spans="1:17" x14ac:dyDescent="0.25">
      <c r="A127" s="1">
        <v>2018</v>
      </c>
      <c r="B127" s="1">
        <v>3</v>
      </c>
      <c r="C127" s="1" t="s">
        <v>21</v>
      </c>
      <c r="D127" s="1" t="s">
        <v>22</v>
      </c>
      <c r="E127" s="1" t="s">
        <v>23</v>
      </c>
      <c r="F127" s="1" t="s">
        <v>383</v>
      </c>
      <c r="G127" s="1" t="s">
        <v>384</v>
      </c>
      <c r="H127" s="1" t="s">
        <v>46</v>
      </c>
      <c r="I127" s="1" t="s">
        <v>464</v>
      </c>
      <c r="J127" s="1" t="s">
        <v>34</v>
      </c>
      <c r="M127" s="1">
        <v>-347.00119245769997</v>
      </c>
      <c r="O127" s="1" t="s">
        <v>271</v>
      </c>
      <c r="P127" s="1">
        <v>187</v>
      </c>
      <c r="Q127" s="1" t="s">
        <v>610</v>
      </c>
    </row>
    <row r="128" spans="1:17" x14ac:dyDescent="0.25">
      <c r="A128" s="1">
        <v>2018</v>
      </c>
      <c r="B128" s="1">
        <v>3</v>
      </c>
      <c r="C128" s="1" t="s">
        <v>21</v>
      </c>
      <c r="D128" s="1" t="s">
        <v>22</v>
      </c>
      <c r="E128" s="1" t="s">
        <v>23</v>
      </c>
      <c r="F128" s="1" t="s">
        <v>383</v>
      </c>
      <c r="G128" s="1" t="s">
        <v>384</v>
      </c>
      <c r="H128" s="1" t="s">
        <v>46</v>
      </c>
      <c r="I128" s="1" t="s">
        <v>464</v>
      </c>
      <c r="J128" s="1" t="s">
        <v>34</v>
      </c>
      <c r="M128" s="1">
        <v>-1561.5053660596</v>
      </c>
      <c r="O128" s="1" t="s">
        <v>271</v>
      </c>
      <c r="P128" s="1">
        <v>187</v>
      </c>
      <c r="Q128" s="1" t="s">
        <v>610</v>
      </c>
    </row>
    <row r="129" spans="1:17" x14ac:dyDescent="0.25">
      <c r="A129" s="1">
        <v>2018</v>
      </c>
      <c r="B129" s="1">
        <v>3</v>
      </c>
      <c r="C129" s="1" t="s">
        <v>21</v>
      </c>
      <c r="D129" s="1" t="s">
        <v>22</v>
      </c>
      <c r="E129" s="1" t="s">
        <v>23</v>
      </c>
      <c r="F129" s="1" t="s">
        <v>383</v>
      </c>
      <c r="G129" s="1" t="s">
        <v>384</v>
      </c>
      <c r="H129" s="1" t="s">
        <v>46</v>
      </c>
      <c r="I129" s="1" t="s">
        <v>464</v>
      </c>
      <c r="J129" s="1" t="s">
        <v>34</v>
      </c>
      <c r="M129" s="1">
        <v>-1127.8725489460001</v>
      </c>
      <c r="O129" s="1" t="s">
        <v>275</v>
      </c>
      <c r="P129" s="1">
        <v>36</v>
      </c>
      <c r="Q129" s="1" t="s">
        <v>610</v>
      </c>
    </row>
    <row r="130" spans="1:17" x14ac:dyDescent="0.25">
      <c r="A130" s="1">
        <v>2018</v>
      </c>
      <c r="B130" s="1">
        <v>3</v>
      </c>
      <c r="C130" s="1" t="s">
        <v>21</v>
      </c>
      <c r="D130" s="1" t="s">
        <v>22</v>
      </c>
      <c r="E130" s="1" t="s">
        <v>23</v>
      </c>
      <c r="F130" s="1" t="s">
        <v>389</v>
      </c>
      <c r="G130" s="1" t="s">
        <v>390</v>
      </c>
      <c r="H130" s="1" t="s">
        <v>46</v>
      </c>
      <c r="I130" s="1" t="s">
        <v>464</v>
      </c>
      <c r="J130" s="1" t="s">
        <v>34</v>
      </c>
      <c r="M130" s="1">
        <v>-3002.2514177694002</v>
      </c>
      <c r="O130" s="1" t="s">
        <v>274</v>
      </c>
      <c r="P130" s="1">
        <v>17</v>
      </c>
      <c r="Q130" s="1" t="s">
        <v>610</v>
      </c>
    </row>
    <row r="131" spans="1:17" x14ac:dyDescent="0.25">
      <c r="A131" s="1">
        <v>2018</v>
      </c>
      <c r="B131" s="1">
        <v>3</v>
      </c>
      <c r="C131" s="1" t="s">
        <v>21</v>
      </c>
      <c r="D131" s="1" t="s">
        <v>22</v>
      </c>
      <c r="E131" s="1" t="s">
        <v>23</v>
      </c>
      <c r="F131" s="1" t="s">
        <v>389</v>
      </c>
      <c r="G131" s="1" t="s">
        <v>390</v>
      </c>
      <c r="H131" s="1" t="s">
        <v>46</v>
      </c>
      <c r="I131" s="1" t="s">
        <v>464</v>
      </c>
      <c r="J131" s="1" t="s">
        <v>34</v>
      </c>
      <c r="M131" s="1">
        <v>-5490.7485822305998</v>
      </c>
      <c r="O131" s="1" t="s">
        <v>275</v>
      </c>
      <c r="P131" s="1">
        <v>18</v>
      </c>
      <c r="Q131" s="1" t="s">
        <v>610</v>
      </c>
    </row>
    <row r="132" spans="1:17" x14ac:dyDescent="0.25">
      <c r="A132" s="1">
        <v>2018</v>
      </c>
      <c r="B132" s="1">
        <v>3</v>
      </c>
      <c r="C132" s="1" t="s">
        <v>21</v>
      </c>
      <c r="D132" s="1" t="s">
        <v>22</v>
      </c>
      <c r="E132" s="1" t="s">
        <v>23</v>
      </c>
      <c r="F132" s="1" t="s">
        <v>395</v>
      </c>
      <c r="G132" s="1" t="s">
        <v>396</v>
      </c>
      <c r="H132" s="1" t="s">
        <v>46</v>
      </c>
      <c r="I132" s="1" t="s">
        <v>464</v>
      </c>
      <c r="J132" s="1" t="s">
        <v>34</v>
      </c>
      <c r="M132" s="1">
        <v>-614.49082527339999</v>
      </c>
      <c r="O132" s="1" t="s">
        <v>278</v>
      </c>
      <c r="P132" s="1">
        <v>16</v>
      </c>
      <c r="Q132" s="1" t="s">
        <v>610</v>
      </c>
    </row>
    <row r="133" spans="1:17" x14ac:dyDescent="0.25">
      <c r="A133" s="1">
        <v>2018</v>
      </c>
      <c r="B133" s="1">
        <v>3</v>
      </c>
      <c r="C133" s="1" t="s">
        <v>21</v>
      </c>
      <c r="D133" s="1" t="s">
        <v>22</v>
      </c>
      <c r="E133" s="1" t="s">
        <v>23</v>
      </c>
      <c r="F133" s="1" t="s">
        <v>395</v>
      </c>
      <c r="G133" s="1" t="s">
        <v>396</v>
      </c>
      <c r="H133" s="1" t="s">
        <v>46</v>
      </c>
      <c r="I133" s="1" t="s">
        <v>464</v>
      </c>
      <c r="J133" s="1" t="s">
        <v>34</v>
      </c>
      <c r="M133" s="1">
        <v>-8295.6261411914002</v>
      </c>
      <c r="O133" s="1" t="s">
        <v>278</v>
      </c>
      <c r="P133" s="1">
        <v>16</v>
      </c>
      <c r="Q133" s="1" t="s">
        <v>610</v>
      </c>
    </row>
    <row r="134" spans="1:17" x14ac:dyDescent="0.25">
      <c r="A134" s="1">
        <v>2018</v>
      </c>
      <c r="B134" s="1">
        <v>3</v>
      </c>
      <c r="C134" s="1" t="s">
        <v>21</v>
      </c>
      <c r="D134" s="1" t="s">
        <v>22</v>
      </c>
      <c r="E134" s="1" t="s">
        <v>23</v>
      </c>
      <c r="F134" s="1" t="s">
        <v>401</v>
      </c>
      <c r="G134" s="1" t="s">
        <v>402</v>
      </c>
      <c r="H134" s="1" t="s">
        <v>46</v>
      </c>
      <c r="I134" s="1" t="s">
        <v>464</v>
      </c>
      <c r="J134" s="1" t="s">
        <v>34</v>
      </c>
      <c r="M134" s="1">
        <v>-1536.2270631836</v>
      </c>
      <c r="O134" s="1" t="s">
        <v>277</v>
      </c>
      <c r="P134" s="1">
        <v>16</v>
      </c>
      <c r="Q134" s="1" t="s">
        <v>610</v>
      </c>
    </row>
    <row r="135" spans="1:17" x14ac:dyDescent="0.25">
      <c r="A135" s="1">
        <v>2018</v>
      </c>
      <c r="B135" s="1">
        <v>4</v>
      </c>
      <c r="C135" s="1" t="s">
        <v>57</v>
      </c>
      <c r="D135" s="1" t="s">
        <v>22</v>
      </c>
      <c r="E135" s="1" t="s">
        <v>23</v>
      </c>
      <c r="F135" s="1" t="s">
        <v>461</v>
      </c>
      <c r="G135" s="1" t="s">
        <v>462</v>
      </c>
      <c r="H135" s="1" t="s">
        <v>46</v>
      </c>
      <c r="I135" s="1" t="s">
        <v>308</v>
      </c>
      <c r="J135" s="1" t="s">
        <v>24</v>
      </c>
      <c r="K135" s="1" t="s">
        <v>312</v>
      </c>
      <c r="L135" s="1" t="s">
        <v>463</v>
      </c>
      <c r="M135" s="1">
        <v>3991</v>
      </c>
    </row>
    <row r="136" spans="1:17" x14ac:dyDescent="0.25">
      <c r="A136" s="1">
        <v>2018</v>
      </c>
      <c r="B136" s="1">
        <v>4</v>
      </c>
      <c r="C136" s="1" t="s">
        <v>57</v>
      </c>
      <c r="D136" s="1" t="s">
        <v>22</v>
      </c>
      <c r="E136" s="1" t="s">
        <v>23</v>
      </c>
      <c r="F136" s="1" t="s">
        <v>481</v>
      </c>
      <c r="G136" s="1" t="s">
        <v>482</v>
      </c>
      <c r="H136" s="1" t="s">
        <v>46</v>
      </c>
      <c r="I136" s="1" t="s">
        <v>308</v>
      </c>
      <c r="J136" s="1" t="s">
        <v>32</v>
      </c>
      <c r="K136" s="1" t="s">
        <v>312</v>
      </c>
      <c r="L136" s="1" t="s">
        <v>463</v>
      </c>
      <c r="M136" s="1">
        <v>3500</v>
      </c>
      <c r="Q136" s="1" t="s">
        <v>604</v>
      </c>
    </row>
    <row r="137" spans="1:17" x14ac:dyDescent="0.25">
      <c r="A137" s="1">
        <v>2018</v>
      </c>
      <c r="B137" s="1">
        <v>4</v>
      </c>
      <c r="C137" s="1" t="s">
        <v>57</v>
      </c>
      <c r="D137" s="1" t="s">
        <v>22</v>
      </c>
      <c r="E137" s="1" t="s">
        <v>23</v>
      </c>
      <c r="F137" s="1" t="s">
        <v>310</v>
      </c>
      <c r="G137" s="1" t="s">
        <v>311</v>
      </c>
      <c r="H137" s="1" t="s">
        <v>46</v>
      </c>
      <c r="I137" s="1" t="s">
        <v>308</v>
      </c>
      <c r="J137" s="1" t="s">
        <v>32</v>
      </c>
      <c r="K137" s="1" t="s">
        <v>312</v>
      </c>
      <c r="L137" s="1" t="s">
        <v>313</v>
      </c>
      <c r="M137" s="1">
        <v>0</v>
      </c>
      <c r="Q137" s="1" t="s">
        <v>604</v>
      </c>
    </row>
    <row r="138" spans="1:17" x14ac:dyDescent="0.25">
      <c r="A138" s="1">
        <v>2018</v>
      </c>
      <c r="B138" s="1">
        <v>4</v>
      </c>
      <c r="C138" s="1" t="s">
        <v>57</v>
      </c>
      <c r="D138" s="1" t="s">
        <v>22</v>
      </c>
      <c r="E138" s="1" t="s">
        <v>23</v>
      </c>
      <c r="F138" s="1" t="s">
        <v>310</v>
      </c>
      <c r="G138" s="1" t="s">
        <v>311</v>
      </c>
      <c r="H138" s="1" t="s">
        <v>46</v>
      </c>
      <c r="I138" s="1" t="s">
        <v>308</v>
      </c>
      <c r="J138" s="1" t="s">
        <v>32</v>
      </c>
      <c r="K138" s="1" t="s">
        <v>312</v>
      </c>
      <c r="L138" s="1" t="s">
        <v>314</v>
      </c>
      <c r="M138" s="1">
        <v>0</v>
      </c>
      <c r="Q138" s="1" t="s">
        <v>604</v>
      </c>
    </row>
    <row r="139" spans="1:17" x14ac:dyDescent="0.25">
      <c r="A139" s="1">
        <v>2018</v>
      </c>
      <c r="B139" s="1">
        <v>4</v>
      </c>
      <c r="C139" s="1" t="s">
        <v>57</v>
      </c>
      <c r="D139" s="1" t="s">
        <v>22</v>
      </c>
      <c r="E139" s="1" t="s">
        <v>23</v>
      </c>
      <c r="F139" s="1" t="s">
        <v>315</v>
      </c>
      <c r="G139" s="1" t="s">
        <v>316</v>
      </c>
      <c r="H139" s="1" t="s">
        <v>46</v>
      </c>
      <c r="I139" s="1" t="s">
        <v>308</v>
      </c>
      <c r="J139" s="1" t="s">
        <v>32</v>
      </c>
      <c r="K139" s="1" t="s">
        <v>312</v>
      </c>
      <c r="L139" s="1" t="s">
        <v>314</v>
      </c>
      <c r="M139" s="1">
        <v>0</v>
      </c>
      <c r="Q139" s="1" t="s">
        <v>604</v>
      </c>
    </row>
    <row r="140" spans="1:17" x14ac:dyDescent="0.25">
      <c r="A140" s="1">
        <v>2018</v>
      </c>
      <c r="B140" s="1">
        <v>4</v>
      </c>
      <c r="C140" s="1" t="s">
        <v>57</v>
      </c>
      <c r="D140" s="1" t="s">
        <v>22</v>
      </c>
      <c r="E140" s="1" t="s">
        <v>23</v>
      </c>
      <c r="F140" s="1" t="s">
        <v>473</v>
      </c>
      <c r="G140" s="1" t="s">
        <v>474</v>
      </c>
      <c r="H140" s="1" t="s">
        <v>46</v>
      </c>
      <c r="I140" s="1" t="s">
        <v>308</v>
      </c>
      <c r="J140" s="1" t="s">
        <v>32</v>
      </c>
      <c r="K140" s="1" t="s">
        <v>312</v>
      </c>
      <c r="L140" s="1" t="s">
        <v>463</v>
      </c>
      <c r="M140" s="1">
        <v>1500</v>
      </c>
      <c r="Q140" s="1" t="s">
        <v>622</v>
      </c>
    </row>
    <row r="141" spans="1:17" x14ac:dyDescent="0.25">
      <c r="A141" s="1">
        <v>2018</v>
      </c>
      <c r="B141" s="1">
        <v>4</v>
      </c>
      <c r="C141" s="1" t="s">
        <v>57</v>
      </c>
      <c r="D141" s="1" t="s">
        <v>22</v>
      </c>
      <c r="E141" s="1" t="s">
        <v>23</v>
      </c>
      <c r="F141" s="1" t="s">
        <v>461</v>
      </c>
      <c r="G141" s="1" t="s">
        <v>462</v>
      </c>
      <c r="H141" s="1" t="s">
        <v>46</v>
      </c>
      <c r="I141" s="1" t="s">
        <v>308</v>
      </c>
      <c r="J141" s="1" t="s">
        <v>32</v>
      </c>
      <c r="K141" s="1" t="s">
        <v>312</v>
      </c>
      <c r="L141" s="1" t="s">
        <v>463</v>
      </c>
      <c r="M141" s="1">
        <v>11664</v>
      </c>
    </row>
    <row r="142" spans="1:17" x14ac:dyDescent="0.25">
      <c r="A142" s="1">
        <v>2018</v>
      </c>
      <c r="B142" s="1">
        <v>4</v>
      </c>
      <c r="C142" s="1" t="s">
        <v>57</v>
      </c>
      <c r="D142" s="1" t="s">
        <v>22</v>
      </c>
      <c r="E142" s="1" t="s">
        <v>23</v>
      </c>
      <c r="F142" s="1" t="s">
        <v>545</v>
      </c>
      <c r="G142" s="1" t="s">
        <v>546</v>
      </c>
      <c r="H142" s="1" t="s">
        <v>46</v>
      </c>
      <c r="I142" s="1" t="s">
        <v>308</v>
      </c>
      <c r="J142" s="1" t="s">
        <v>32</v>
      </c>
      <c r="K142" s="1" t="s">
        <v>312</v>
      </c>
      <c r="L142" s="1" t="s">
        <v>463</v>
      </c>
      <c r="M142" s="1">
        <v>1467</v>
      </c>
      <c r="Q142" s="1" t="s">
        <v>959</v>
      </c>
    </row>
    <row r="143" spans="1:17" x14ac:dyDescent="0.25">
      <c r="A143" s="1">
        <v>2018</v>
      </c>
      <c r="B143" s="1">
        <v>4</v>
      </c>
      <c r="C143" s="1" t="s">
        <v>57</v>
      </c>
      <c r="D143" s="1" t="s">
        <v>22</v>
      </c>
      <c r="E143" s="1" t="s">
        <v>23</v>
      </c>
      <c r="F143" s="1" t="s">
        <v>369</v>
      </c>
      <c r="G143" s="1" t="s">
        <v>370</v>
      </c>
      <c r="H143" s="1" t="s">
        <v>46</v>
      </c>
      <c r="I143" s="1" t="s">
        <v>308</v>
      </c>
      <c r="J143" s="1" t="s">
        <v>34</v>
      </c>
      <c r="K143" s="1" t="s">
        <v>312</v>
      </c>
      <c r="L143" s="1" t="s">
        <v>313</v>
      </c>
      <c r="M143" s="1">
        <v>0</v>
      </c>
      <c r="Q143" s="1" t="s">
        <v>610</v>
      </c>
    </row>
    <row r="144" spans="1:17" x14ac:dyDescent="0.25">
      <c r="A144" s="1">
        <v>2018</v>
      </c>
      <c r="B144" s="1">
        <v>4</v>
      </c>
      <c r="C144" s="1" t="s">
        <v>57</v>
      </c>
      <c r="D144" s="1" t="s">
        <v>22</v>
      </c>
      <c r="E144" s="1" t="s">
        <v>23</v>
      </c>
      <c r="F144" s="1" t="s">
        <v>383</v>
      </c>
      <c r="G144" s="1" t="s">
        <v>384</v>
      </c>
      <c r="H144" s="1" t="s">
        <v>46</v>
      </c>
      <c r="I144" s="1" t="s">
        <v>308</v>
      </c>
      <c r="J144" s="1" t="s">
        <v>34</v>
      </c>
      <c r="K144" s="1" t="s">
        <v>312</v>
      </c>
      <c r="L144" s="1" t="s">
        <v>313</v>
      </c>
      <c r="M144" s="1">
        <v>0</v>
      </c>
      <c r="Q144" s="1" t="s">
        <v>610</v>
      </c>
    </row>
    <row r="145" spans="1:17" x14ac:dyDescent="0.25">
      <c r="A145" s="1">
        <v>2018</v>
      </c>
      <c r="B145" s="1">
        <v>4</v>
      </c>
      <c r="C145" s="1" t="s">
        <v>57</v>
      </c>
      <c r="D145" s="1" t="s">
        <v>22</v>
      </c>
      <c r="E145" s="1" t="s">
        <v>23</v>
      </c>
      <c r="F145" s="1" t="s">
        <v>383</v>
      </c>
      <c r="G145" s="1" t="s">
        <v>384</v>
      </c>
      <c r="H145" s="1" t="s">
        <v>46</v>
      </c>
      <c r="I145" s="1" t="s">
        <v>308</v>
      </c>
      <c r="J145" s="1" t="s">
        <v>34</v>
      </c>
      <c r="K145" s="1" t="s">
        <v>312</v>
      </c>
      <c r="L145" s="1" t="s">
        <v>463</v>
      </c>
      <c r="M145" s="1">
        <v>1600</v>
      </c>
      <c r="Q145" s="1" t="s">
        <v>610</v>
      </c>
    </row>
    <row r="146" spans="1:17" x14ac:dyDescent="0.25">
      <c r="A146" s="1">
        <v>2018</v>
      </c>
      <c r="B146" s="1">
        <v>4</v>
      </c>
      <c r="C146" s="1" t="s">
        <v>57</v>
      </c>
      <c r="D146" s="1" t="s">
        <v>22</v>
      </c>
      <c r="E146" s="1" t="s">
        <v>23</v>
      </c>
      <c r="F146" s="1" t="s">
        <v>389</v>
      </c>
      <c r="G146" s="1" t="s">
        <v>390</v>
      </c>
      <c r="H146" s="1" t="s">
        <v>46</v>
      </c>
      <c r="I146" s="1" t="s">
        <v>308</v>
      </c>
      <c r="J146" s="1" t="s">
        <v>34</v>
      </c>
      <c r="K146" s="1" t="s">
        <v>312</v>
      </c>
      <c r="L146" s="1" t="s">
        <v>313</v>
      </c>
      <c r="M146" s="1">
        <v>0</v>
      </c>
      <c r="Q146" s="1" t="s">
        <v>610</v>
      </c>
    </row>
    <row r="147" spans="1:17" x14ac:dyDescent="0.25">
      <c r="A147" s="1">
        <v>2018</v>
      </c>
      <c r="B147" s="1">
        <v>4</v>
      </c>
      <c r="C147" s="1" t="s">
        <v>57</v>
      </c>
      <c r="D147" s="1" t="s">
        <v>22</v>
      </c>
      <c r="E147" s="1" t="s">
        <v>23</v>
      </c>
      <c r="F147" s="1" t="s">
        <v>527</v>
      </c>
      <c r="G147" s="1" t="s">
        <v>528</v>
      </c>
      <c r="H147" s="1" t="s">
        <v>46</v>
      </c>
      <c r="I147" s="1" t="s">
        <v>308</v>
      </c>
      <c r="J147" s="1" t="s">
        <v>34</v>
      </c>
      <c r="K147" s="1" t="s">
        <v>312</v>
      </c>
      <c r="L147" s="1" t="s">
        <v>313</v>
      </c>
      <c r="M147" s="1">
        <v>535</v>
      </c>
      <c r="Q147" s="1" t="s">
        <v>610</v>
      </c>
    </row>
    <row r="148" spans="1:17" x14ac:dyDescent="0.25">
      <c r="A148" s="1">
        <v>2018</v>
      </c>
      <c r="B148" s="1">
        <v>4</v>
      </c>
      <c r="C148" s="1" t="s">
        <v>57</v>
      </c>
      <c r="D148" s="1" t="s">
        <v>22</v>
      </c>
      <c r="E148" s="1" t="s">
        <v>23</v>
      </c>
      <c r="F148" s="1" t="s">
        <v>469</v>
      </c>
      <c r="G148" s="1" t="s">
        <v>470</v>
      </c>
      <c r="H148" s="1" t="s">
        <v>46</v>
      </c>
      <c r="I148" s="1" t="s">
        <v>308</v>
      </c>
      <c r="J148" s="1" t="s">
        <v>34</v>
      </c>
      <c r="K148" s="1" t="s">
        <v>312</v>
      </c>
      <c r="L148" s="1" t="s">
        <v>463</v>
      </c>
      <c r="M148" s="1">
        <v>3500</v>
      </c>
      <c r="Q148" s="1" t="s">
        <v>610</v>
      </c>
    </row>
    <row r="149" spans="1:17" x14ac:dyDescent="0.25">
      <c r="A149" s="1">
        <v>2018</v>
      </c>
      <c r="B149" s="1">
        <v>4</v>
      </c>
      <c r="C149" s="1" t="s">
        <v>57</v>
      </c>
      <c r="D149" s="1" t="s">
        <v>22</v>
      </c>
      <c r="E149" s="1" t="s">
        <v>23</v>
      </c>
      <c r="F149" s="1" t="s">
        <v>461</v>
      </c>
      <c r="G149" s="1" t="s">
        <v>462</v>
      </c>
      <c r="H149" s="1" t="s">
        <v>46</v>
      </c>
      <c r="I149" s="1" t="s">
        <v>308</v>
      </c>
      <c r="J149" s="1" t="s">
        <v>34</v>
      </c>
      <c r="K149" s="1" t="s">
        <v>312</v>
      </c>
      <c r="L149" s="1" t="s">
        <v>463</v>
      </c>
      <c r="M149" s="1">
        <v>5409</v>
      </c>
    </row>
    <row r="150" spans="1:17" x14ac:dyDescent="0.25">
      <c r="A150" s="1">
        <v>2018</v>
      </c>
      <c r="B150" s="1">
        <v>4</v>
      </c>
      <c r="C150" s="1" t="s">
        <v>57</v>
      </c>
      <c r="D150" s="1" t="s">
        <v>22</v>
      </c>
      <c r="E150" s="1" t="s">
        <v>23</v>
      </c>
      <c r="F150" s="1" t="s">
        <v>306</v>
      </c>
      <c r="G150" s="1" t="s">
        <v>307</v>
      </c>
      <c r="H150" s="1" t="s">
        <v>46</v>
      </c>
      <c r="I150" s="1" t="s">
        <v>308</v>
      </c>
      <c r="J150" s="1" t="s">
        <v>32</v>
      </c>
      <c r="K150" s="1" t="s">
        <v>309</v>
      </c>
      <c r="L150" s="1" t="s">
        <v>86</v>
      </c>
      <c r="M150" s="1">
        <v>0</v>
      </c>
      <c r="N150" s="2">
        <f>M150/ActivityCenter!$L$10</f>
        <v>0</v>
      </c>
      <c r="Q150" s="1" t="s">
        <v>622</v>
      </c>
    </row>
    <row r="151" spans="1:17" x14ac:dyDescent="0.25">
      <c r="A151" s="1">
        <v>2018</v>
      </c>
      <c r="B151" s="1">
        <v>4</v>
      </c>
      <c r="C151" s="1" t="s">
        <v>57</v>
      </c>
      <c r="D151" s="1" t="s">
        <v>22</v>
      </c>
      <c r="E151" s="1" t="s">
        <v>23</v>
      </c>
      <c r="F151" s="1" t="s">
        <v>319</v>
      </c>
      <c r="G151" s="1" t="s">
        <v>320</v>
      </c>
      <c r="H151" s="1" t="s">
        <v>46</v>
      </c>
      <c r="I151" s="1" t="s">
        <v>308</v>
      </c>
      <c r="J151" s="1" t="s">
        <v>32</v>
      </c>
      <c r="K151" s="1" t="s">
        <v>309</v>
      </c>
      <c r="L151" s="1" t="s">
        <v>86</v>
      </c>
      <c r="M151" s="1">
        <v>0</v>
      </c>
      <c r="N151" s="2">
        <f>M151/ActivityCenter!$L$10</f>
        <v>0</v>
      </c>
      <c r="Q151" s="1" t="s">
        <v>622</v>
      </c>
    </row>
    <row r="152" spans="1:17" x14ac:dyDescent="0.25">
      <c r="A152" s="1">
        <v>2018</v>
      </c>
      <c r="B152" s="1">
        <v>4</v>
      </c>
      <c r="C152" s="1" t="s">
        <v>57</v>
      </c>
      <c r="D152" s="1" t="s">
        <v>22</v>
      </c>
      <c r="E152" s="1" t="s">
        <v>23</v>
      </c>
      <c r="F152" s="1" t="s">
        <v>321</v>
      </c>
      <c r="G152" s="1" t="s">
        <v>322</v>
      </c>
      <c r="H152" s="1" t="s">
        <v>46</v>
      </c>
      <c r="I152" s="1" t="s">
        <v>308</v>
      </c>
      <c r="J152" s="1" t="s">
        <v>32</v>
      </c>
      <c r="K152" s="1" t="s">
        <v>309</v>
      </c>
      <c r="L152" s="1" t="s">
        <v>87</v>
      </c>
      <c r="M152" s="1">
        <v>0</v>
      </c>
      <c r="N152" s="2">
        <f>M152/ActivityCenter!$L$10</f>
        <v>0</v>
      </c>
      <c r="Q152" s="1" t="s">
        <v>622</v>
      </c>
    </row>
    <row r="153" spans="1:17" x14ac:dyDescent="0.25">
      <c r="A153" s="1">
        <v>2018</v>
      </c>
      <c r="B153" s="1">
        <v>4</v>
      </c>
      <c r="C153" s="1" t="s">
        <v>57</v>
      </c>
      <c r="D153" s="1" t="s">
        <v>22</v>
      </c>
      <c r="E153" s="1" t="s">
        <v>23</v>
      </c>
      <c r="F153" s="1" t="s">
        <v>323</v>
      </c>
      <c r="G153" s="1" t="s">
        <v>324</v>
      </c>
      <c r="H153" s="1" t="s">
        <v>46</v>
      </c>
      <c r="I153" s="1" t="s">
        <v>308</v>
      </c>
      <c r="J153" s="1" t="s">
        <v>32</v>
      </c>
      <c r="K153" s="1" t="s">
        <v>309</v>
      </c>
      <c r="L153" s="1" t="s">
        <v>90</v>
      </c>
      <c r="M153" s="1">
        <v>0</v>
      </c>
      <c r="N153" s="2">
        <f>M153/ActivityCenter!$L$10</f>
        <v>0</v>
      </c>
      <c r="Q153" s="1" t="s">
        <v>622</v>
      </c>
    </row>
    <row r="154" spans="1:17" x14ac:dyDescent="0.25">
      <c r="A154" s="1">
        <v>2018</v>
      </c>
      <c r="B154" s="1">
        <v>4</v>
      </c>
      <c r="C154" s="1" t="s">
        <v>57</v>
      </c>
      <c r="D154" s="1" t="s">
        <v>22</v>
      </c>
      <c r="E154" s="1" t="s">
        <v>23</v>
      </c>
      <c r="F154" s="1" t="s">
        <v>323</v>
      </c>
      <c r="G154" s="1" t="s">
        <v>324</v>
      </c>
      <c r="H154" s="1" t="s">
        <v>46</v>
      </c>
      <c r="I154" s="1" t="s">
        <v>308</v>
      </c>
      <c r="J154" s="1" t="s">
        <v>32</v>
      </c>
      <c r="K154" s="1" t="s">
        <v>309</v>
      </c>
      <c r="L154" s="1" t="s">
        <v>93</v>
      </c>
      <c r="M154" s="1">
        <v>1129.1180555556</v>
      </c>
      <c r="N154" s="2">
        <f>M154/ActivityCenter!$L$10</f>
        <v>15.000000000007971</v>
      </c>
      <c r="Q154" s="1" t="s">
        <v>622</v>
      </c>
    </row>
    <row r="155" spans="1:17" x14ac:dyDescent="0.25">
      <c r="A155" s="1">
        <v>2018</v>
      </c>
      <c r="B155" s="1">
        <v>4</v>
      </c>
      <c r="C155" s="1" t="s">
        <v>57</v>
      </c>
      <c r="D155" s="1" t="s">
        <v>22</v>
      </c>
      <c r="E155" s="1" t="s">
        <v>23</v>
      </c>
      <c r="F155" s="1" t="s">
        <v>325</v>
      </c>
      <c r="G155" s="1" t="s">
        <v>326</v>
      </c>
      <c r="H155" s="1" t="s">
        <v>46</v>
      </c>
      <c r="I155" s="1" t="s">
        <v>308</v>
      </c>
      <c r="J155" s="1" t="s">
        <v>32</v>
      </c>
      <c r="K155" s="1" t="s">
        <v>309</v>
      </c>
      <c r="L155" s="1" t="s">
        <v>90</v>
      </c>
      <c r="M155" s="1">
        <v>0</v>
      </c>
      <c r="N155" s="2">
        <f>M155/ActivityCenter!$L$10</f>
        <v>0</v>
      </c>
      <c r="Q155" s="1" t="s">
        <v>622</v>
      </c>
    </row>
    <row r="156" spans="1:17" x14ac:dyDescent="0.25">
      <c r="A156" s="1">
        <v>2018</v>
      </c>
      <c r="B156" s="1">
        <v>4</v>
      </c>
      <c r="C156" s="1" t="s">
        <v>57</v>
      </c>
      <c r="D156" s="1" t="s">
        <v>22</v>
      </c>
      <c r="E156" s="1" t="s">
        <v>23</v>
      </c>
      <c r="F156" s="1" t="s">
        <v>325</v>
      </c>
      <c r="G156" s="1" t="s">
        <v>326</v>
      </c>
      <c r="H156" s="1" t="s">
        <v>46</v>
      </c>
      <c r="I156" s="1" t="s">
        <v>308</v>
      </c>
      <c r="J156" s="1" t="s">
        <v>32</v>
      </c>
      <c r="K156" s="1" t="s">
        <v>309</v>
      </c>
      <c r="L156" s="1" t="s">
        <v>93</v>
      </c>
      <c r="M156" s="1">
        <v>0</v>
      </c>
      <c r="N156" s="2">
        <f>M156/ActivityCenter!$L$10</f>
        <v>0</v>
      </c>
      <c r="Q156" s="1" t="s">
        <v>622</v>
      </c>
    </row>
    <row r="157" spans="1:17" x14ac:dyDescent="0.25">
      <c r="A157" s="1">
        <v>2018</v>
      </c>
      <c r="B157" s="1">
        <v>4</v>
      </c>
      <c r="C157" s="1" t="s">
        <v>57</v>
      </c>
      <c r="D157" s="1" t="s">
        <v>22</v>
      </c>
      <c r="E157" s="1" t="s">
        <v>23</v>
      </c>
      <c r="F157" s="1" t="s">
        <v>483</v>
      </c>
      <c r="G157" s="1" t="s">
        <v>484</v>
      </c>
      <c r="H157" s="1" t="s">
        <v>46</v>
      </c>
      <c r="I157" s="1" t="s">
        <v>308</v>
      </c>
      <c r="J157" s="1" t="s">
        <v>32</v>
      </c>
      <c r="K157" s="1" t="s">
        <v>309</v>
      </c>
      <c r="L157" s="1" t="s">
        <v>103</v>
      </c>
      <c r="M157" s="1">
        <v>4140.0995370370001</v>
      </c>
      <c r="N157" s="2">
        <f>M157/ActivityCenter!$L$10</f>
        <v>55.000000000026567</v>
      </c>
      <c r="Q157" s="1" t="s">
        <v>622</v>
      </c>
    </row>
    <row r="158" spans="1:17" x14ac:dyDescent="0.25">
      <c r="A158" s="1">
        <v>2018</v>
      </c>
      <c r="B158" s="1">
        <v>4</v>
      </c>
      <c r="C158" s="1" t="s">
        <v>57</v>
      </c>
      <c r="D158" s="1" t="s">
        <v>22</v>
      </c>
      <c r="E158" s="1" t="s">
        <v>23</v>
      </c>
      <c r="F158" s="1" t="s">
        <v>327</v>
      </c>
      <c r="G158" s="1" t="s">
        <v>328</v>
      </c>
      <c r="H158" s="1" t="s">
        <v>46</v>
      </c>
      <c r="I158" s="1" t="s">
        <v>308</v>
      </c>
      <c r="J158" s="1" t="s">
        <v>32</v>
      </c>
      <c r="K158" s="1" t="s">
        <v>309</v>
      </c>
      <c r="L158" s="1" t="s">
        <v>90</v>
      </c>
      <c r="M158" s="1">
        <v>0</v>
      </c>
      <c r="N158" s="2">
        <f>M158/ActivityCenter!$L$10</f>
        <v>0</v>
      </c>
      <c r="Q158" s="1" t="s">
        <v>622</v>
      </c>
    </row>
    <row r="159" spans="1:17" x14ac:dyDescent="0.25">
      <c r="A159" s="1">
        <v>2018</v>
      </c>
      <c r="B159" s="1">
        <v>4</v>
      </c>
      <c r="C159" s="1" t="s">
        <v>57</v>
      </c>
      <c r="D159" s="1" t="s">
        <v>22</v>
      </c>
      <c r="E159" s="1" t="s">
        <v>23</v>
      </c>
      <c r="F159" s="1" t="s">
        <v>329</v>
      </c>
      <c r="G159" s="1" t="s">
        <v>330</v>
      </c>
      <c r="H159" s="1" t="s">
        <v>46</v>
      </c>
      <c r="I159" s="1" t="s">
        <v>308</v>
      </c>
      <c r="J159" s="1" t="s">
        <v>32</v>
      </c>
      <c r="K159" s="1" t="s">
        <v>309</v>
      </c>
      <c r="L159" s="1" t="s">
        <v>90</v>
      </c>
      <c r="M159" s="1">
        <v>0</v>
      </c>
      <c r="N159" s="2">
        <f>M159/ActivityCenter!$L$10</f>
        <v>0</v>
      </c>
      <c r="Q159" s="1" t="s">
        <v>622</v>
      </c>
    </row>
    <row r="160" spans="1:17" x14ac:dyDescent="0.25">
      <c r="A160" s="1">
        <v>2018</v>
      </c>
      <c r="B160" s="1">
        <v>4</v>
      </c>
      <c r="C160" s="1" t="s">
        <v>57</v>
      </c>
      <c r="D160" s="1" t="s">
        <v>22</v>
      </c>
      <c r="E160" s="1" t="s">
        <v>23</v>
      </c>
      <c r="F160" s="1" t="s">
        <v>477</v>
      </c>
      <c r="G160" s="1" t="s">
        <v>478</v>
      </c>
      <c r="H160" s="1" t="s">
        <v>46</v>
      </c>
      <c r="I160" s="1" t="s">
        <v>308</v>
      </c>
      <c r="J160" s="1" t="s">
        <v>32</v>
      </c>
      <c r="K160" s="1" t="s">
        <v>309</v>
      </c>
      <c r="L160" s="1" t="s">
        <v>90</v>
      </c>
      <c r="M160" s="1">
        <v>7602.7282407407001</v>
      </c>
      <c r="N160" s="2">
        <f>M160/ActivityCenter!$L$10</f>
        <v>101.00000000004916</v>
      </c>
      <c r="Q160" s="1" t="s">
        <v>622</v>
      </c>
    </row>
    <row r="161" spans="1:17" x14ac:dyDescent="0.25">
      <c r="A161" s="1">
        <v>2018</v>
      </c>
      <c r="B161" s="1">
        <v>4</v>
      </c>
      <c r="C161" s="1" t="s">
        <v>57</v>
      </c>
      <c r="D161" s="1" t="s">
        <v>22</v>
      </c>
      <c r="E161" s="1" t="s">
        <v>23</v>
      </c>
      <c r="F161" s="1" t="s">
        <v>331</v>
      </c>
      <c r="G161" s="1" t="s">
        <v>332</v>
      </c>
      <c r="H161" s="1" t="s">
        <v>46</v>
      </c>
      <c r="I161" s="1" t="s">
        <v>308</v>
      </c>
      <c r="J161" s="1" t="s">
        <v>32</v>
      </c>
      <c r="K161" s="1" t="s">
        <v>309</v>
      </c>
      <c r="L161" s="1" t="s">
        <v>90</v>
      </c>
      <c r="M161" s="1">
        <v>0</v>
      </c>
      <c r="N161" s="2">
        <f>M161/ActivityCenter!$L$10</f>
        <v>0</v>
      </c>
      <c r="Q161" s="1" t="s">
        <v>622</v>
      </c>
    </row>
    <row r="162" spans="1:17" x14ac:dyDescent="0.25">
      <c r="A162" s="1">
        <v>2018</v>
      </c>
      <c r="B162" s="1">
        <v>4</v>
      </c>
      <c r="C162" s="1" t="s">
        <v>57</v>
      </c>
      <c r="D162" s="1" t="s">
        <v>22</v>
      </c>
      <c r="E162" s="1" t="s">
        <v>23</v>
      </c>
      <c r="F162" s="1" t="s">
        <v>333</v>
      </c>
      <c r="G162" s="1" t="s">
        <v>334</v>
      </c>
      <c r="H162" s="1" t="s">
        <v>46</v>
      </c>
      <c r="I162" s="1" t="s">
        <v>308</v>
      </c>
      <c r="J162" s="1" t="s">
        <v>32</v>
      </c>
      <c r="K162" s="1" t="s">
        <v>309</v>
      </c>
      <c r="L162" s="1" t="s">
        <v>90</v>
      </c>
      <c r="M162" s="1">
        <v>0</v>
      </c>
      <c r="N162" s="2">
        <f>M162/ActivityCenter!$L$10</f>
        <v>0</v>
      </c>
      <c r="Q162" s="1" t="s">
        <v>622</v>
      </c>
    </row>
    <row r="163" spans="1:17" x14ac:dyDescent="0.25">
      <c r="A163" s="1">
        <v>2018</v>
      </c>
      <c r="B163" s="1">
        <v>4</v>
      </c>
      <c r="C163" s="1" t="s">
        <v>57</v>
      </c>
      <c r="D163" s="1" t="s">
        <v>22</v>
      </c>
      <c r="E163" s="1" t="s">
        <v>23</v>
      </c>
      <c r="F163" s="1" t="s">
        <v>333</v>
      </c>
      <c r="G163" s="1" t="s">
        <v>334</v>
      </c>
      <c r="H163" s="1" t="s">
        <v>46</v>
      </c>
      <c r="I163" s="1" t="s">
        <v>308</v>
      </c>
      <c r="J163" s="1" t="s">
        <v>32</v>
      </c>
      <c r="K163" s="1" t="s">
        <v>309</v>
      </c>
      <c r="L163" s="1" t="s">
        <v>93</v>
      </c>
      <c r="M163" s="1">
        <v>0</v>
      </c>
      <c r="N163" s="2">
        <f>M163/ActivityCenter!$L$10</f>
        <v>0</v>
      </c>
      <c r="Q163" s="1" t="s">
        <v>622</v>
      </c>
    </row>
    <row r="164" spans="1:17" x14ac:dyDescent="0.25">
      <c r="A164" s="1">
        <v>2018</v>
      </c>
      <c r="B164" s="1">
        <v>4</v>
      </c>
      <c r="C164" s="1" t="s">
        <v>57</v>
      </c>
      <c r="D164" s="1" t="s">
        <v>22</v>
      </c>
      <c r="E164" s="1" t="s">
        <v>23</v>
      </c>
      <c r="F164" s="1" t="s">
        <v>335</v>
      </c>
      <c r="G164" s="1" t="s">
        <v>336</v>
      </c>
      <c r="H164" s="1" t="s">
        <v>46</v>
      </c>
      <c r="I164" s="1" t="s">
        <v>308</v>
      </c>
      <c r="J164" s="1" t="s">
        <v>32</v>
      </c>
      <c r="K164" s="1" t="s">
        <v>309</v>
      </c>
      <c r="L164" s="1" t="s">
        <v>90</v>
      </c>
      <c r="M164" s="1">
        <v>0</v>
      </c>
      <c r="N164" s="2">
        <f>M164/ActivityCenter!$L$10</f>
        <v>0</v>
      </c>
      <c r="Q164" s="1" t="s">
        <v>622</v>
      </c>
    </row>
    <row r="165" spans="1:17" x14ac:dyDescent="0.25">
      <c r="A165" s="1">
        <v>2018</v>
      </c>
      <c r="B165" s="1">
        <v>4</v>
      </c>
      <c r="C165" s="1" t="s">
        <v>57</v>
      </c>
      <c r="D165" s="1" t="s">
        <v>22</v>
      </c>
      <c r="E165" s="1" t="s">
        <v>23</v>
      </c>
      <c r="F165" s="1" t="s">
        <v>337</v>
      </c>
      <c r="G165" s="1" t="s">
        <v>338</v>
      </c>
      <c r="H165" s="1" t="s">
        <v>46</v>
      </c>
      <c r="I165" s="1" t="s">
        <v>308</v>
      </c>
      <c r="J165" s="1" t="s">
        <v>32</v>
      </c>
      <c r="K165" s="1" t="s">
        <v>309</v>
      </c>
      <c r="L165" s="1" t="s">
        <v>86</v>
      </c>
      <c r="M165" s="1">
        <v>0</v>
      </c>
      <c r="N165" s="2">
        <f>M165/ActivityCenter!$L$10</f>
        <v>0</v>
      </c>
      <c r="Q165" s="1" t="s">
        <v>622</v>
      </c>
    </row>
    <row r="166" spans="1:17" x14ac:dyDescent="0.25">
      <c r="A166" s="1">
        <v>2018</v>
      </c>
      <c r="B166" s="1">
        <v>4</v>
      </c>
      <c r="C166" s="1" t="s">
        <v>57</v>
      </c>
      <c r="D166" s="1" t="s">
        <v>22</v>
      </c>
      <c r="E166" s="1" t="s">
        <v>23</v>
      </c>
      <c r="F166" s="1" t="s">
        <v>337</v>
      </c>
      <c r="G166" s="1" t="s">
        <v>338</v>
      </c>
      <c r="H166" s="1" t="s">
        <v>46</v>
      </c>
      <c r="I166" s="1" t="s">
        <v>308</v>
      </c>
      <c r="J166" s="1" t="s">
        <v>32</v>
      </c>
      <c r="K166" s="1" t="s">
        <v>309</v>
      </c>
      <c r="L166" s="1" t="s">
        <v>90</v>
      </c>
      <c r="M166" s="1">
        <v>0</v>
      </c>
      <c r="N166" s="2">
        <f>M166/ActivityCenter!$L$10</f>
        <v>0</v>
      </c>
      <c r="Q166" s="1" t="s">
        <v>622</v>
      </c>
    </row>
    <row r="167" spans="1:17" x14ac:dyDescent="0.25">
      <c r="A167" s="1">
        <v>2018</v>
      </c>
      <c r="B167" s="1">
        <v>4</v>
      </c>
      <c r="C167" s="1" t="s">
        <v>57</v>
      </c>
      <c r="D167" s="1" t="s">
        <v>22</v>
      </c>
      <c r="E167" s="1" t="s">
        <v>23</v>
      </c>
      <c r="F167" s="1" t="s">
        <v>337</v>
      </c>
      <c r="G167" s="1" t="s">
        <v>338</v>
      </c>
      <c r="H167" s="1" t="s">
        <v>46</v>
      </c>
      <c r="I167" s="1" t="s">
        <v>308</v>
      </c>
      <c r="J167" s="1" t="s">
        <v>32</v>
      </c>
      <c r="K167" s="1" t="s">
        <v>309</v>
      </c>
      <c r="L167" s="1" t="s">
        <v>93</v>
      </c>
      <c r="M167" s="1">
        <v>19947.752314814799</v>
      </c>
      <c r="N167" s="2">
        <f>M167/ActivityCenter!$L$10</f>
        <v>265.00000000013017</v>
      </c>
      <c r="Q167" s="1" t="s">
        <v>622</v>
      </c>
    </row>
    <row r="168" spans="1:17" x14ac:dyDescent="0.25">
      <c r="A168" s="1">
        <v>2018</v>
      </c>
      <c r="B168" s="1">
        <v>4</v>
      </c>
      <c r="C168" s="1" t="s">
        <v>57</v>
      </c>
      <c r="D168" s="1" t="s">
        <v>22</v>
      </c>
      <c r="E168" s="1" t="s">
        <v>23</v>
      </c>
      <c r="F168" s="1" t="s">
        <v>339</v>
      </c>
      <c r="G168" s="1" t="s">
        <v>340</v>
      </c>
      <c r="H168" s="1" t="s">
        <v>46</v>
      </c>
      <c r="I168" s="1" t="s">
        <v>308</v>
      </c>
      <c r="J168" s="1" t="s">
        <v>32</v>
      </c>
      <c r="K168" s="1" t="s">
        <v>309</v>
      </c>
      <c r="L168" s="1" t="s">
        <v>86</v>
      </c>
      <c r="M168" s="1">
        <v>0</v>
      </c>
      <c r="N168" s="2">
        <f>M168/ActivityCenter!$L$10</f>
        <v>0</v>
      </c>
      <c r="Q168" s="1" t="s">
        <v>622</v>
      </c>
    </row>
    <row r="169" spans="1:17" x14ac:dyDescent="0.25">
      <c r="A169" s="1">
        <v>2018</v>
      </c>
      <c r="B169" s="1">
        <v>4</v>
      </c>
      <c r="C169" s="1" t="s">
        <v>57</v>
      </c>
      <c r="D169" s="1" t="s">
        <v>22</v>
      </c>
      <c r="E169" s="1" t="s">
        <v>23</v>
      </c>
      <c r="F169" s="1" t="s">
        <v>339</v>
      </c>
      <c r="G169" s="1" t="s">
        <v>340</v>
      </c>
      <c r="H169" s="1" t="s">
        <v>46</v>
      </c>
      <c r="I169" s="1" t="s">
        <v>308</v>
      </c>
      <c r="J169" s="1" t="s">
        <v>32</v>
      </c>
      <c r="K169" s="1" t="s">
        <v>309</v>
      </c>
      <c r="L169" s="1" t="s">
        <v>90</v>
      </c>
      <c r="M169" s="1">
        <v>8355.4736111110997</v>
      </c>
      <c r="N169" s="2">
        <f>M169/ActivityCenter!$L$10</f>
        <v>111.00000000005446</v>
      </c>
      <c r="Q169" s="1" t="s">
        <v>622</v>
      </c>
    </row>
    <row r="170" spans="1:17" x14ac:dyDescent="0.25">
      <c r="A170" s="1">
        <v>2018</v>
      </c>
      <c r="B170" s="1">
        <v>4</v>
      </c>
      <c r="C170" s="1" t="s">
        <v>57</v>
      </c>
      <c r="D170" s="1" t="s">
        <v>22</v>
      </c>
      <c r="E170" s="1" t="s">
        <v>23</v>
      </c>
      <c r="F170" s="1" t="s">
        <v>339</v>
      </c>
      <c r="G170" s="1" t="s">
        <v>340</v>
      </c>
      <c r="H170" s="1" t="s">
        <v>46</v>
      </c>
      <c r="I170" s="1" t="s">
        <v>308</v>
      </c>
      <c r="J170" s="1" t="s">
        <v>32</v>
      </c>
      <c r="K170" s="1" t="s">
        <v>309</v>
      </c>
      <c r="L170" s="1" t="s">
        <v>93</v>
      </c>
      <c r="M170" s="1">
        <v>0</v>
      </c>
      <c r="N170" s="2">
        <f>M170/ActivityCenter!$L$10</f>
        <v>0</v>
      </c>
      <c r="Q170" s="1" t="s">
        <v>622</v>
      </c>
    </row>
    <row r="171" spans="1:17" x14ac:dyDescent="0.25">
      <c r="A171" s="1">
        <v>2018</v>
      </c>
      <c r="B171" s="1">
        <v>4</v>
      </c>
      <c r="C171" s="1" t="s">
        <v>57</v>
      </c>
      <c r="D171" s="1" t="s">
        <v>22</v>
      </c>
      <c r="E171" s="1" t="s">
        <v>23</v>
      </c>
      <c r="F171" s="1" t="s">
        <v>341</v>
      </c>
      <c r="G171" s="1" t="s">
        <v>342</v>
      </c>
      <c r="H171" s="1" t="s">
        <v>46</v>
      </c>
      <c r="I171" s="1" t="s">
        <v>308</v>
      </c>
      <c r="J171" s="1" t="s">
        <v>32</v>
      </c>
      <c r="K171" s="1" t="s">
        <v>309</v>
      </c>
      <c r="L171" s="1" t="s">
        <v>86</v>
      </c>
      <c r="M171" s="1">
        <v>0</v>
      </c>
      <c r="N171" s="2">
        <f>M171/ActivityCenter!$L$10</f>
        <v>0</v>
      </c>
      <c r="Q171" s="1" t="s">
        <v>622</v>
      </c>
    </row>
    <row r="172" spans="1:17" x14ac:dyDescent="0.25">
      <c r="A172" s="1">
        <v>2018</v>
      </c>
      <c r="B172" s="1">
        <v>4</v>
      </c>
      <c r="C172" s="1" t="s">
        <v>57</v>
      </c>
      <c r="D172" s="1" t="s">
        <v>22</v>
      </c>
      <c r="E172" s="1" t="s">
        <v>23</v>
      </c>
      <c r="F172" s="1" t="s">
        <v>343</v>
      </c>
      <c r="G172" s="1" t="s">
        <v>344</v>
      </c>
      <c r="H172" s="1" t="s">
        <v>46</v>
      </c>
      <c r="I172" s="1" t="s">
        <v>308</v>
      </c>
      <c r="J172" s="1" t="s">
        <v>32</v>
      </c>
      <c r="K172" s="1" t="s">
        <v>309</v>
      </c>
      <c r="L172" s="1" t="s">
        <v>86</v>
      </c>
      <c r="M172" s="1">
        <v>0</v>
      </c>
      <c r="N172" s="2">
        <f>M172/ActivityCenter!$L$10</f>
        <v>0</v>
      </c>
      <c r="Q172" s="1" t="s">
        <v>622</v>
      </c>
    </row>
    <row r="173" spans="1:17" x14ac:dyDescent="0.25">
      <c r="A173" s="1">
        <v>2018</v>
      </c>
      <c r="B173" s="1">
        <v>4</v>
      </c>
      <c r="C173" s="1" t="s">
        <v>57</v>
      </c>
      <c r="D173" s="1" t="s">
        <v>22</v>
      </c>
      <c r="E173" s="1" t="s">
        <v>23</v>
      </c>
      <c r="F173" s="1" t="s">
        <v>343</v>
      </c>
      <c r="G173" s="1" t="s">
        <v>344</v>
      </c>
      <c r="H173" s="1" t="s">
        <v>46</v>
      </c>
      <c r="I173" s="1" t="s">
        <v>308</v>
      </c>
      <c r="J173" s="1" t="s">
        <v>32</v>
      </c>
      <c r="K173" s="1" t="s">
        <v>309</v>
      </c>
      <c r="L173" s="1" t="s">
        <v>93</v>
      </c>
      <c r="M173" s="1">
        <v>0</v>
      </c>
      <c r="N173" s="2">
        <f>M173/ActivityCenter!$L$10</f>
        <v>0</v>
      </c>
      <c r="Q173" s="1" t="s">
        <v>622</v>
      </c>
    </row>
    <row r="174" spans="1:17" x14ac:dyDescent="0.25">
      <c r="A174" s="1">
        <v>2018</v>
      </c>
      <c r="B174" s="1">
        <v>4</v>
      </c>
      <c r="C174" s="1" t="s">
        <v>57</v>
      </c>
      <c r="D174" s="1" t="s">
        <v>22</v>
      </c>
      <c r="E174" s="1" t="s">
        <v>23</v>
      </c>
      <c r="F174" s="1" t="s">
        <v>345</v>
      </c>
      <c r="G174" s="1" t="s">
        <v>346</v>
      </c>
      <c r="H174" s="1" t="s">
        <v>46</v>
      </c>
      <c r="I174" s="1" t="s">
        <v>308</v>
      </c>
      <c r="J174" s="1" t="s">
        <v>32</v>
      </c>
      <c r="K174" s="1" t="s">
        <v>309</v>
      </c>
      <c r="L174" s="1" t="s">
        <v>86</v>
      </c>
      <c r="M174" s="1">
        <v>0</v>
      </c>
      <c r="N174" s="2">
        <f>M174/ActivityCenter!$L$10</f>
        <v>0</v>
      </c>
      <c r="Q174" s="1" t="s">
        <v>622</v>
      </c>
    </row>
    <row r="175" spans="1:17" x14ac:dyDescent="0.25">
      <c r="A175" s="1">
        <v>2018</v>
      </c>
      <c r="B175" s="1">
        <v>4</v>
      </c>
      <c r="C175" s="1" t="s">
        <v>57</v>
      </c>
      <c r="D175" s="1" t="s">
        <v>22</v>
      </c>
      <c r="E175" s="1" t="s">
        <v>23</v>
      </c>
      <c r="F175" s="1" t="s">
        <v>345</v>
      </c>
      <c r="G175" s="1" t="s">
        <v>346</v>
      </c>
      <c r="H175" s="1" t="s">
        <v>46</v>
      </c>
      <c r="I175" s="1" t="s">
        <v>308</v>
      </c>
      <c r="J175" s="1" t="s">
        <v>32</v>
      </c>
      <c r="K175" s="1" t="s">
        <v>309</v>
      </c>
      <c r="L175" s="1" t="s">
        <v>90</v>
      </c>
      <c r="M175" s="1">
        <v>10237.337037037099</v>
      </c>
      <c r="N175" s="2">
        <f>M175/ActivityCenter!$L$10</f>
        <v>136.00000000006773</v>
      </c>
      <c r="Q175" s="1" t="s">
        <v>622</v>
      </c>
    </row>
    <row r="176" spans="1:17" x14ac:dyDescent="0.25">
      <c r="A176" s="1">
        <v>2018</v>
      </c>
      <c r="B176" s="1">
        <v>4</v>
      </c>
      <c r="C176" s="1" t="s">
        <v>57</v>
      </c>
      <c r="D176" s="1" t="s">
        <v>22</v>
      </c>
      <c r="E176" s="1" t="s">
        <v>23</v>
      </c>
      <c r="F176" s="1" t="s">
        <v>347</v>
      </c>
      <c r="G176" s="1" t="s">
        <v>348</v>
      </c>
      <c r="H176" s="1" t="s">
        <v>46</v>
      </c>
      <c r="I176" s="1" t="s">
        <v>308</v>
      </c>
      <c r="J176" s="1" t="s">
        <v>32</v>
      </c>
      <c r="K176" s="1" t="s">
        <v>309</v>
      </c>
      <c r="L176" s="1" t="s">
        <v>86</v>
      </c>
      <c r="M176" s="1">
        <v>0</v>
      </c>
      <c r="N176" s="2">
        <f>M176/ActivityCenter!$L$10</f>
        <v>0</v>
      </c>
      <c r="Q176" s="1" t="s">
        <v>622</v>
      </c>
    </row>
    <row r="177" spans="1:17" x14ac:dyDescent="0.25">
      <c r="A177" s="1">
        <v>2018</v>
      </c>
      <c r="B177" s="1">
        <v>4</v>
      </c>
      <c r="C177" s="1" t="s">
        <v>57</v>
      </c>
      <c r="D177" s="1" t="s">
        <v>22</v>
      </c>
      <c r="E177" s="1" t="s">
        <v>23</v>
      </c>
      <c r="F177" s="1" t="s">
        <v>349</v>
      </c>
      <c r="G177" s="1" t="s">
        <v>350</v>
      </c>
      <c r="H177" s="1" t="s">
        <v>46</v>
      </c>
      <c r="I177" s="1" t="s">
        <v>308</v>
      </c>
      <c r="J177" s="1" t="s">
        <v>32</v>
      </c>
      <c r="K177" s="1" t="s">
        <v>309</v>
      </c>
      <c r="L177" s="1" t="s">
        <v>86</v>
      </c>
      <c r="M177" s="1">
        <v>0</v>
      </c>
      <c r="N177" s="2">
        <f>M177/ActivityCenter!$L$10</f>
        <v>0</v>
      </c>
      <c r="Q177" s="1" t="s">
        <v>622</v>
      </c>
    </row>
    <row r="178" spans="1:17" x14ac:dyDescent="0.25">
      <c r="A178" s="1">
        <v>2018</v>
      </c>
      <c r="B178" s="1">
        <v>4</v>
      </c>
      <c r="C178" s="1" t="s">
        <v>57</v>
      </c>
      <c r="D178" s="1" t="s">
        <v>22</v>
      </c>
      <c r="E178" s="1" t="s">
        <v>23</v>
      </c>
      <c r="F178" s="1" t="s">
        <v>351</v>
      </c>
      <c r="G178" s="1" t="s">
        <v>352</v>
      </c>
      <c r="H178" s="1" t="s">
        <v>46</v>
      </c>
      <c r="I178" s="1" t="s">
        <v>308</v>
      </c>
      <c r="J178" s="1" t="s">
        <v>32</v>
      </c>
      <c r="K178" s="1" t="s">
        <v>309</v>
      </c>
      <c r="L178" s="1" t="s">
        <v>78</v>
      </c>
      <c r="M178" s="1">
        <v>0</v>
      </c>
      <c r="N178" s="2">
        <f>M178/ActivityCenter!$L$10</f>
        <v>0</v>
      </c>
      <c r="Q178" s="1" t="s">
        <v>622</v>
      </c>
    </row>
    <row r="179" spans="1:17" x14ac:dyDescent="0.25">
      <c r="A179" s="1">
        <v>2018</v>
      </c>
      <c r="B179" s="1">
        <v>4</v>
      </c>
      <c r="C179" s="1" t="s">
        <v>57</v>
      </c>
      <c r="D179" s="1" t="s">
        <v>22</v>
      </c>
      <c r="E179" s="1" t="s">
        <v>23</v>
      </c>
      <c r="F179" s="1" t="s">
        <v>351</v>
      </c>
      <c r="G179" s="1" t="s">
        <v>352</v>
      </c>
      <c r="H179" s="1" t="s">
        <v>46</v>
      </c>
      <c r="I179" s="1" t="s">
        <v>308</v>
      </c>
      <c r="J179" s="1" t="s">
        <v>32</v>
      </c>
      <c r="K179" s="1" t="s">
        <v>309</v>
      </c>
      <c r="L179" s="1" t="s">
        <v>82</v>
      </c>
      <c r="M179" s="1">
        <v>0</v>
      </c>
      <c r="N179" s="2">
        <f>M179/ActivityCenter!$L$10</f>
        <v>0</v>
      </c>
      <c r="Q179" s="1" t="s">
        <v>622</v>
      </c>
    </row>
    <row r="180" spans="1:17" x14ac:dyDescent="0.25">
      <c r="A180" s="1">
        <v>2018</v>
      </c>
      <c r="B180" s="1">
        <v>4</v>
      </c>
      <c r="C180" s="1" t="s">
        <v>57</v>
      </c>
      <c r="D180" s="1" t="s">
        <v>22</v>
      </c>
      <c r="E180" s="1" t="s">
        <v>23</v>
      </c>
      <c r="F180" s="1" t="s">
        <v>353</v>
      </c>
      <c r="G180" s="1" t="s">
        <v>354</v>
      </c>
      <c r="H180" s="1" t="s">
        <v>46</v>
      </c>
      <c r="I180" s="1" t="s">
        <v>308</v>
      </c>
      <c r="J180" s="1" t="s">
        <v>32</v>
      </c>
      <c r="K180" s="1" t="s">
        <v>309</v>
      </c>
      <c r="L180" s="1" t="s">
        <v>86</v>
      </c>
      <c r="M180" s="1">
        <v>0</v>
      </c>
      <c r="N180" s="2">
        <f>M180/ActivityCenter!$L$10</f>
        <v>0</v>
      </c>
      <c r="Q180" s="1" t="s">
        <v>622</v>
      </c>
    </row>
    <row r="181" spans="1:17" x14ac:dyDescent="0.25">
      <c r="A181" s="1">
        <v>2018</v>
      </c>
      <c r="B181" s="1">
        <v>4</v>
      </c>
      <c r="C181" s="1" t="s">
        <v>57</v>
      </c>
      <c r="D181" s="1" t="s">
        <v>22</v>
      </c>
      <c r="E181" s="1" t="s">
        <v>23</v>
      </c>
      <c r="F181" s="1" t="s">
        <v>355</v>
      </c>
      <c r="G181" s="1" t="s">
        <v>356</v>
      </c>
      <c r="H181" s="1" t="s">
        <v>46</v>
      </c>
      <c r="I181" s="1" t="s">
        <v>308</v>
      </c>
      <c r="J181" s="1" t="s">
        <v>32</v>
      </c>
      <c r="K181" s="1" t="s">
        <v>309</v>
      </c>
      <c r="L181" s="1" t="s">
        <v>86</v>
      </c>
      <c r="M181" s="1">
        <v>0</v>
      </c>
      <c r="N181" s="2">
        <f>M181/ActivityCenter!$L$10</f>
        <v>0</v>
      </c>
      <c r="Q181" s="1" t="s">
        <v>622</v>
      </c>
    </row>
    <row r="182" spans="1:17" x14ac:dyDescent="0.25">
      <c r="A182" s="1">
        <v>2018</v>
      </c>
      <c r="B182" s="1">
        <v>4</v>
      </c>
      <c r="C182" s="1" t="s">
        <v>57</v>
      </c>
      <c r="D182" s="1" t="s">
        <v>22</v>
      </c>
      <c r="E182" s="1" t="s">
        <v>23</v>
      </c>
      <c r="F182" s="1" t="s">
        <v>357</v>
      </c>
      <c r="G182" s="1" t="s">
        <v>358</v>
      </c>
      <c r="H182" s="1" t="s">
        <v>46</v>
      </c>
      <c r="I182" s="1" t="s">
        <v>308</v>
      </c>
      <c r="J182" s="1" t="s">
        <v>32</v>
      </c>
      <c r="K182" s="1" t="s">
        <v>309</v>
      </c>
      <c r="L182" s="1" t="s">
        <v>86</v>
      </c>
      <c r="M182" s="1">
        <v>0</v>
      </c>
      <c r="N182" s="2">
        <f>M182/ActivityCenter!$L$10</f>
        <v>0</v>
      </c>
      <c r="Q182" s="1" t="s">
        <v>622</v>
      </c>
    </row>
    <row r="183" spans="1:17" x14ac:dyDescent="0.25">
      <c r="A183" s="1">
        <v>2018</v>
      </c>
      <c r="B183" s="1">
        <v>4</v>
      </c>
      <c r="C183" s="1" t="s">
        <v>57</v>
      </c>
      <c r="D183" s="1" t="s">
        <v>22</v>
      </c>
      <c r="E183" s="1" t="s">
        <v>23</v>
      </c>
      <c r="F183" s="1" t="s">
        <v>485</v>
      </c>
      <c r="G183" s="1" t="s">
        <v>486</v>
      </c>
      <c r="H183" s="1" t="s">
        <v>46</v>
      </c>
      <c r="I183" s="1" t="s">
        <v>308</v>
      </c>
      <c r="J183" s="1" t="s">
        <v>32</v>
      </c>
      <c r="K183" s="1" t="s">
        <v>309</v>
      </c>
      <c r="L183" s="1" t="s">
        <v>86</v>
      </c>
      <c r="M183" s="1">
        <v>12871.9458333333</v>
      </c>
      <c r="N183" s="2">
        <f>M183/ActivityCenter!$L$10</f>
        <v>171.0000000000837</v>
      </c>
      <c r="Q183" s="1" t="s">
        <v>622</v>
      </c>
    </row>
    <row r="184" spans="1:17" x14ac:dyDescent="0.25">
      <c r="A184" s="1">
        <v>2018</v>
      </c>
      <c r="B184" s="1">
        <v>4</v>
      </c>
      <c r="C184" s="1" t="s">
        <v>57</v>
      </c>
      <c r="D184" s="1" t="s">
        <v>22</v>
      </c>
      <c r="E184" s="1" t="s">
        <v>23</v>
      </c>
      <c r="F184" s="1" t="s">
        <v>487</v>
      </c>
      <c r="G184" s="1" t="s">
        <v>488</v>
      </c>
      <c r="H184" s="1" t="s">
        <v>46</v>
      </c>
      <c r="I184" s="1" t="s">
        <v>308</v>
      </c>
      <c r="J184" s="1" t="s">
        <v>32</v>
      </c>
      <c r="K184" s="1" t="s">
        <v>309</v>
      </c>
      <c r="L184" s="1" t="s">
        <v>86</v>
      </c>
      <c r="M184" s="1">
        <v>11667.553240740701</v>
      </c>
      <c r="N184" s="2">
        <f>M184/ActivityCenter!$L$10</f>
        <v>155.00000000007574</v>
      </c>
      <c r="Q184" s="1" t="s">
        <v>622</v>
      </c>
    </row>
    <row r="185" spans="1:17" x14ac:dyDescent="0.25">
      <c r="A185" s="1">
        <v>2018</v>
      </c>
      <c r="B185" s="1">
        <v>4</v>
      </c>
      <c r="C185" s="1" t="s">
        <v>57</v>
      </c>
      <c r="D185" s="1" t="s">
        <v>22</v>
      </c>
      <c r="E185" s="1" t="s">
        <v>23</v>
      </c>
      <c r="F185" s="1" t="s">
        <v>489</v>
      </c>
      <c r="G185" s="1" t="s">
        <v>490</v>
      </c>
      <c r="H185" s="1" t="s">
        <v>46</v>
      </c>
      <c r="I185" s="1" t="s">
        <v>308</v>
      </c>
      <c r="J185" s="1" t="s">
        <v>32</v>
      </c>
      <c r="K185" s="1" t="s">
        <v>309</v>
      </c>
      <c r="L185" s="1" t="s">
        <v>86</v>
      </c>
      <c r="M185" s="1">
        <v>6172.5120370369996</v>
      </c>
      <c r="N185" s="2">
        <f>M185/ActivityCenter!$L$10</f>
        <v>82.000000000039847</v>
      </c>
      <c r="Q185" s="1" t="s">
        <v>622</v>
      </c>
    </row>
    <row r="186" spans="1:17" x14ac:dyDescent="0.25">
      <c r="A186" s="1">
        <v>2018</v>
      </c>
      <c r="B186" s="1">
        <v>4</v>
      </c>
      <c r="C186" s="1" t="s">
        <v>57</v>
      </c>
      <c r="D186" s="1" t="s">
        <v>22</v>
      </c>
      <c r="E186" s="1" t="s">
        <v>23</v>
      </c>
      <c r="F186" s="1" t="s">
        <v>491</v>
      </c>
      <c r="G186" s="1" t="s">
        <v>492</v>
      </c>
      <c r="H186" s="1" t="s">
        <v>46</v>
      </c>
      <c r="I186" s="1" t="s">
        <v>308</v>
      </c>
      <c r="J186" s="1" t="s">
        <v>32</v>
      </c>
      <c r="K186" s="1" t="s">
        <v>309</v>
      </c>
      <c r="L186" s="1" t="s">
        <v>86</v>
      </c>
      <c r="M186" s="1">
        <v>5419.7666666667001</v>
      </c>
      <c r="N186" s="2">
        <f>M186/ActivityCenter!$L$10</f>
        <v>72.000000000035868</v>
      </c>
      <c r="Q186" s="1" t="s">
        <v>622</v>
      </c>
    </row>
    <row r="187" spans="1:17" x14ac:dyDescent="0.25">
      <c r="A187" s="1">
        <v>2018</v>
      </c>
      <c r="B187" s="1">
        <v>4</v>
      </c>
      <c r="C187" s="1" t="s">
        <v>57</v>
      </c>
      <c r="D187" s="1" t="s">
        <v>22</v>
      </c>
      <c r="E187" s="1" t="s">
        <v>23</v>
      </c>
      <c r="F187" s="1" t="s">
        <v>493</v>
      </c>
      <c r="G187" s="1" t="s">
        <v>494</v>
      </c>
      <c r="H187" s="1" t="s">
        <v>46</v>
      </c>
      <c r="I187" s="1" t="s">
        <v>308</v>
      </c>
      <c r="J187" s="1" t="s">
        <v>32</v>
      </c>
      <c r="K187" s="1" t="s">
        <v>309</v>
      </c>
      <c r="L187" s="1" t="s">
        <v>86</v>
      </c>
      <c r="M187" s="1">
        <v>7376.9046296296001</v>
      </c>
      <c r="N187" s="2">
        <f>M187/ActivityCenter!$L$10</f>
        <v>98.00000000004782</v>
      </c>
      <c r="Q187" s="1" t="s">
        <v>622</v>
      </c>
    </row>
    <row r="188" spans="1:17" x14ac:dyDescent="0.25">
      <c r="A188" s="1">
        <v>2018</v>
      </c>
      <c r="B188" s="1">
        <v>4</v>
      </c>
      <c r="C188" s="1" t="s">
        <v>57</v>
      </c>
      <c r="D188" s="1" t="s">
        <v>22</v>
      </c>
      <c r="E188" s="1" t="s">
        <v>23</v>
      </c>
      <c r="F188" s="1" t="s">
        <v>495</v>
      </c>
      <c r="G188" s="1" t="s">
        <v>496</v>
      </c>
      <c r="H188" s="1" t="s">
        <v>46</v>
      </c>
      <c r="I188" s="1" t="s">
        <v>308</v>
      </c>
      <c r="J188" s="1" t="s">
        <v>32</v>
      </c>
      <c r="K188" s="1" t="s">
        <v>309</v>
      </c>
      <c r="L188" s="1" t="s">
        <v>86</v>
      </c>
      <c r="M188" s="1">
        <v>5269.2175925926003</v>
      </c>
      <c r="N188" s="2">
        <f>M188/ActivityCenter!$L$10</f>
        <v>70.000000000034547</v>
      </c>
      <c r="Q188" s="1" t="s">
        <v>622</v>
      </c>
    </row>
    <row r="189" spans="1:17" x14ac:dyDescent="0.25">
      <c r="A189" s="1">
        <v>2018</v>
      </c>
      <c r="B189" s="1">
        <v>4</v>
      </c>
      <c r="C189" s="1" t="s">
        <v>57</v>
      </c>
      <c r="D189" s="1" t="s">
        <v>22</v>
      </c>
      <c r="E189" s="1" t="s">
        <v>23</v>
      </c>
      <c r="F189" s="1" t="s">
        <v>497</v>
      </c>
      <c r="G189" s="1" t="s">
        <v>498</v>
      </c>
      <c r="H189" s="1" t="s">
        <v>46</v>
      </c>
      <c r="I189" s="1" t="s">
        <v>308</v>
      </c>
      <c r="J189" s="1" t="s">
        <v>32</v>
      </c>
      <c r="K189" s="1" t="s">
        <v>309</v>
      </c>
      <c r="L189" s="1" t="s">
        <v>86</v>
      </c>
      <c r="M189" s="1">
        <v>11818.1023148148</v>
      </c>
      <c r="N189" s="2">
        <f>M189/ActivityCenter!$L$10</f>
        <v>157.00000000007705</v>
      </c>
      <c r="Q189" s="1" t="s">
        <v>622</v>
      </c>
    </row>
    <row r="190" spans="1:17" x14ac:dyDescent="0.25">
      <c r="A190" s="1">
        <v>2018</v>
      </c>
      <c r="B190" s="1">
        <v>4</v>
      </c>
      <c r="C190" s="1" t="s">
        <v>57</v>
      </c>
      <c r="D190" s="1" t="s">
        <v>22</v>
      </c>
      <c r="E190" s="1" t="s">
        <v>23</v>
      </c>
      <c r="F190" s="1" t="s">
        <v>499</v>
      </c>
      <c r="G190" s="1" t="s">
        <v>500</v>
      </c>
      <c r="H190" s="1" t="s">
        <v>46</v>
      </c>
      <c r="I190" s="1" t="s">
        <v>308</v>
      </c>
      <c r="J190" s="1" t="s">
        <v>32</v>
      </c>
      <c r="K190" s="1" t="s">
        <v>309</v>
      </c>
      <c r="L190" s="1" t="s">
        <v>86</v>
      </c>
      <c r="M190" s="1">
        <v>7527.4537037036998</v>
      </c>
      <c r="N190" s="2">
        <f>M190/ActivityCenter!$L$10</f>
        <v>100.00000000004916</v>
      </c>
      <c r="Q190" s="1" t="s">
        <v>622</v>
      </c>
    </row>
    <row r="191" spans="1:17" x14ac:dyDescent="0.25">
      <c r="A191" s="1">
        <v>2018</v>
      </c>
      <c r="B191" s="1">
        <v>4</v>
      </c>
      <c r="C191" s="1" t="s">
        <v>57</v>
      </c>
      <c r="D191" s="1" t="s">
        <v>22</v>
      </c>
      <c r="E191" s="1" t="s">
        <v>23</v>
      </c>
      <c r="F191" s="1" t="s">
        <v>501</v>
      </c>
      <c r="G191" s="1" t="s">
        <v>502</v>
      </c>
      <c r="H191" s="1" t="s">
        <v>46</v>
      </c>
      <c r="I191" s="1" t="s">
        <v>308</v>
      </c>
      <c r="J191" s="1" t="s">
        <v>32</v>
      </c>
      <c r="K191" s="1" t="s">
        <v>309</v>
      </c>
      <c r="L191" s="1" t="s">
        <v>86</v>
      </c>
      <c r="M191" s="1">
        <v>14151.612962963</v>
      </c>
      <c r="N191" s="2">
        <f>M191/ActivityCenter!$L$10</f>
        <v>188.000000000093</v>
      </c>
      <c r="Q191" s="1" t="s">
        <v>622</v>
      </c>
    </row>
    <row r="192" spans="1:17" x14ac:dyDescent="0.25">
      <c r="A192" s="1">
        <v>2018</v>
      </c>
      <c r="B192" s="1">
        <v>4</v>
      </c>
      <c r="C192" s="1" t="s">
        <v>57</v>
      </c>
      <c r="D192" s="1" t="s">
        <v>22</v>
      </c>
      <c r="E192" s="1" t="s">
        <v>23</v>
      </c>
      <c r="F192" s="1" t="s">
        <v>501</v>
      </c>
      <c r="G192" s="1" t="s">
        <v>502</v>
      </c>
      <c r="H192" s="1" t="s">
        <v>46</v>
      </c>
      <c r="I192" s="1" t="s">
        <v>308</v>
      </c>
      <c r="J192" s="1" t="s">
        <v>32</v>
      </c>
      <c r="K192" s="1" t="s">
        <v>309</v>
      </c>
      <c r="L192" s="1" t="s">
        <v>90</v>
      </c>
      <c r="M192" s="1">
        <v>17162.594444444399</v>
      </c>
      <c r="N192" s="2">
        <f>M192/ActivityCenter!$L$10</f>
        <v>228.00000000011158</v>
      </c>
      <c r="Q192" s="1" t="s">
        <v>622</v>
      </c>
    </row>
    <row r="193" spans="1:17" x14ac:dyDescent="0.25">
      <c r="A193" s="1">
        <v>2018</v>
      </c>
      <c r="B193" s="1">
        <v>4</v>
      </c>
      <c r="C193" s="1" t="s">
        <v>57</v>
      </c>
      <c r="D193" s="1" t="s">
        <v>22</v>
      </c>
      <c r="E193" s="1" t="s">
        <v>23</v>
      </c>
      <c r="F193" s="1" t="s">
        <v>503</v>
      </c>
      <c r="G193" s="1" t="s">
        <v>504</v>
      </c>
      <c r="H193" s="1" t="s">
        <v>46</v>
      </c>
      <c r="I193" s="1" t="s">
        <v>308</v>
      </c>
      <c r="J193" s="1" t="s">
        <v>32</v>
      </c>
      <c r="K193" s="1" t="s">
        <v>309</v>
      </c>
      <c r="L193" s="1" t="s">
        <v>104</v>
      </c>
      <c r="M193" s="1">
        <v>10312.611574074101</v>
      </c>
      <c r="N193" s="2">
        <f>M193/ActivityCenter!$L$10</f>
        <v>137.00000000006776</v>
      </c>
      <c r="Q193" s="1" t="s">
        <v>622</v>
      </c>
    </row>
    <row r="194" spans="1:17" x14ac:dyDescent="0.25">
      <c r="A194" s="1">
        <v>2018</v>
      </c>
      <c r="B194" s="1">
        <v>4</v>
      </c>
      <c r="C194" s="1" t="s">
        <v>57</v>
      </c>
      <c r="D194" s="1" t="s">
        <v>22</v>
      </c>
      <c r="E194" s="1" t="s">
        <v>23</v>
      </c>
      <c r="F194" s="1" t="s">
        <v>505</v>
      </c>
      <c r="G194" s="1" t="s">
        <v>506</v>
      </c>
      <c r="H194" s="1" t="s">
        <v>46</v>
      </c>
      <c r="I194" s="1" t="s">
        <v>308</v>
      </c>
      <c r="J194" s="1" t="s">
        <v>32</v>
      </c>
      <c r="K194" s="1" t="s">
        <v>309</v>
      </c>
      <c r="L194" s="1" t="s">
        <v>86</v>
      </c>
      <c r="M194" s="1">
        <v>11667.553240740701</v>
      </c>
      <c r="N194" s="2">
        <f>M194/ActivityCenter!$L$10</f>
        <v>155.00000000007574</v>
      </c>
      <c r="Q194" s="1" t="s">
        <v>622</v>
      </c>
    </row>
    <row r="195" spans="1:17" x14ac:dyDescent="0.25">
      <c r="A195" s="1">
        <v>2018</v>
      </c>
      <c r="B195" s="1">
        <v>4</v>
      </c>
      <c r="C195" s="1" t="s">
        <v>57</v>
      </c>
      <c r="D195" s="1" t="s">
        <v>22</v>
      </c>
      <c r="E195" s="1" t="s">
        <v>23</v>
      </c>
      <c r="F195" s="1" t="s">
        <v>507</v>
      </c>
      <c r="G195" s="1" t="s">
        <v>508</v>
      </c>
      <c r="H195" s="1" t="s">
        <v>46</v>
      </c>
      <c r="I195" s="1" t="s">
        <v>308</v>
      </c>
      <c r="J195" s="1" t="s">
        <v>32</v>
      </c>
      <c r="K195" s="1" t="s">
        <v>309</v>
      </c>
      <c r="L195" s="1" t="s">
        <v>86</v>
      </c>
      <c r="M195" s="1">
        <v>4140.0995370370001</v>
      </c>
      <c r="N195" s="2">
        <f>M195/ActivityCenter!$L$10</f>
        <v>55.000000000026567</v>
      </c>
      <c r="Q195" s="1" t="s">
        <v>622</v>
      </c>
    </row>
    <row r="196" spans="1:17" x14ac:dyDescent="0.25">
      <c r="A196" s="1">
        <v>2018</v>
      </c>
      <c r="B196" s="1">
        <v>4</v>
      </c>
      <c r="C196" s="1" t="s">
        <v>57</v>
      </c>
      <c r="D196" s="1" t="s">
        <v>22</v>
      </c>
      <c r="E196" s="1" t="s">
        <v>23</v>
      </c>
      <c r="F196" s="1" t="s">
        <v>509</v>
      </c>
      <c r="G196" s="1" t="s">
        <v>510</v>
      </c>
      <c r="H196" s="1" t="s">
        <v>46</v>
      </c>
      <c r="I196" s="1" t="s">
        <v>308</v>
      </c>
      <c r="J196" s="1" t="s">
        <v>32</v>
      </c>
      <c r="K196" s="1" t="s">
        <v>309</v>
      </c>
      <c r="L196" s="1" t="s">
        <v>86</v>
      </c>
      <c r="M196" s="1">
        <v>12495.5731481482</v>
      </c>
      <c r="N196" s="2">
        <f>M196/ActivityCenter!$L$10</f>
        <v>166.00000000008237</v>
      </c>
      <c r="Q196" s="1" t="s">
        <v>622</v>
      </c>
    </row>
    <row r="197" spans="1:17" x14ac:dyDescent="0.25">
      <c r="A197" s="1">
        <v>2018</v>
      </c>
      <c r="B197" s="1">
        <v>4</v>
      </c>
      <c r="C197" s="1" t="s">
        <v>57</v>
      </c>
      <c r="D197" s="1" t="s">
        <v>22</v>
      </c>
      <c r="E197" s="1" t="s">
        <v>23</v>
      </c>
      <c r="F197" s="1" t="s">
        <v>359</v>
      </c>
      <c r="G197" s="1" t="s">
        <v>360</v>
      </c>
      <c r="H197" s="1" t="s">
        <v>46</v>
      </c>
      <c r="I197" s="1" t="s">
        <v>308</v>
      </c>
      <c r="J197" s="1" t="s">
        <v>32</v>
      </c>
      <c r="K197" s="1" t="s">
        <v>309</v>
      </c>
      <c r="L197" s="1" t="s">
        <v>86</v>
      </c>
      <c r="M197" s="1">
        <v>0</v>
      </c>
      <c r="N197" s="2">
        <f>M197/ActivityCenter!$L$10</f>
        <v>0</v>
      </c>
      <c r="Q197" s="1" t="s">
        <v>622</v>
      </c>
    </row>
    <row r="198" spans="1:17" x14ac:dyDescent="0.25">
      <c r="A198" s="1">
        <v>2018</v>
      </c>
      <c r="B198" s="1">
        <v>4</v>
      </c>
      <c r="C198" s="1" t="s">
        <v>57</v>
      </c>
      <c r="D198" s="1" t="s">
        <v>22</v>
      </c>
      <c r="E198" s="1" t="s">
        <v>23</v>
      </c>
      <c r="F198" s="1" t="s">
        <v>359</v>
      </c>
      <c r="G198" s="1" t="s">
        <v>360</v>
      </c>
      <c r="H198" s="1" t="s">
        <v>46</v>
      </c>
      <c r="I198" s="1" t="s">
        <v>308</v>
      </c>
      <c r="J198" s="1" t="s">
        <v>32</v>
      </c>
      <c r="K198" s="1" t="s">
        <v>309</v>
      </c>
      <c r="L198" s="1" t="s">
        <v>90</v>
      </c>
      <c r="M198" s="1">
        <v>7828.5518518519002</v>
      </c>
      <c r="N198" s="2">
        <f>M198/ActivityCenter!$L$10</f>
        <v>104.00000000005181</v>
      </c>
      <c r="Q198" s="1" t="s">
        <v>622</v>
      </c>
    </row>
    <row r="199" spans="1:17" x14ac:dyDescent="0.25">
      <c r="A199" s="1">
        <v>2018</v>
      </c>
      <c r="B199" s="1">
        <v>4</v>
      </c>
      <c r="C199" s="1" t="s">
        <v>57</v>
      </c>
      <c r="D199" s="1" t="s">
        <v>22</v>
      </c>
      <c r="E199" s="1" t="s">
        <v>23</v>
      </c>
      <c r="F199" s="1" t="s">
        <v>361</v>
      </c>
      <c r="G199" s="1" t="s">
        <v>362</v>
      </c>
      <c r="H199" s="1" t="s">
        <v>46</v>
      </c>
      <c r="I199" s="1" t="s">
        <v>308</v>
      </c>
      <c r="J199" s="1" t="s">
        <v>32</v>
      </c>
      <c r="K199" s="1" t="s">
        <v>309</v>
      </c>
      <c r="L199" s="1" t="s">
        <v>86</v>
      </c>
      <c r="M199" s="1">
        <v>0</v>
      </c>
      <c r="N199" s="2">
        <f>M199/ActivityCenter!$L$10</f>
        <v>0</v>
      </c>
      <c r="Q199" s="1" t="s">
        <v>622</v>
      </c>
    </row>
    <row r="200" spans="1:17" x14ac:dyDescent="0.25">
      <c r="A200" s="1">
        <v>2018</v>
      </c>
      <c r="B200" s="1">
        <v>4</v>
      </c>
      <c r="C200" s="1" t="s">
        <v>57</v>
      </c>
      <c r="D200" s="1" t="s">
        <v>22</v>
      </c>
      <c r="E200" s="1" t="s">
        <v>23</v>
      </c>
      <c r="F200" s="1" t="s">
        <v>363</v>
      </c>
      <c r="G200" s="1" t="s">
        <v>364</v>
      </c>
      <c r="H200" s="1" t="s">
        <v>46</v>
      </c>
      <c r="I200" s="1" t="s">
        <v>308</v>
      </c>
      <c r="J200" s="1" t="s">
        <v>32</v>
      </c>
      <c r="K200" s="1" t="s">
        <v>309</v>
      </c>
      <c r="L200" s="1" t="s">
        <v>93</v>
      </c>
      <c r="M200" s="1">
        <v>0</v>
      </c>
      <c r="N200" s="2">
        <f>M200/ActivityCenter!$L$10</f>
        <v>0</v>
      </c>
      <c r="Q200" s="1" t="s">
        <v>622</v>
      </c>
    </row>
    <row r="201" spans="1:17" x14ac:dyDescent="0.25">
      <c r="A201" s="1">
        <v>2018</v>
      </c>
      <c r="B201" s="1">
        <v>4</v>
      </c>
      <c r="C201" s="1" t="s">
        <v>57</v>
      </c>
      <c r="D201" s="1" t="s">
        <v>22</v>
      </c>
      <c r="E201" s="1" t="s">
        <v>23</v>
      </c>
      <c r="F201" s="1" t="s">
        <v>511</v>
      </c>
      <c r="G201" s="1" t="s">
        <v>512</v>
      </c>
      <c r="H201" s="1" t="s">
        <v>46</v>
      </c>
      <c r="I201" s="1" t="s">
        <v>308</v>
      </c>
      <c r="J201" s="1" t="s">
        <v>32</v>
      </c>
      <c r="K201" s="1" t="s">
        <v>309</v>
      </c>
      <c r="L201" s="1" t="s">
        <v>86</v>
      </c>
      <c r="M201" s="1">
        <v>10538.435185185201</v>
      </c>
      <c r="N201" s="2">
        <f>M201/ActivityCenter!$L$10</f>
        <v>140.00000000006909</v>
      </c>
      <c r="Q201" s="1" t="s">
        <v>622</v>
      </c>
    </row>
    <row r="202" spans="1:17" x14ac:dyDescent="0.25">
      <c r="A202" s="1">
        <v>2018</v>
      </c>
      <c r="B202" s="1">
        <v>4</v>
      </c>
      <c r="C202" s="1" t="s">
        <v>57</v>
      </c>
      <c r="D202" s="1" t="s">
        <v>22</v>
      </c>
      <c r="E202" s="1" t="s">
        <v>23</v>
      </c>
      <c r="F202" s="1" t="s">
        <v>479</v>
      </c>
      <c r="G202" s="1" t="s">
        <v>480</v>
      </c>
      <c r="H202" s="1" t="s">
        <v>46</v>
      </c>
      <c r="I202" s="1" t="s">
        <v>308</v>
      </c>
      <c r="J202" s="1" t="s">
        <v>32</v>
      </c>
      <c r="K202" s="1" t="s">
        <v>309</v>
      </c>
      <c r="L202" s="1" t="s">
        <v>86</v>
      </c>
      <c r="M202" s="1">
        <v>36131.777777777897</v>
      </c>
      <c r="N202" s="2">
        <f>M202/ActivityCenter!$L$10</f>
        <v>480.00000000023778</v>
      </c>
      <c r="Q202" s="1" t="s">
        <v>601</v>
      </c>
    </row>
    <row r="203" spans="1:17" x14ac:dyDescent="0.25">
      <c r="A203" s="1">
        <v>2018</v>
      </c>
      <c r="B203" s="1">
        <v>4</v>
      </c>
      <c r="C203" s="1" t="s">
        <v>57</v>
      </c>
      <c r="D203" s="1" t="s">
        <v>22</v>
      </c>
      <c r="E203" s="1" t="s">
        <v>23</v>
      </c>
      <c r="F203" s="1" t="s">
        <v>513</v>
      </c>
      <c r="G203" s="1" t="s">
        <v>514</v>
      </c>
      <c r="H203" s="1" t="s">
        <v>46</v>
      </c>
      <c r="I203" s="1" t="s">
        <v>308</v>
      </c>
      <c r="J203" s="1" t="s">
        <v>32</v>
      </c>
      <c r="K203" s="1" t="s">
        <v>309</v>
      </c>
      <c r="L203" s="1" t="s">
        <v>86</v>
      </c>
      <c r="M203" s="1">
        <v>8957.6699074074004</v>
      </c>
      <c r="N203" s="2">
        <f>M203/ActivityCenter!$L$10</f>
        <v>119.00000000005845</v>
      </c>
      <c r="Q203" s="1" t="s">
        <v>622</v>
      </c>
    </row>
    <row r="204" spans="1:17" x14ac:dyDescent="0.25">
      <c r="A204" s="1">
        <v>2018</v>
      </c>
      <c r="B204" s="1">
        <v>4</v>
      </c>
      <c r="C204" s="1" t="s">
        <v>57</v>
      </c>
      <c r="D204" s="1" t="s">
        <v>22</v>
      </c>
      <c r="E204" s="1" t="s">
        <v>23</v>
      </c>
      <c r="F204" s="1" t="s">
        <v>365</v>
      </c>
      <c r="G204" s="1" t="s">
        <v>366</v>
      </c>
      <c r="H204" s="1" t="s">
        <v>46</v>
      </c>
      <c r="I204" s="1" t="s">
        <v>308</v>
      </c>
      <c r="J204" s="1" t="s">
        <v>32</v>
      </c>
      <c r="K204" s="1" t="s">
        <v>309</v>
      </c>
      <c r="L204" s="1" t="s">
        <v>86</v>
      </c>
      <c r="M204" s="1">
        <v>0</v>
      </c>
      <c r="N204" s="2">
        <f>M204/ActivityCenter!$L$10</f>
        <v>0</v>
      </c>
      <c r="Q204" s="1" t="s">
        <v>622</v>
      </c>
    </row>
    <row r="205" spans="1:17" x14ac:dyDescent="0.25">
      <c r="A205" s="1">
        <v>2018</v>
      </c>
      <c r="B205" s="1">
        <v>4</v>
      </c>
      <c r="C205" s="1" t="s">
        <v>57</v>
      </c>
      <c r="D205" s="1" t="s">
        <v>22</v>
      </c>
      <c r="E205" s="1" t="s">
        <v>23</v>
      </c>
      <c r="F205" s="1" t="s">
        <v>473</v>
      </c>
      <c r="G205" s="1" t="s">
        <v>474</v>
      </c>
      <c r="H205" s="1" t="s">
        <v>46</v>
      </c>
      <c r="I205" s="1" t="s">
        <v>308</v>
      </c>
      <c r="J205" s="1" t="s">
        <v>32</v>
      </c>
      <c r="K205" s="1" t="s">
        <v>309</v>
      </c>
      <c r="L205" s="1" t="s">
        <v>90</v>
      </c>
      <c r="M205" s="1">
        <v>36131.777777777803</v>
      </c>
      <c r="N205" s="2">
        <f>M205/ActivityCenter!$L$10</f>
        <v>480.00000000023647</v>
      </c>
      <c r="Q205" s="1" t="s">
        <v>622</v>
      </c>
    </row>
    <row r="206" spans="1:17" x14ac:dyDescent="0.25">
      <c r="A206" s="1">
        <v>2018</v>
      </c>
      <c r="B206" s="1">
        <v>4</v>
      </c>
      <c r="C206" s="1" t="s">
        <v>57</v>
      </c>
      <c r="D206" s="1" t="s">
        <v>22</v>
      </c>
      <c r="E206" s="1" t="s">
        <v>23</v>
      </c>
      <c r="F206" s="1" t="s">
        <v>457</v>
      </c>
      <c r="G206" s="1" t="s">
        <v>458</v>
      </c>
      <c r="H206" s="1" t="s">
        <v>46</v>
      </c>
      <c r="I206" s="1" t="s">
        <v>308</v>
      </c>
      <c r="J206" s="1" t="s">
        <v>32</v>
      </c>
      <c r="K206" s="1" t="s">
        <v>309</v>
      </c>
      <c r="L206" s="1" t="s">
        <v>101</v>
      </c>
      <c r="M206" s="1">
        <v>361317.77777777781</v>
      </c>
      <c r="N206" s="2">
        <f>M206/ActivityCenter!$L$10</f>
        <v>4800.000000002362</v>
      </c>
      <c r="Q206" s="1" t="s">
        <v>676</v>
      </c>
    </row>
    <row r="207" spans="1:17" x14ac:dyDescent="0.25">
      <c r="A207" s="1">
        <v>2018</v>
      </c>
      <c r="B207" s="1">
        <v>4</v>
      </c>
      <c r="C207" s="1" t="s">
        <v>57</v>
      </c>
      <c r="D207" s="1" t="s">
        <v>22</v>
      </c>
      <c r="E207" s="1" t="s">
        <v>23</v>
      </c>
      <c r="F207" s="1" t="s">
        <v>317</v>
      </c>
      <c r="G207" s="1" t="s">
        <v>318</v>
      </c>
      <c r="H207" s="1" t="s">
        <v>46</v>
      </c>
      <c r="I207" s="1" t="s">
        <v>308</v>
      </c>
      <c r="J207" s="1" t="s">
        <v>34</v>
      </c>
      <c r="K207" s="1" t="s">
        <v>309</v>
      </c>
      <c r="L207" s="1" t="s">
        <v>82</v>
      </c>
      <c r="M207" s="1">
        <v>4889.0181818183</v>
      </c>
      <c r="N207" s="2">
        <f>M207/ActivityCenter!$L$14</f>
        <v>384.00000000055769</v>
      </c>
      <c r="Q207" s="1" t="s">
        <v>601</v>
      </c>
    </row>
    <row r="208" spans="1:17" x14ac:dyDescent="0.25">
      <c r="A208" s="1">
        <v>2018</v>
      </c>
      <c r="B208" s="1">
        <v>4</v>
      </c>
      <c r="C208" s="1" t="s">
        <v>57</v>
      </c>
      <c r="D208" s="1" t="s">
        <v>22</v>
      </c>
      <c r="E208" s="1" t="s">
        <v>23</v>
      </c>
      <c r="F208" s="1" t="s">
        <v>317</v>
      </c>
      <c r="G208" s="1" t="s">
        <v>318</v>
      </c>
      <c r="H208" s="1" t="s">
        <v>46</v>
      </c>
      <c r="I208" s="1" t="s">
        <v>308</v>
      </c>
      <c r="J208" s="1" t="s">
        <v>34</v>
      </c>
      <c r="K208" s="1" t="s">
        <v>309</v>
      </c>
      <c r="L208" s="1" t="s">
        <v>85</v>
      </c>
      <c r="M208" s="1">
        <v>0</v>
      </c>
      <c r="N208" s="2">
        <f>M208/ActivityCenter!$L$14</f>
        <v>0</v>
      </c>
      <c r="Q208" s="1" t="s">
        <v>601</v>
      </c>
    </row>
    <row r="209" spans="1:17" x14ac:dyDescent="0.25">
      <c r="A209" s="1">
        <v>2018</v>
      </c>
      <c r="B209" s="1">
        <v>4</v>
      </c>
      <c r="C209" s="1" t="s">
        <v>57</v>
      </c>
      <c r="D209" s="1" t="s">
        <v>22</v>
      </c>
      <c r="E209" s="1" t="s">
        <v>23</v>
      </c>
      <c r="F209" s="1" t="s">
        <v>479</v>
      </c>
      <c r="G209" s="1" t="s">
        <v>480</v>
      </c>
      <c r="H209" s="1" t="s">
        <v>46</v>
      </c>
      <c r="I209" s="1" t="s">
        <v>308</v>
      </c>
      <c r="J209" s="1" t="s">
        <v>34</v>
      </c>
      <c r="K209" s="1" t="s">
        <v>309</v>
      </c>
      <c r="L209" s="1" t="s">
        <v>86</v>
      </c>
      <c r="M209" s="1">
        <v>1222.2545454545</v>
      </c>
      <c r="N209" s="2">
        <f>M209/ActivityCenter!$L$14</f>
        <v>96.000000000133525</v>
      </c>
      <c r="Q209" s="1" t="s">
        <v>601</v>
      </c>
    </row>
    <row r="210" spans="1:17" x14ac:dyDescent="0.25">
      <c r="A210" s="1">
        <v>2018</v>
      </c>
      <c r="B210" s="1">
        <v>4</v>
      </c>
      <c r="C210" s="1" t="s">
        <v>57</v>
      </c>
      <c r="D210" s="1" t="s">
        <v>22</v>
      </c>
      <c r="E210" s="1" t="s">
        <v>23</v>
      </c>
      <c r="F210" s="1" t="s">
        <v>479</v>
      </c>
      <c r="G210" s="1" t="s">
        <v>480</v>
      </c>
      <c r="H210" s="1" t="s">
        <v>46</v>
      </c>
      <c r="I210" s="1" t="s">
        <v>308</v>
      </c>
      <c r="J210" s="1" t="s">
        <v>34</v>
      </c>
      <c r="K210" s="1" t="s">
        <v>309</v>
      </c>
      <c r="L210" s="1" t="s">
        <v>106</v>
      </c>
      <c r="M210" s="1">
        <v>802.1045454545</v>
      </c>
      <c r="N210" s="2">
        <f>M210/ActivityCenter!$L$14</f>
        <v>63.000000000086402</v>
      </c>
      <c r="Q210" s="1" t="s">
        <v>601</v>
      </c>
    </row>
    <row r="211" spans="1:17" x14ac:dyDescent="0.25">
      <c r="A211" s="1">
        <v>2018</v>
      </c>
      <c r="B211" s="1">
        <v>4</v>
      </c>
      <c r="C211" s="1" t="s">
        <v>57</v>
      </c>
      <c r="D211" s="1" t="s">
        <v>22</v>
      </c>
      <c r="E211" s="1" t="s">
        <v>23</v>
      </c>
      <c r="F211" s="1" t="s">
        <v>367</v>
      </c>
      <c r="G211" s="1" t="s">
        <v>368</v>
      </c>
      <c r="H211" s="1" t="s">
        <v>46</v>
      </c>
      <c r="I211" s="1" t="s">
        <v>308</v>
      </c>
      <c r="J211" s="1" t="s">
        <v>34</v>
      </c>
      <c r="K211" s="1" t="s">
        <v>309</v>
      </c>
      <c r="L211" s="1" t="s">
        <v>86</v>
      </c>
      <c r="M211" s="1">
        <v>0</v>
      </c>
      <c r="N211" s="2">
        <f>M211/ActivityCenter!$L$14</f>
        <v>0</v>
      </c>
      <c r="Q211" s="1" t="s">
        <v>610</v>
      </c>
    </row>
    <row r="212" spans="1:17" x14ac:dyDescent="0.25">
      <c r="A212" s="1">
        <v>2018</v>
      </c>
      <c r="B212" s="1">
        <v>4</v>
      </c>
      <c r="C212" s="1" t="s">
        <v>57</v>
      </c>
      <c r="D212" s="1" t="s">
        <v>22</v>
      </c>
      <c r="E212" s="1" t="s">
        <v>23</v>
      </c>
      <c r="F212" s="1" t="s">
        <v>475</v>
      </c>
      <c r="G212" s="1" t="s">
        <v>476</v>
      </c>
      <c r="H212" s="1" t="s">
        <v>46</v>
      </c>
      <c r="I212" s="1" t="s">
        <v>308</v>
      </c>
      <c r="J212" s="1" t="s">
        <v>34</v>
      </c>
      <c r="K212" s="1" t="s">
        <v>309</v>
      </c>
      <c r="L212" s="1" t="s">
        <v>85</v>
      </c>
      <c r="M212" s="1">
        <v>3055.6363636363999</v>
      </c>
      <c r="N212" s="2">
        <f>M212/ActivityCenter!$L$14</f>
        <v>240.00000000034558</v>
      </c>
      <c r="Q212" s="1" t="s">
        <v>610</v>
      </c>
    </row>
    <row r="213" spans="1:17" x14ac:dyDescent="0.25">
      <c r="A213" s="1">
        <v>2018</v>
      </c>
      <c r="B213" s="1">
        <v>4</v>
      </c>
      <c r="C213" s="1" t="s">
        <v>57</v>
      </c>
      <c r="D213" s="1" t="s">
        <v>22</v>
      </c>
      <c r="E213" s="1" t="s">
        <v>23</v>
      </c>
      <c r="F213" s="1" t="s">
        <v>369</v>
      </c>
      <c r="G213" s="1" t="s">
        <v>370</v>
      </c>
      <c r="H213" s="1" t="s">
        <v>46</v>
      </c>
      <c r="I213" s="1" t="s">
        <v>308</v>
      </c>
      <c r="J213" s="1" t="s">
        <v>34</v>
      </c>
      <c r="K213" s="1" t="s">
        <v>309</v>
      </c>
      <c r="L213" s="1" t="s">
        <v>84</v>
      </c>
      <c r="M213" s="1">
        <v>3654.0318181818002</v>
      </c>
      <c r="N213" s="2">
        <f>M213/ActivityCenter!$L$14</f>
        <v>287.00000000040848</v>
      </c>
      <c r="Q213" s="1" t="s">
        <v>610</v>
      </c>
    </row>
    <row r="214" spans="1:17" x14ac:dyDescent="0.25">
      <c r="A214" s="1">
        <v>2018</v>
      </c>
      <c r="B214" s="1">
        <v>4</v>
      </c>
      <c r="C214" s="1" t="s">
        <v>57</v>
      </c>
      <c r="D214" s="1" t="s">
        <v>22</v>
      </c>
      <c r="E214" s="1" t="s">
        <v>23</v>
      </c>
      <c r="F214" s="1" t="s">
        <v>369</v>
      </c>
      <c r="G214" s="1" t="s">
        <v>370</v>
      </c>
      <c r="H214" s="1" t="s">
        <v>46</v>
      </c>
      <c r="I214" s="1" t="s">
        <v>308</v>
      </c>
      <c r="J214" s="1" t="s">
        <v>34</v>
      </c>
      <c r="K214" s="1" t="s">
        <v>309</v>
      </c>
      <c r="L214" s="1" t="s">
        <v>92</v>
      </c>
      <c r="M214" s="1">
        <v>0</v>
      </c>
      <c r="N214" s="2">
        <f>M214/ActivityCenter!$L$14</f>
        <v>0</v>
      </c>
      <c r="Q214" s="1" t="s">
        <v>610</v>
      </c>
    </row>
    <row r="215" spans="1:17" x14ac:dyDescent="0.25">
      <c r="A215" s="1">
        <v>2018</v>
      </c>
      <c r="B215" s="1">
        <v>4</v>
      </c>
      <c r="C215" s="1" t="s">
        <v>57</v>
      </c>
      <c r="D215" s="1" t="s">
        <v>22</v>
      </c>
      <c r="E215" s="1" t="s">
        <v>23</v>
      </c>
      <c r="F215" s="1" t="s">
        <v>371</v>
      </c>
      <c r="G215" s="1" t="s">
        <v>372</v>
      </c>
      <c r="H215" s="1" t="s">
        <v>46</v>
      </c>
      <c r="I215" s="1" t="s">
        <v>308</v>
      </c>
      <c r="J215" s="1" t="s">
        <v>34</v>
      </c>
      <c r="K215" s="1" t="s">
        <v>309</v>
      </c>
      <c r="L215" s="1" t="s">
        <v>84</v>
      </c>
      <c r="M215" s="1">
        <v>0</v>
      </c>
      <c r="N215" s="2">
        <f>M215/ActivityCenter!$L$14</f>
        <v>0</v>
      </c>
      <c r="Q215" s="1" t="s">
        <v>610</v>
      </c>
    </row>
    <row r="216" spans="1:17" x14ac:dyDescent="0.25">
      <c r="A216" s="1">
        <v>2018</v>
      </c>
      <c r="B216" s="1">
        <v>4</v>
      </c>
      <c r="C216" s="1" t="s">
        <v>57</v>
      </c>
      <c r="D216" s="1" t="s">
        <v>22</v>
      </c>
      <c r="E216" s="1" t="s">
        <v>23</v>
      </c>
      <c r="F216" s="1" t="s">
        <v>373</v>
      </c>
      <c r="G216" s="1" t="s">
        <v>374</v>
      </c>
      <c r="H216" s="1" t="s">
        <v>46</v>
      </c>
      <c r="I216" s="1" t="s">
        <v>308</v>
      </c>
      <c r="J216" s="1" t="s">
        <v>34</v>
      </c>
      <c r="K216" s="1" t="s">
        <v>309</v>
      </c>
      <c r="L216" s="1" t="s">
        <v>82</v>
      </c>
      <c r="M216" s="1">
        <v>2024.3590909090999</v>
      </c>
      <c r="N216" s="2">
        <f>M216/ActivityCenter!$L$14</f>
        <v>159.00000000022777</v>
      </c>
      <c r="Q216" s="1" t="s">
        <v>610</v>
      </c>
    </row>
    <row r="217" spans="1:17" x14ac:dyDescent="0.25">
      <c r="A217" s="1">
        <v>2018</v>
      </c>
      <c r="B217" s="1">
        <v>4</v>
      </c>
      <c r="C217" s="1" t="s">
        <v>57</v>
      </c>
      <c r="D217" s="1" t="s">
        <v>22</v>
      </c>
      <c r="E217" s="1" t="s">
        <v>23</v>
      </c>
      <c r="F217" s="1" t="s">
        <v>373</v>
      </c>
      <c r="G217" s="1" t="s">
        <v>374</v>
      </c>
      <c r="H217" s="1" t="s">
        <v>46</v>
      </c>
      <c r="I217" s="1" t="s">
        <v>308</v>
      </c>
      <c r="J217" s="1" t="s">
        <v>34</v>
      </c>
      <c r="K217" s="1" t="s">
        <v>309</v>
      </c>
      <c r="L217" s="1" t="s">
        <v>86</v>
      </c>
      <c r="M217" s="1">
        <v>0</v>
      </c>
      <c r="N217" s="2">
        <f>M217/ActivityCenter!$L$14</f>
        <v>0</v>
      </c>
      <c r="Q217" s="1" t="s">
        <v>610</v>
      </c>
    </row>
    <row r="218" spans="1:17" x14ac:dyDescent="0.25">
      <c r="A218" s="1">
        <v>2018</v>
      </c>
      <c r="B218" s="1">
        <v>4</v>
      </c>
      <c r="C218" s="1" t="s">
        <v>57</v>
      </c>
      <c r="D218" s="1" t="s">
        <v>22</v>
      </c>
      <c r="E218" s="1" t="s">
        <v>23</v>
      </c>
      <c r="F218" s="1" t="s">
        <v>515</v>
      </c>
      <c r="G218" s="1" t="s">
        <v>516</v>
      </c>
      <c r="H218" s="1" t="s">
        <v>46</v>
      </c>
      <c r="I218" s="1" t="s">
        <v>308</v>
      </c>
      <c r="J218" s="1" t="s">
        <v>34</v>
      </c>
      <c r="K218" s="1" t="s">
        <v>309</v>
      </c>
      <c r="L218" s="1" t="s">
        <v>84</v>
      </c>
      <c r="M218" s="1">
        <v>3908.6681818182001</v>
      </c>
      <c r="N218" s="2">
        <f>M218/ActivityCenter!$L$14</f>
        <v>307.00000000043985</v>
      </c>
      <c r="Q218" s="1" t="s">
        <v>610</v>
      </c>
    </row>
    <row r="219" spans="1:17" x14ac:dyDescent="0.25">
      <c r="A219" s="1">
        <v>2018</v>
      </c>
      <c r="B219" s="1">
        <v>4</v>
      </c>
      <c r="C219" s="1" t="s">
        <v>57</v>
      </c>
      <c r="D219" s="1" t="s">
        <v>22</v>
      </c>
      <c r="E219" s="1" t="s">
        <v>23</v>
      </c>
      <c r="F219" s="1" t="s">
        <v>375</v>
      </c>
      <c r="G219" s="1" t="s">
        <v>376</v>
      </c>
      <c r="H219" s="1" t="s">
        <v>46</v>
      </c>
      <c r="I219" s="1" t="s">
        <v>308</v>
      </c>
      <c r="J219" s="1" t="s">
        <v>34</v>
      </c>
      <c r="K219" s="1" t="s">
        <v>309</v>
      </c>
      <c r="L219" s="1" t="s">
        <v>85</v>
      </c>
      <c r="M219" s="1">
        <v>2444.5090909091</v>
      </c>
      <c r="N219" s="2">
        <f>M219/ActivityCenter!$L$14</f>
        <v>192.00000000027489</v>
      </c>
      <c r="Q219" s="1" t="s">
        <v>610</v>
      </c>
    </row>
    <row r="220" spans="1:17" x14ac:dyDescent="0.25">
      <c r="A220" s="1">
        <v>2018</v>
      </c>
      <c r="B220" s="1">
        <v>4</v>
      </c>
      <c r="C220" s="1" t="s">
        <v>57</v>
      </c>
      <c r="D220" s="1" t="s">
        <v>22</v>
      </c>
      <c r="E220" s="1" t="s">
        <v>23</v>
      </c>
      <c r="F220" s="1" t="s">
        <v>375</v>
      </c>
      <c r="G220" s="1" t="s">
        <v>376</v>
      </c>
      <c r="H220" s="1" t="s">
        <v>46</v>
      </c>
      <c r="I220" s="1" t="s">
        <v>308</v>
      </c>
      <c r="J220" s="1" t="s">
        <v>34</v>
      </c>
      <c r="K220" s="1" t="s">
        <v>309</v>
      </c>
      <c r="L220" s="1" t="s">
        <v>87</v>
      </c>
      <c r="M220" s="1">
        <v>0</v>
      </c>
      <c r="N220" s="2">
        <f>M220/ActivityCenter!$L$14</f>
        <v>0</v>
      </c>
      <c r="Q220" s="1" t="s">
        <v>610</v>
      </c>
    </row>
    <row r="221" spans="1:17" x14ac:dyDescent="0.25">
      <c r="A221" s="1">
        <v>2018</v>
      </c>
      <c r="B221" s="1">
        <v>4</v>
      </c>
      <c r="C221" s="1" t="s">
        <v>57</v>
      </c>
      <c r="D221" s="1" t="s">
        <v>22</v>
      </c>
      <c r="E221" s="1" t="s">
        <v>23</v>
      </c>
      <c r="F221" s="1" t="s">
        <v>517</v>
      </c>
      <c r="G221" s="1" t="s">
        <v>518</v>
      </c>
      <c r="H221" s="1" t="s">
        <v>46</v>
      </c>
      <c r="I221" s="1" t="s">
        <v>308</v>
      </c>
      <c r="J221" s="1" t="s">
        <v>34</v>
      </c>
      <c r="K221" s="1" t="s">
        <v>309</v>
      </c>
      <c r="L221" s="1" t="s">
        <v>85</v>
      </c>
      <c r="M221" s="1">
        <v>2037.0909090908999</v>
      </c>
      <c r="N221" s="2">
        <f>M221/ActivityCenter!$L$14</f>
        <v>160.00000000022777</v>
      </c>
      <c r="Q221" s="1" t="s">
        <v>610</v>
      </c>
    </row>
    <row r="222" spans="1:17" x14ac:dyDescent="0.25">
      <c r="A222" s="1">
        <v>2018</v>
      </c>
      <c r="B222" s="1">
        <v>4</v>
      </c>
      <c r="C222" s="1" t="s">
        <v>57</v>
      </c>
      <c r="D222" s="1" t="s">
        <v>22</v>
      </c>
      <c r="E222" s="1" t="s">
        <v>23</v>
      </c>
      <c r="F222" s="1" t="s">
        <v>377</v>
      </c>
      <c r="G222" s="1" t="s">
        <v>378</v>
      </c>
      <c r="H222" s="1" t="s">
        <v>46</v>
      </c>
      <c r="I222" s="1" t="s">
        <v>308</v>
      </c>
      <c r="J222" s="1" t="s">
        <v>34</v>
      </c>
      <c r="K222" s="1" t="s">
        <v>309</v>
      </c>
      <c r="L222" s="1" t="s">
        <v>85</v>
      </c>
      <c r="M222" s="1">
        <v>0</v>
      </c>
      <c r="N222" s="2">
        <f>M222/ActivityCenter!$L$14</f>
        <v>0</v>
      </c>
      <c r="Q222" s="1" t="s">
        <v>610</v>
      </c>
    </row>
    <row r="223" spans="1:17" x14ac:dyDescent="0.25">
      <c r="A223" s="1">
        <v>2018</v>
      </c>
      <c r="B223" s="1">
        <v>4</v>
      </c>
      <c r="C223" s="1" t="s">
        <v>57</v>
      </c>
      <c r="D223" s="1" t="s">
        <v>22</v>
      </c>
      <c r="E223" s="1" t="s">
        <v>23</v>
      </c>
      <c r="F223" s="1" t="s">
        <v>379</v>
      </c>
      <c r="G223" s="1" t="s">
        <v>380</v>
      </c>
      <c r="H223" s="1" t="s">
        <v>46</v>
      </c>
      <c r="I223" s="1" t="s">
        <v>308</v>
      </c>
      <c r="J223" s="1" t="s">
        <v>34</v>
      </c>
      <c r="K223" s="1" t="s">
        <v>309</v>
      </c>
      <c r="L223" s="1" t="s">
        <v>78</v>
      </c>
      <c r="M223" s="1">
        <v>2457.2409090909</v>
      </c>
      <c r="N223" s="2">
        <f>M223/ActivityCenter!$L$14</f>
        <v>193.00000000027489</v>
      </c>
      <c r="Q223" s="1" t="s">
        <v>610</v>
      </c>
    </row>
    <row r="224" spans="1:17" x14ac:dyDescent="0.25">
      <c r="A224" s="1">
        <v>2018</v>
      </c>
      <c r="B224" s="1">
        <v>4</v>
      </c>
      <c r="C224" s="1" t="s">
        <v>57</v>
      </c>
      <c r="D224" s="1" t="s">
        <v>22</v>
      </c>
      <c r="E224" s="1" t="s">
        <v>23</v>
      </c>
      <c r="F224" s="1" t="s">
        <v>379</v>
      </c>
      <c r="G224" s="1" t="s">
        <v>380</v>
      </c>
      <c r="H224" s="1" t="s">
        <v>46</v>
      </c>
      <c r="I224" s="1" t="s">
        <v>308</v>
      </c>
      <c r="J224" s="1" t="s">
        <v>34</v>
      </c>
      <c r="K224" s="1" t="s">
        <v>309</v>
      </c>
      <c r="L224" s="1" t="s">
        <v>92</v>
      </c>
      <c r="M224" s="1">
        <v>0</v>
      </c>
      <c r="N224" s="2">
        <f>M224/ActivityCenter!$L$14</f>
        <v>0</v>
      </c>
      <c r="Q224" s="1" t="s">
        <v>610</v>
      </c>
    </row>
    <row r="225" spans="1:17" x14ac:dyDescent="0.25">
      <c r="A225" s="1">
        <v>2018</v>
      </c>
      <c r="B225" s="1">
        <v>4</v>
      </c>
      <c r="C225" s="1" t="s">
        <v>57</v>
      </c>
      <c r="D225" s="1" t="s">
        <v>22</v>
      </c>
      <c r="E225" s="1" t="s">
        <v>23</v>
      </c>
      <c r="F225" s="1" t="s">
        <v>381</v>
      </c>
      <c r="G225" s="1" t="s">
        <v>382</v>
      </c>
      <c r="H225" s="1" t="s">
        <v>46</v>
      </c>
      <c r="I225" s="1" t="s">
        <v>308</v>
      </c>
      <c r="J225" s="1" t="s">
        <v>34</v>
      </c>
      <c r="K225" s="1" t="s">
        <v>309</v>
      </c>
      <c r="L225" s="1" t="s">
        <v>92</v>
      </c>
      <c r="M225" s="1">
        <v>0</v>
      </c>
      <c r="N225" s="2">
        <f>M225/ActivityCenter!$L$14</f>
        <v>0</v>
      </c>
      <c r="Q225" s="1" t="s">
        <v>610</v>
      </c>
    </row>
    <row r="226" spans="1:17" x14ac:dyDescent="0.25">
      <c r="A226" s="1">
        <v>2018</v>
      </c>
      <c r="B226" s="1">
        <v>4</v>
      </c>
      <c r="C226" s="1" t="s">
        <v>57</v>
      </c>
      <c r="D226" s="1" t="s">
        <v>22</v>
      </c>
      <c r="E226" s="1" t="s">
        <v>23</v>
      </c>
      <c r="F226" s="1" t="s">
        <v>383</v>
      </c>
      <c r="G226" s="1" t="s">
        <v>384</v>
      </c>
      <c r="H226" s="1" t="s">
        <v>46</v>
      </c>
      <c r="I226" s="1" t="s">
        <v>308</v>
      </c>
      <c r="J226" s="1" t="s">
        <v>34</v>
      </c>
      <c r="K226" s="1" t="s">
        <v>309</v>
      </c>
      <c r="L226" s="1" t="s">
        <v>90</v>
      </c>
      <c r="M226" s="1">
        <v>0</v>
      </c>
      <c r="N226" s="2">
        <f>M226/ActivityCenter!$L$14</f>
        <v>0</v>
      </c>
      <c r="Q226" s="1" t="s">
        <v>610</v>
      </c>
    </row>
    <row r="227" spans="1:17" x14ac:dyDescent="0.25">
      <c r="A227" s="1">
        <v>2018</v>
      </c>
      <c r="B227" s="1">
        <v>4</v>
      </c>
      <c r="C227" s="1" t="s">
        <v>57</v>
      </c>
      <c r="D227" s="1" t="s">
        <v>22</v>
      </c>
      <c r="E227" s="1" t="s">
        <v>23</v>
      </c>
      <c r="F227" s="1" t="s">
        <v>383</v>
      </c>
      <c r="G227" s="1" t="s">
        <v>384</v>
      </c>
      <c r="H227" s="1" t="s">
        <v>46</v>
      </c>
      <c r="I227" s="1" t="s">
        <v>308</v>
      </c>
      <c r="J227" s="1" t="s">
        <v>34</v>
      </c>
      <c r="K227" s="1" t="s">
        <v>309</v>
      </c>
      <c r="L227" s="1" t="s">
        <v>92</v>
      </c>
      <c r="M227" s="1">
        <v>0</v>
      </c>
      <c r="N227" s="2">
        <f>M227/ActivityCenter!$L$14</f>
        <v>0</v>
      </c>
      <c r="Q227" s="1" t="s">
        <v>610</v>
      </c>
    </row>
    <row r="228" spans="1:17" x14ac:dyDescent="0.25">
      <c r="A228" s="1">
        <v>2018</v>
      </c>
      <c r="B228" s="1">
        <v>4</v>
      </c>
      <c r="C228" s="1" t="s">
        <v>57</v>
      </c>
      <c r="D228" s="1" t="s">
        <v>22</v>
      </c>
      <c r="E228" s="1" t="s">
        <v>23</v>
      </c>
      <c r="F228" s="1" t="s">
        <v>383</v>
      </c>
      <c r="G228" s="1" t="s">
        <v>384</v>
      </c>
      <c r="H228" s="1" t="s">
        <v>46</v>
      </c>
      <c r="I228" s="1" t="s">
        <v>308</v>
      </c>
      <c r="J228" s="1" t="s">
        <v>34</v>
      </c>
      <c r="K228" s="1" t="s">
        <v>309</v>
      </c>
      <c r="L228" s="1" t="s">
        <v>94</v>
      </c>
      <c r="M228" s="1">
        <v>0</v>
      </c>
      <c r="N228" s="2">
        <f>M228/ActivityCenter!$L$14</f>
        <v>0</v>
      </c>
      <c r="Q228" s="1" t="s">
        <v>610</v>
      </c>
    </row>
    <row r="229" spans="1:17" x14ac:dyDescent="0.25">
      <c r="A229" s="1">
        <v>2018</v>
      </c>
      <c r="B229" s="1">
        <v>4</v>
      </c>
      <c r="C229" s="1" t="s">
        <v>57</v>
      </c>
      <c r="D229" s="1" t="s">
        <v>22</v>
      </c>
      <c r="E229" s="1" t="s">
        <v>23</v>
      </c>
      <c r="F229" s="1" t="s">
        <v>467</v>
      </c>
      <c r="G229" s="1" t="s">
        <v>468</v>
      </c>
      <c r="H229" s="1" t="s">
        <v>46</v>
      </c>
      <c r="I229" s="1" t="s">
        <v>308</v>
      </c>
      <c r="J229" s="1" t="s">
        <v>34</v>
      </c>
      <c r="K229" s="1" t="s">
        <v>309</v>
      </c>
      <c r="L229" s="1" t="s">
        <v>78</v>
      </c>
      <c r="M229" s="1">
        <v>3577.6409090909001</v>
      </c>
      <c r="N229" s="2">
        <f>M229/ActivityCenter!$L$14</f>
        <v>281.00000000040058</v>
      </c>
      <c r="Q229" s="1" t="s">
        <v>610</v>
      </c>
    </row>
    <row r="230" spans="1:17" x14ac:dyDescent="0.25">
      <c r="A230" s="1">
        <v>2018</v>
      </c>
      <c r="B230" s="1">
        <v>4</v>
      </c>
      <c r="C230" s="1" t="s">
        <v>57</v>
      </c>
      <c r="D230" s="1" t="s">
        <v>22</v>
      </c>
      <c r="E230" s="1" t="s">
        <v>23</v>
      </c>
      <c r="F230" s="1" t="s">
        <v>385</v>
      </c>
      <c r="G230" s="1" t="s">
        <v>386</v>
      </c>
      <c r="H230" s="1" t="s">
        <v>46</v>
      </c>
      <c r="I230" s="1" t="s">
        <v>308</v>
      </c>
      <c r="J230" s="1" t="s">
        <v>34</v>
      </c>
      <c r="K230" s="1" t="s">
        <v>309</v>
      </c>
      <c r="L230" s="1" t="s">
        <v>85</v>
      </c>
      <c r="M230" s="1">
        <v>0</v>
      </c>
      <c r="N230" s="2">
        <f>M230/ActivityCenter!$L$14</f>
        <v>0</v>
      </c>
      <c r="Q230" s="1" t="s">
        <v>610</v>
      </c>
    </row>
    <row r="231" spans="1:17" x14ac:dyDescent="0.25">
      <c r="A231" s="1">
        <v>2018</v>
      </c>
      <c r="B231" s="1">
        <v>4</v>
      </c>
      <c r="C231" s="1" t="s">
        <v>57</v>
      </c>
      <c r="D231" s="1" t="s">
        <v>22</v>
      </c>
      <c r="E231" s="1" t="s">
        <v>23</v>
      </c>
      <c r="F231" s="1" t="s">
        <v>385</v>
      </c>
      <c r="G231" s="1" t="s">
        <v>386</v>
      </c>
      <c r="H231" s="1" t="s">
        <v>46</v>
      </c>
      <c r="I231" s="1" t="s">
        <v>308</v>
      </c>
      <c r="J231" s="1" t="s">
        <v>34</v>
      </c>
      <c r="K231" s="1" t="s">
        <v>309</v>
      </c>
      <c r="L231" s="1" t="s">
        <v>87</v>
      </c>
      <c r="M231" s="1">
        <v>0</v>
      </c>
      <c r="N231" s="2">
        <f>M231/ActivityCenter!$L$14</f>
        <v>0</v>
      </c>
      <c r="Q231" s="1" t="s">
        <v>610</v>
      </c>
    </row>
    <row r="232" spans="1:17" x14ac:dyDescent="0.25">
      <c r="A232" s="1">
        <v>2018</v>
      </c>
      <c r="B232" s="1">
        <v>4</v>
      </c>
      <c r="C232" s="1" t="s">
        <v>57</v>
      </c>
      <c r="D232" s="1" t="s">
        <v>22</v>
      </c>
      <c r="E232" s="1" t="s">
        <v>23</v>
      </c>
      <c r="F232" s="1" t="s">
        <v>387</v>
      </c>
      <c r="G232" s="1" t="s">
        <v>388</v>
      </c>
      <c r="H232" s="1" t="s">
        <v>46</v>
      </c>
      <c r="I232" s="1" t="s">
        <v>308</v>
      </c>
      <c r="J232" s="1" t="s">
        <v>34</v>
      </c>
      <c r="K232" s="1" t="s">
        <v>309</v>
      </c>
      <c r="L232" s="1" t="s">
        <v>84</v>
      </c>
      <c r="M232" s="1">
        <v>0</v>
      </c>
      <c r="N232" s="2">
        <f>M232/ActivityCenter!$L$14</f>
        <v>0</v>
      </c>
      <c r="Q232" s="1" t="s">
        <v>610</v>
      </c>
    </row>
    <row r="233" spans="1:17" x14ac:dyDescent="0.25">
      <c r="A233" s="1">
        <v>2018</v>
      </c>
      <c r="B233" s="1">
        <v>4</v>
      </c>
      <c r="C233" s="1" t="s">
        <v>57</v>
      </c>
      <c r="D233" s="1" t="s">
        <v>22</v>
      </c>
      <c r="E233" s="1" t="s">
        <v>23</v>
      </c>
      <c r="F233" s="1" t="s">
        <v>389</v>
      </c>
      <c r="G233" s="1" t="s">
        <v>390</v>
      </c>
      <c r="H233" s="1" t="s">
        <v>46</v>
      </c>
      <c r="I233" s="1" t="s">
        <v>308</v>
      </c>
      <c r="J233" s="1" t="s">
        <v>34</v>
      </c>
      <c r="K233" s="1" t="s">
        <v>309</v>
      </c>
      <c r="L233" s="1" t="s">
        <v>90</v>
      </c>
      <c r="M233" s="1">
        <v>0</v>
      </c>
      <c r="N233" s="2">
        <f>M233/ActivityCenter!$L$14</f>
        <v>0</v>
      </c>
      <c r="Q233" s="1" t="s">
        <v>610</v>
      </c>
    </row>
    <row r="234" spans="1:17" x14ac:dyDescent="0.25">
      <c r="A234" s="1">
        <v>2018</v>
      </c>
      <c r="B234" s="1">
        <v>4</v>
      </c>
      <c r="C234" s="1" t="s">
        <v>57</v>
      </c>
      <c r="D234" s="1" t="s">
        <v>22</v>
      </c>
      <c r="E234" s="1" t="s">
        <v>23</v>
      </c>
      <c r="F234" s="1" t="s">
        <v>389</v>
      </c>
      <c r="G234" s="1" t="s">
        <v>390</v>
      </c>
      <c r="H234" s="1" t="s">
        <v>46</v>
      </c>
      <c r="I234" s="1" t="s">
        <v>308</v>
      </c>
      <c r="J234" s="1" t="s">
        <v>34</v>
      </c>
      <c r="K234" s="1" t="s">
        <v>309</v>
      </c>
      <c r="L234" s="1" t="s">
        <v>92</v>
      </c>
      <c r="M234" s="1">
        <v>0</v>
      </c>
      <c r="N234" s="2">
        <f>M234/ActivityCenter!$L$14</f>
        <v>0</v>
      </c>
      <c r="Q234" s="1" t="s">
        <v>610</v>
      </c>
    </row>
    <row r="235" spans="1:17" x14ac:dyDescent="0.25">
      <c r="A235" s="1">
        <v>2018</v>
      </c>
      <c r="B235" s="1">
        <v>4</v>
      </c>
      <c r="C235" s="1" t="s">
        <v>57</v>
      </c>
      <c r="D235" s="1" t="s">
        <v>22</v>
      </c>
      <c r="E235" s="1" t="s">
        <v>23</v>
      </c>
      <c r="F235" s="1" t="s">
        <v>519</v>
      </c>
      <c r="G235" s="1" t="s">
        <v>520</v>
      </c>
      <c r="H235" s="1" t="s">
        <v>46</v>
      </c>
      <c r="I235" s="1" t="s">
        <v>308</v>
      </c>
      <c r="J235" s="1" t="s">
        <v>34</v>
      </c>
      <c r="K235" s="1" t="s">
        <v>309</v>
      </c>
      <c r="L235" s="1" t="s">
        <v>84</v>
      </c>
      <c r="M235" s="1">
        <v>2533.6318181818001</v>
      </c>
      <c r="N235" s="2">
        <f>M235/ActivityCenter!$L$14</f>
        <v>199.00000000028277</v>
      </c>
      <c r="Q235" s="1" t="s">
        <v>610</v>
      </c>
    </row>
    <row r="236" spans="1:17" x14ac:dyDescent="0.25">
      <c r="A236" s="1">
        <v>2018</v>
      </c>
      <c r="B236" s="1">
        <v>4</v>
      </c>
      <c r="C236" s="1" t="s">
        <v>57</v>
      </c>
      <c r="D236" s="1" t="s">
        <v>22</v>
      </c>
      <c r="E236" s="1" t="s">
        <v>23</v>
      </c>
      <c r="F236" s="1" t="s">
        <v>391</v>
      </c>
      <c r="G236" s="1" t="s">
        <v>392</v>
      </c>
      <c r="H236" s="1" t="s">
        <v>46</v>
      </c>
      <c r="I236" s="1" t="s">
        <v>308</v>
      </c>
      <c r="J236" s="1" t="s">
        <v>34</v>
      </c>
      <c r="K236" s="1" t="s">
        <v>309</v>
      </c>
      <c r="L236" s="1" t="s">
        <v>85</v>
      </c>
      <c r="M236" s="1">
        <v>0</v>
      </c>
      <c r="N236" s="2">
        <f>M236/ActivityCenter!$L$14</f>
        <v>0</v>
      </c>
      <c r="Q236" s="1" t="s">
        <v>610</v>
      </c>
    </row>
    <row r="237" spans="1:17" x14ac:dyDescent="0.25">
      <c r="A237" s="1">
        <v>2018</v>
      </c>
      <c r="B237" s="1">
        <v>4</v>
      </c>
      <c r="C237" s="1" t="s">
        <v>57</v>
      </c>
      <c r="D237" s="1" t="s">
        <v>22</v>
      </c>
      <c r="E237" s="1" t="s">
        <v>23</v>
      </c>
      <c r="F237" s="1" t="s">
        <v>521</v>
      </c>
      <c r="G237" s="1" t="s">
        <v>522</v>
      </c>
      <c r="H237" s="1" t="s">
        <v>46</v>
      </c>
      <c r="I237" s="1" t="s">
        <v>308</v>
      </c>
      <c r="J237" s="1" t="s">
        <v>34</v>
      </c>
      <c r="K237" s="1" t="s">
        <v>309</v>
      </c>
      <c r="L237" s="1" t="s">
        <v>84</v>
      </c>
      <c r="M237" s="1">
        <v>2037.0909090908999</v>
      </c>
      <c r="N237" s="2">
        <f>M237/ActivityCenter!$L$14</f>
        <v>160.00000000022777</v>
      </c>
      <c r="Q237" s="1" t="s">
        <v>610</v>
      </c>
    </row>
    <row r="238" spans="1:17" x14ac:dyDescent="0.25">
      <c r="A238" s="1">
        <v>2018</v>
      </c>
      <c r="B238" s="1">
        <v>4</v>
      </c>
      <c r="C238" s="1" t="s">
        <v>57</v>
      </c>
      <c r="D238" s="1" t="s">
        <v>22</v>
      </c>
      <c r="E238" s="1" t="s">
        <v>23</v>
      </c>
      <c r="F238" s="1" t="s">
        <v>523</v>
      </c>
      <c r="G238" s="1" t="s">
        <v>524</v>
      </c>
      <c r="H238" s="1" t="s">
        <v>46</v>
      </c>
      <c r="I238" s="1" t="s">
        <v>308</v>
      </c>
      <c r="J238" s="1" t="s">
        <v>34</v>
      </c>
      <c r="K238" s="1" t="s">
        <v>309</v>
      </c>
      <c r="L238" s="1" t="s">
        <v>84</v>
      </c>
      <c r="M238" s="1">
        <v>2037.0909090908999</v>
      </c>
      <c r="N238" s="2">
        <f>M238/ActivityCenter!$L$14</f>
        <v>160.00000000022777</v>
      </c>
      <c r="Q238" s="1" t="s">
        <v>610</v>
      </c>
    </row>
    <row r="239" spans="1:17" x14ac:dyDescent="0.25">
      <c r="A239" s="1">
        <v>2018</v>
      </c>
      <c r="B239" s="1">
        <v>4</v>
      </c>
      <c r="C239" s="1" t="s">
        <v>57</v>
      </c>
      <c r="D239" s="1" t="s">
        <v>22</v>
      </c>
      <c r="E239" s="1" t="s">
        <v>23</v>
      </c>
      <c r="F239" s="1" t="s">
        <v>393</v>
      </c>
      <c r="G239" s="1" t="s">
        <v>394</v>
      </c>
      <c r="H239" s="1" t="s">
        <v>46</v>
      </c>
      <c r="I239" s="1" t="s">
        <v>308</v>
      </c>
      <c r="J239" s="1" t="s">
        <v>34</v>
      </c>
      <c r="K239" s="1" t="s">
        <v>309</v>
      </c>
      <c r="L239" s="1" t="s">
        <v>82</v>
      </c>
      <c r="M239" s="1">
        <v>0</v>
      </c>
      <c r="N239" s="2">
        <f>M239/ActivityCenter!$L$14</f>
        <v>0</v>
      </c>
      <c r="Q239" s="1" t="s">
        <v>610</v>
      </c>
    </row>
    <row r="240" spans="1:17" x14ac:dyDescent="0.25">
      <c r="A240" s="1">
        <v>2018</v>
      </c>
      <c r="B240" s="1">
        <v>4</v>
      </c>
      <c r="C240" s="1" t="s">
        <v>57</v>
      </c>
      <c r="D240" s="1" t="s">
        <v>22</v>
      </c>
      <c r="E240" s="1" t="s">
        <v>23</v>
      </c>
      <c r="F240" s="1" t="s">
        <v>395</v>
      </c>
      <c r="G240" s="1" t="s">
        <v>396</v>
      </c>
      <c r="H240" s="1" t="s">
        <v>46</v>
      </c>
      <c r="I240" s="1" t="s">
        <v>308</v>
      </c>
      <c r="J240" s="1" t="s">
        <v>34</v>
      </c>
      <c r="K240" s="1" t="s">
        <v>309</v>
      </c>
      <c r="L240" s="1" t="s">
        <v>78</v>
      </c>
      <c r="M240" s="1">
        <v>0</v>
      </c>
      <c r="N240" s="2">
        <f>M240/ActivityCenter!$L$14</f>
        <v>0</v>
      </c>
      <c r="Q240" s="1" t="s">
        <v>610</v>
      </c>
    </row>
    <row r="241" spans="1:17" x14ac:dyDescent="0.25">
      <c r="A241" s="1">
        <v>2018</v>
      </c>
      <c r="B241" s="1">
        <v>4</v>
      </c>
      <c r="C241" s="1" t="s">
        <v>57</v>
      </c>
      <c r="D241" s="1" t="s">
        <v>22</v>
      </c>
      <c r="E241" s="1" t="s">
        <v>23</v>
      </c>
      <c r="F241" s="1" t="s">
        <v>395</v>
      </c>
      <c r="G241" s="1" t="s">
        <v>396</v>
      </c>
      <c r="H241" s="1" t="s">
        <v>46</v>
      </c>
      <c r="I241" s="1" t="s">
        <v>308</v>
      </c>
      <c r="J241" s="1" t="s">
        <v>34</v>
      </c>
      <c r="K241" s="1" t="s">
        <v>309</v>
      </c>
      <c r="L241" s="1" t="s">
        <v>85</v>
      </c>
      <c r="M241" s="1">
        <v>0</v>
      </c>
      <c r="N241" s="2">
        <f>M241/ActivityCenter!$L$14</f>
        <v>0</v>
      </c>
      <c r="Q241" s="1" t="s">
        <v>610</v>
      </c>
    </row>
    <row r="242" spans="1:17" x14ac:dyDescent="0.25">
      <c r="A242" s="1">
        <v>2018</v>
      </c>
      <c r="B242" s="1">
        <v>4</v>
      </c>
      <c r="C242" s="1" t="s">
        <v>57</v>
      </c>
      <c r="D242" s="1" t="s">
        <v>22</v>
      </c>
      <c r="E242" s="1" t="s">
        <v>23</v>
      </c>
      <c r="F242" s="1" t="s">
        <v>525</v>
      </c>
      <c r="G242" s="1" t="s">
        <v>526</v>
      </c>
      <c r="H242" s="1" t="s">
        <v>46</v>
      </c>
      <c r="I242" s="1" t="s">
        <v>308</v>
      </c>
      <c r="J242" s="1" t="s">
        <v>34</v>
      </c>
      <c r="K242" s="1" t="s">
        <v>309</v>
      </c>
      <c r="L242" s="1" t="s">
        <v>84</v>
      </c>
      <c r="M242" s="1">
        <v>2202.6045454545001</v>
      </c>
      <c r="N242" s="2">
        <f>M242/ActivityCenter!$L$14</f>
        <v>173.00000000024349</v>
      </c>
      <c r="Q242" s="1" t="s">
        <v>610</v>
      </c>
    </row>
    <row r="243" spans="1:17" x14ac:dyDescent="0.25">
      <c r="A243" s="1">
        <v>2018</v>
      </c>
      <c r="B243" s="1">
        <v>4</v>
      </c>
      <c r="C243" s="1" t="s">
        <v>57</v>
      </c>
      <c r="D243" s="1" t="s">
        <v>22</v>
      </c>
      <c r="E243" s="1" t="s">
        <v>23</v>
      </c>
      <c r="F243" s="1" t="s">
        <v>397</v>
      </c>
      <c r="G243" s="1" t="s">
        <v>398</v>
      </c>
      <c r="H243" s="1" t="s">
        <v>46</v>
      </c>
      <c r="I243" s="1" t="s">
        <v>308</v>
      </c>
      <c r="J243" s="1" t="s">
        <v>34</v>
      </c>
      <c r="K243" s="1" t="s">
        <v>309</v>
      </c>
      <c r="L243" s="1" t="s">
        <v>82</v>
      </c>
      <c r="M243" s="1">
        <v>0</v>
      </c>
      <c r="N243" s="2">
        <f>M243/ActivityCenter!$L$14</f>
        <v>0</v>
      </c>
      <c r="Q243" s="1" t="s">
        <v>610</v>
      </c>
    </row>
    <row r="244" spans="1:17" x14ac:dyDescent="0.25">
      <c r="A244" s="1">
        <v>2018</v>
      </c>
      <c r="B244" s="1">
        <v>4</v>
      </c>
      <c r="C244" s="1" t="s">
        <v>57</v>
      </c>
      <c r="D244" s="1" t="s">
        <v>22</v>
      </c>
      <c r="E244" s="1" t="s">
        <v>23</v>
      </c>
      <c r="F244" s="1" t="s">
        <v>397</v>
      </c>
      <c r="G244" s="1" t="s">
        <v>398</v>
      </c>
      <c r="H244" s="1" t="s">
        <v>46</v>
      </c>
      <c r="I244" s="1" t="s">
        <v>308</v>
      </c>
      <c r="J244" s="1" t="s">
        <v>34</v>
      </c>
      <c r="K244" s="1" t="s">
        <v>309</v>
      </c>
      <c r="L244" s="1" t="s">
        <v>84</v>
      </c>
      <c r="M244" s="1">
        <v>0</v>
      </c>
      <c r="N244" s="2">
        <f>M244/ActivityCenter!$L$14</f>
        <v>0</v>
      </c>
      <c r="Q244" s="1" t="s">
        <v>610</v>
      </c>
    </row>
    <row r="245" spans="1:17" x14ac:dyDescent="0.25">
      <c r="A245" s="1">
        <v>2018</v>
      </c>
      <c r="B245" s="1">
        <v>4</v>
      </c>
      <c r="C245" s="1" t="s">
        <v>57</v>
      </c>
      <c r="D245" s="1" t="s">
        <v>22</v>
      </c>
      <c r="E245" s="1" t="s">
        <v>23</v>
      </c>
      <c r="F245" s="1" t="s">
        <v>399</v>
      </c>
      <c r="G245" s="1" t="s">
        <v>400</v>
      </c>
      <c r="H245" s="1" t="s">
        <v>46</v>
      </c>
      <c r="I245" s="1" t="s">
        <v>308</v>
      </c>
      <c r="J245" s="1" t="s">
        <v>34</v>
      </c>
      <c r="K245" s="1" t="s">
        <v>309</v>
      </c>
      <c r="L245" s="1" t="s">
        <v>78</v>
      </c>
      <c r="M245" s="1">
        <v>0</v>
      </c>
      <c r="N245" s="2">
        <f>M245/ActivityCenter!$L$14</f>
        <v>0</v>
      </c>
      <c r="Q245" s="1" t="s">
        <v>610</v>
      </c>
    </row>
    <row r="246" spans="1:17" x14ac:dyDescent="0.25">
      <c r="A246" s="1">
        <v>2018</v>
      </c>
      <c r="B246" s="1">
        <v>4</v>
      </c>
      <c r="C246" s="1" t="s">
        <v>57</v>
      </c>
      <c r="D246" s="1" t="s">
        <v>22</v>
      </c>
      <c r="E246" s="1" t="s">
        <v>23</v>
      </c>
      <c r="F246" s="1" t="s">
        <v>399</v>
      </c>
      <c r="G246" s="1" t="s">
        <v>400</v>
      </c>
      <c r="H246" s="1" t="s">
        <v>46</v>
      </c>
      <c r="I246" s="1" t="s">
        <v>308</v>
      </c>
      <c r="J246" s="1" t="s">
        <v>34</v>
      </c>
      <c r="K246" s="1" t="s">
        <v>309</v>
      </c>
      <c r="L246" s="1" t="s">
        <v>85</v>
      </c>
      <c r="M246" s="1">
        <v>0</v>
      </c>
      <c r="N246" s="2">
        <f>M246/ActivityCenter!$L$14</f>
        <v>0</v>
      </c>
      <c r="Q246" s="1" t="s">
        <v>610</v>
      </c>
    </row>
    <row r="247" spans="1:17" x14ac:dyDescent="0.25">
      <c r="A247" s="1">
        <v>2018</v>
      </c>
      <c r="B247" s="1">
        <v>4</v>
      </c>
      <c r="C247" s="1" t="s">
        <v>57</v>
      </c>
      <c r="D247" s="1" t="s">
        <v>22</v>
      </c>
      <c r="E247" s="1" t="s">
        <v>23</v>
      </c>
      <c r="F247" s="1" t="s">
        <v>401</v>
      </c>
      <c r="G247" s="1" t="s">
        <v>402</v>
      </c>
      <c r="H247" s="1" t="s">
        <v>46</v>
      </c>
      <c r="I247" s="1" t="s">
        <v>308</v>
      </c>
      <c r="J247" s="1" t="s">
        <v>34</v>
      </c>
      <c r="K247" s="1" t="s">
        <v>309</v>
      </c>
      <c r="L247" s="1" t="s">
        <v>85</v>
      </c>
      <c r="M247" s="1">
        <v>3055.6363636363999</v>
      </c>
      <c r="N247" s="2">
        <f>M247/ActivityCenter!$L$14</f>
        <v>240.00000000034558</v>
      </c>
      <c r="Q247" s="1" t="s">
        <v>610</v>
      </c>
    </row>
    <row r="248" spans="1:17" x14ac:dyDescent="0.25">
      <c r="A248" s="1">
        <v>2018</v>
      </c>
      <c r="B248" s="1">
        <v>4</v>
      </c>
      <c r="C248" s="1" t="s">
        <v>57</v>
      </c>
      <c r="D248" s="1" t="s">
        <v>22</v>
      </c>
      <c r="E248" s="1" t="s">
        <v>23</v>
      </c>
      <c r="F248" s="1" t="s">
        <v>527</v>
      </c>
      <c r="G248" s="1" t="s">
        <v>528</v>
      </c>
      <c r="H248" s="1" t="s">
        <v>46</v>
      </c>
      <c r="I248" s="1" t="s">
        <v>308</v>
      </c>
      <c r="J248" s="1" t="s">
        <v>34</v>
      </c>
      <c r="K248" s="1" t="s">
        <v>309</v>
      </c>
      <c r="L248" s="1" t="s">
        <v>84</v>
      </c>
      <c r="M248" s="1">
        <v>2037.0909090908999</v>
      </c>
      <c r="N248" s="2">
        <f>M248/ActivityCenter!$L$14</f>
        <v>160.00000000022777</v>
      </c>
      <c r="Q248" s="1" t="s">
        <v>610</v>
      </c>
    </row>
    <row r="249" spans="1:17" x14ac:dyDescent="0.25">
      <c r="A249" s="1">
        <v>2018</v>
      </c>
      <c r="B249" s="1">
        <v>4</v>
      </c>
      <c r="C249" s="1" t="s">
        <v>57</v>
      </c>
      <c r="D249" s="1" t="s">
        <v>22</v>
      </c>
      <c r="E249" s="1" t="s">
        <v>23</v>
      </c>
      <c r="F249" s="1" t="s">
        <v>527</v>
      </c>
      <c r="G249" s="1" t="s">
        <v>528</v>
      </c>
      <c r="H249" s="1" t="s">
        <v>46</v>
      </c>
      <c r="I249" s="1" t="s">
        <v>308</v>
      </c>
      <c r="J249" s="1" t="s">
        <v>34</v>
      </c>
      <c r="K249" s="1" t="s">
        <v>309</v>
      </c>
      <c r="L249" s="1" t="s">
        <v>103</v>
      </c>
      <c r="M249" s="1">
        <v>3055.6363636363999</v>
      </c>
      <c r="N249" s="2">
        <f>M249/ActivityCenter!$L$14</f>
        <v>240.00000000034558</v>
      </c>
      <c r="Q249" s="1" t="s">
        <v>610</v>
      </c>
    </row>
    <row r="250" spans="1:17" x14ac:dyDescent="0.25">
      <c r="A250" s="1">
        <v>2018</v>
      </c>
      <c r="B250" s="1">
        <v>4</v>
      </c>
      <c r="C250" s="1" t="s">
        <v>57</v>
      </c>
      <c r="D250" s="1" t="s">
        <v>22</v>
      </c>
      <c r="E250" s="1" t="s">
        <v>23</v>
      </c>
      <c r="F250" s="1" t="s">
        <v>403</v>
      </c>
      <c r="G250" s="1" t="s">
        <v>404</v>
      </c>
      <c r="H250" s="1" t="s">
        <v>46</v>
      </c>
      <c r="I250" s="1" t="s">
        <v>308</v>
      </c>
      <c r="J250" s="1" t="s">
        <v>34</v>
      </c>
      <c r="K250" s="1" t="s">
        <v>309</v>
      </c>
      <c r="L250" s="1" t="s">
        <v>78</v>
      </c>
      <c r="M250" s="1">
        <v>0</v>
      </c>
      <c r="N250" s="2">
        <f>M250/ActivityCenter!$L$14</f>
        <v>0</v>
      </c>
      <c r="Q250" s="1" t="s">
        <v>610</v>
      </c>
    </row>
    <row r="251" spans="1:17" x14ac:dyDescent="0.25">
      <c r="A251" s="1">
        <v>2018</v>
      </c>
      <c r="B251" s="1">
        <v>4</v>
      </c>
      <c r="C251" s="1" t="s">
        <v>57</v>
      </c>
      <c r="D251" s="1" t="s">
        <v>22</v>
      </c>
      <c r="E251" s="1" t="s">
        <v>23</v>
      </c>
      <c r="F251" s="1" t="s">
        <v>403</v>
      </c>
      <c r="G251" s="1" t="s">
        <v>404</v>
      </c>
      <c r="H251" s="1" t="s">
        <v>46</v>
      </c>
      <c r="I251" s="1" t="s">
        <v>308</v>
      </c>
      <c r="J251" s="1" t="s">
        <v>34</v>
      </c>
      <c r="K251" s="1" t="s">
        <v>309</v>
      </c>
      <c r="L251" s="1" t="s">
        <v>82</v>
      </c>
      <c r="M251" s="1">
        <v>0</v>
      </c>
      <c r="N251" s="2">
        <f>M251/ActivityCenter!$L$14</f>
        <v>0</v>
      </c>
      <c r="Q251" s="1" t="s">
        <v>610</v>
      </c>
    </row>
    <row r="252" spans="1:17" x14ac:dyDescent="0.25">
      <c r="A252" s="1">
        <v>2018</v>
      </c>
      <c r="B252" s="1">
        <v>4</v>
      </c>
      <c r="C252" s="1" t="s">
        <v>57</v>
      </c>
      <c r="D252" s="1" t="s">
        <v>22</v>
      </c>
      <c r="E252" s="1" t="s">
        <v>23</v>
      </c>
      <c r="F252" s="1" t="s">
        <v>403</v>
      </c>
      <c r="G252" s="1" t="s">
        <v>404</v>
      </c>
      <c r="H252" s="1" t="s">
        <v>46</v>
      </c>
      <c r="I252" s="1" t="s">
        <v>308</v>
      </c>
      <c r="J252" s="1" t="s">
        <v>34</v>
      </c>
      <c r="K252" s="1" t="s">
        <v>309</v>
      </c>
      <c r="L252" s="1" t="s">
        <v>86</v>
      </c>
      <c r="M252" s="1">
        <v>0</v>
      </c>
      <c r="N252" s="2">
        <f>M252/ActivityCenter!$L$14</f>
        <v>0</v>
      </c>
      <c r="Q252" s="1" t="s">
        <v>610</v>
      </c>
    </row>
    <row r="253" spans="1:17" x14ac:dyDescent="0.25">
      <c r="A253" s="1">
        <v>2018</v>
      </c>
      <c r="B253" s="1">
        <v>4</v>
      </c>
      <c r="C253" s="1" t="s">
        <v>57</v>
      </c>
      <c r="D253" s="1" t="s">
        <v>22</v>
      </c>
      <c r="E253" s="1" t="s">
        <v>23</v>
      </c>
      <c r="F253" s="1" t="s">
        <v>529</v>
      </c>
      <c r="G253" s="1" t="s">
        <v>530</v>
      </c>
      <c r="H253" s="1" t="s">
        <v>46</v>
      </c>
      <c r="I253" s="1" t="s">
        <v>308</v>
      </c>
      <c r="J253" s="1" t="s">
        <v>34</v>
      </c>
      <c r="K253" s="1" t="s">
        <v>309</v>
      </c>
      <c r="L253" s="1" t="s">
        <v>85</v>
      </c>
      <c r="M253" s="1">
        <v>2037.0909090908999</v>
      </c>
      <c r="N253" s="2">
        <f>M253/ActivityCenter!$L$14</f>
        <v>160.00000000022777</v>
      </c>
      <c r="Q253" s="1" t="s">
        <v>610</v>
      </c>
    </row>
    <row r="254" spans="1:17" x14ac:dyDescent="0.25">
      <c r="A254" s="1">
        <v>2018</v>
      </c>
      <c r="B254" s="1">
        <v>4</v>
      </c>
      <c r="C254" s="1" t="s">
        <v>57</v>
      </c>
      <c r="D254" s="1" t="s">
        <v>22</v>
      </c>
      <c r="E254" s="1" t="s">
        <v>23</v>
      </c>
      <c r="F254" s="1" t="s">
        <v>405</v>
      </c>
      <c r="G254" s="1" t="s">
        <v>406</v>
      </c>
      <c r="H254" s="1" t="s">
        <v>46</v>
      </c>
      <c r="I254" s="1" t="s">
        <v>308</v>
      </c>
      <c r="J254" s="1" t="s">
        <v>34</v>
      </c>
      <c r="K254" s="1" t="s">
        <v>309</v>
      </c>
      <c r="L254" s="1" t="s">
        <v>78</v>
      </c>
      <c r="M254" s="1">
        <v>0</v>
      </c>
      <c r="N254" s="2">
        <f>M254/ActivityCenter!$L$14</f>
        <v>0</v>
      </c>
      <c r="Q254" s="1" t="s">
        <v>610</v>
      </c>
    </row>
    <row r="255" spans="1:17" x14ac:dyDescent="0.25">
      <c r="A255" s="1">
        <v>2018</v>
      </c>
      <c r="B255" s="1">
        <v>4</v>
      </c>
      <c r="C255" s="1" t="s">
        <v>57</v>
      </c>
      <c r="D255" s="1" t="s">
        <v>22</v>
      </c>
      <c r="E255" s="1" t="s">
        <v>23</v>
      </c>
      <c r="F255" s="1" t="s">
        <v>405</v>
      </c>
      <c r="G255" s="1" t="s">
        <v>406</v>
      </c>
      <c r="H255" s="1" t="s">
        <v>46</v>
      </c>
      <c r="I255" s="1" t="s">
        <v>308</v>
      </c>
      <c r="J255" s="1" t="s">
        <v>34</v>
      </c>
      <c r="K255" s="1" t="s">
        <v>309</v>
      </c>
      <c r="L255" s="1" t="s">
        <v>82</v>
      </c>
      <c r="M255" s="1">
        <v>0</v>
      </c>
      <c r="N255" s="2">
        <f>M255/ActivityCenter!$L$14</f>
        <v>0</v>
      </c>
      <c r="Q255" s="1" t="s">
        <v>610</v>
      </c>
    </row>
    <row r="256" spans="1:17" x14ac:dyDescent="0.25">
      <c r="A256" s="1">
        <v>2018</v>
      </c>
      <c r="B256" s="1">
        <v>4</v>
      </c>
      <c r="C256" s="1" t="s">
        <v>57</v>
      </c>
      <c r="D256" s="1" t="s">
        <v>22</v>
      </c>
      <c r="E256" s="1" t="s">
        <v>23</v>
      </c>
      <c r="F256" s="1" t="s">
        <v>407</v>
      </c>
      <c r="G256" s="1" t="s">
        <v>408</v>
      </c>
      <c r="H256" s="1" t="s">
        <v>46</v>
      </c>
      <c r="I256" s="1" t="s">
        <v>308</v>
      </c>
      <c r="J256" s="1" t="s">
        <v>34</v>
      </c>
      <c r="K256" s="1" t="s">
        <v>309</v>
      </c>
      <c r="L256" s="1" t="s">
        <v>85</v>
      </c>
      <c r="M256" s="1">
        <v>0</v>
      </c>
      <c r="N256" s="2">
        <f>M256/ActivityCenter!$L$14</f>
        <v>0</v>
      </c>
      <c r="Q256" s="1" t="s">
        <v>610</v>
      </c>
    </row>
    <row r="257" spans="1:17" x14ac:dyDescent="0.25">
      <c r="A257" s="1">
        <v>2018</v>
      </c>
      <c r="B257" s="1">
        <v>4</v>
      </c>
      <c r="C257" s="1" t="s">
        <v>57</v>
      </c>
      <c r="D257" s="1" t="s">
        <v>22</v>
      </c>
      <c r="E257" s="1" t="s">
        <v>23</v>
      </c>
      <c r="F257" s="1" t="s">
        <v>531</v>
      </c>
      <c r="G257" s="1" t="s">
        <v>532</v>
      </c>
      <c r="H257" s="1" t="s">
        <v>46</v>
      </c>
      <c r="I257" s="1" t="s">
        <v>308</v>
      </c>
      <c r="J257" s="1" t="s">
        <v>34</v>
      </c>
      <c r="K257" s="1" t="s">
        <v>309</v>
      </c>
      <c r="L257" s="1" t="s">
        <v>84</v>
      </c>
      <c r="M257" s="1">
        <v>2037.0909090908999</v>
      </c>
      <c r="N257" s="2">
        <f>M257/ActivityCenter!$L$14</f>
        <v>160.00000000022777</v>
      </c>
      <c r="Q257" s="1" t="s">
        <v>610</v>
      </c>
    </row>
    <row r="258" spans="1:17" x14ac:dyDescent="0.25">
      <c r="A258" s="1">
        <v>2018</v>
      </c>
      <c r="B258" s="1">
        <v>4</v>
      </c>
      <c r="C258" s="1" t="s">
        <v>57</v>
      </c>
      <c r="D258" s="1" t="s">
        <v>22</v>
      </c>
      <c r="E258" s="1" t="s">
        <v>23</v>
      </c>
      <c r="F258" s="1" t="s">
        <v>533</v>
      </c>
      <c r="G258" s="1" t="s">
        <v>534</v>
      </c>
      <c r="H258" s="1" t="s">
        <v>46</v>
      </c>
      <c r="I258" s="1" t="s">
        <v>308</v>
      </c>
      <c r="J258" s="1" t="s">
        <v>34</v>
      </c>
      <c r="K258" s="1" t="s">
        <v>309</v>
      </c>
      <c r="L258" s="1" t="s">
        <v>84</v>
      </c>
      <c r="M258" s="1">
        <v>3055.6363636363999</v>
      </c>
      <c r="N258" s="2">
        <f>M258/ActivityCenter!$L$14</f>
        <v>240.00000000034558</v>
      </c>
      <c r="Q258" s="1" t="s">
        <v>610</v>
      </c>
    </row>
    <row r="259" spans="1:17" x14ac:dyDescent="0.25">
      <c r="A259" s="1">
        <v>2018</v>
      </c>
      <c r="B259" s="1">
        <v>4</v>
      </c>
      <c r="C259" s="1" t="s">
        <v>57</v>
      </c>
      <c r="D259" s="1" t="s">
        <v>22</v>
      </c>
      <c r="E259" s="1" t="s">
        <v>23</v>
      </c>
      <c r="F259" s="1" t="s">
        <v>469</v>
      </c>
      <c r="G259" s="1" t="s">
        <v>470</v>
      </c>
      <c r="H259" s="1" t="s">
        <v>46</v>
      </c>
      <c r="I259" s="1" t="s">
        <v>308</v>
      </c>
      <c r="J259" s="1" t="s">
        <v>34</v>
      </c>
      <c r="K259" s="1" t="s">
        <v>309</v>
      </c>
      <c r="L259" s="1" t="s">
        <v>78</v>
      </c>
      <c r="M259" s="1">
        <v>3348.4681818181998</v>
      </c>
      <c r="N259" s="2">
        <f>M259/ActivityCenter!$L$14</f>
        <v>263.00000000037699</v>
      </c>
      <c r="Q259" s="1" t="s">
        <v>610</v>
      </c>
    </row>
    <row r="260" spans="1:17" x14ac:dyDescent="0.25">
      <c r="A260" s="1">
        <v>2018</v>
      </c>
      <c r="B260" s="1">
        <v>4</v>
      </c>
      <c r="C260" s="1" t="s">
        <v>57</v>
      </c>
      <c r="D260" s="1" t="s">
        <v>22</v>
      </c>
      <c r="E260" s="1" t="s">
        <v>23</v>
      </c>
      <c r="F260" s="1" t="s">
        <v>469</v>
      </c>
      <c r="G260" s="1" t="s">
        <v>470</v>
      </c>
      <c r="H260" s="1" t="s">
        <v>46</v>
      </c>
      <c r="I260" s="1" t="s">
        <v>308</v>
      </c>
      <c r="J260" s="1" t="s">
        <v>34</v>
      </c>
      <c r="K260" s="1" t="s">
        <v>309</v>
      </c>
      <c r="L260" s="1" t="s">
        <v>84</v>
      </c>
      <c r="M260" s="1">
        <v>2151.6772727273001</v>
      </c>
      <c r="N260" s="2">
        <f>M260/ActivityCenter!$L$14</f>
        <v>169.00000000024349</v>
      </c>
      <c r="Q260" s="1" t="s">
        <v>610</v>
      </c>
    </row>
    <row r="261" spans="1:17" x14ac:dyDescent="0.25">
      <c r="A261" s="1">
        <v>2018</v>
      </c>
      <c r="B261" s="1">
        <v>4</v>
      </c>
      <c r="C261" s="1" t="s">
        <v>57</v>
      </c>
      <c r="D261" s="1" t="s">
        <v>22</v>
      </c>
      <c r="E261" s="1" t="s">
        <v>23</v>
      </c>
      <c r="F261" s="1" t="s">
        <v>409</v>
      </c>
      <c r="G261" s="1" t="s">
        <v>410</v>
      </c>
      <c r="H261" s="1" t="s">
        <v>46</v>
      </c>
      <c r="I261" s="1" t="s">
        <v>308</v>
      </c>
      <c r="J261" s="1" t="s">
        <v>34</v>
      </c>
      <c r="K261" s="1" t="s">
        <v>309</v>
      </c>
      <c r="L261" s="1" t="s">
        <v>87</v>
      </c>
      <c r="M261" s="1">
        <v>0</v>
      </c>
      <c r="N261" s="2">
        <f>M261/ActivityCenter!$L$14</f>
        <v>0</v>
      </c>
      <c r="Q261" s="1" t="s">
        <v>610</v>
      </c>
    </row>
    <row r="262" spans="1:17" x14ac:dyDescent="0.25">
      <c r="A262" s="1">
        <v>2018</v>
      </c>
      <c r="B262" s="1">
        <v>4</v>
      </c>
      <c r="C262" s="1" t="s">
        <v>57</v>
      </c>
      <c r="D262" s="1" t="s">
        <v>22</v>
      </c>
      <c r="E262" s="1" t="s">
        <v>23</v>
      </c>
      <c r="F262" s="1" t="s">
        <v>411</v>
      </c>
      <c r="G262" s="1" t="s">
        <v>412</v>
      </c>
      <c r="H262" s="1" t="s">
        <v>46</v>
      </c>
      <c r="I262" s="1" t="s">
        <v>308</v>
      </c>
      <c r="J262" s="1" t="s">
        <v>34</v>
      </c>
      <c r="K262" s="1" t="s">
        <v>309</v>
      </c>
      <c r="L262" s="1" t="s">
        <v>86</v>
      </c>
      <c r="M262" s="1">
        <v>2533.6318181819001</v>
      </c>
      <c r="N262" s="2">
        <f>M262/ActivityCenter!$L$14</f>
        <v>199.00000000029064</v>
      </c>
      <c r="Q262" s="1" t="s">
        <v>601</v>
      </c>
    </row>
    <row r="263" spans="1:17" x14ac:dyDescent="0.25">
      <c r="A263" s="1">
        <v>2018</v>
      </c>
      <c r="B263" s="1">
        <v>4</v>
      </c>
      <c r="C263" s="1" t="s">
        <v>57</v>
      </c>
      <c r="D263" s="1" t="s">
        <v>22</v>
      </c>
      <c r="E263" s="1" t="s">
        <v>23</v>
      </c>
      <c r="F263" s="1" t="s">
        <v>413</v>
      </c>
      <c r="G263" s="1" t="s">
        <v>414</v>
      </c>
      <c r="H263" s="1" t="s">
        <v>46</v>
      </c>
      <c r="I263" s="1" t="s">
        <v>308</v>
      </c>
      <c r="J263" s="1" t="s">
        <v>34</v>
      </c>
      <c r="K263" s="1" t="s">
        <v>309</v>
      </c>
      <c r="L263" s="1" t="s">
        <v>84</v>
      </c>
      <c r="M263" s="1">
        <v>0</v>
      </c>
      <c r="N263" s="2">
        <f>M263/ActivityCenter!$L$14</f>
        <v>0</v>
      </c>
      <c r="Q263" s="1" t="s">
        <v>601</v>
      </c>
    </row>
    <row r="264" spans="1:17" x14ac:dyDescent="0.25">
      <c r="A264" s="1">
        <v>2018</v>
      </c>
      <c r="B264" s="1">
        <v>4</v>
      </c>
      <c r="C264" s="1" t="s">
        <v>57</v>
      </c>
      <c r="D264" s="1" t="s">
        <v>22</v>
      </c>
      <c r="E264" s="1" t="s">
        <v>23</v>
      </c>
      <c r="F264" s="1" t="s">
        <v>471</v>
      </c>
      <c r="G264" s="1" t="s">
        <v>472</v>
      </c>
      <c r="H264" s="1" t="s">
        <v>46</v>
      </c>
      <c r="I264" s="1" t="s">
        <v>308</v>
      </c>
      <c r="J264" s="1" t="s">
        <v>34</v>
      </c>
      <c r="K264" s="1" t="s">
        <v>309</v>
      </c>
      <c r="L264" s="1" t="s">
        <v>84</v>
      </c>
      <c r="M264" s="1">
        <v>1871.5772727272999</v>
      </c>
      <c r="N264" s="2">
        <f>M264/ActivityCenter!$L$14</f>
        <v>147.00000000021205</v>
      </c>
      <c r="Q264" s="1" t="s">
        <v>601</v>
      </c>
    </row>
    <row r="265" spans="1:17" x14ac:dyDescent="0.25">
      <c r="A265" s="1">
        <v>2018</v>
      </c>
      <c r="B265" s="1">
        <v>4</v>
      </c>
      <c r="C265" s="1" t="s">
        <v>57</v>
      </c>
      <c r="D265" s="1" t="s">
        <v>22</v>
      </c>
      <c r="E265" s="1" t="s">
        <v>23</v>
      </c>
      <c r="F265" s="1" t="s">
        <v>471</v>
      </c>
      <c r="G265" s="1" t="s">
        <v>472</v>
      </c>
      <c r="H265" s="1" t="s">
        <v>46</v>
      </c>
      <c r="I265" s="1" t="s">
        <v>308</v>
      </c>
      <c r="J265" s="1" t="s">
        <v>34</v>
      </c>
      <c r="K265" s="1" t="s">
        <v>309</v>
      </c>
      <c r="L265" s="1" t="s">
        <v>87</v>
      </c>
      <c r="M265" s="1">
        <v>2826.4636363637001</v>
      </c>
      <c r="N265" s="2">
        <f>M265/ActivityCenter!$L$14</f>
        <v>222.00000000032205</v>
      </c>
      <c r="Q265" s="1" t="s">
        <v>601</v>
      </c>
    </row>
    <row r="266" spans="1:17" x14ac:dyDescent="0.25">
      <c r="A266" s="1">
        <v>2018</v>
      </c>
      <c r="B266" s="1">
        <v>4</v>
      </c>
      <c r="C266" s="1" t="s">
        <v>57</v>
      </c>
      <c r="D266" s="1" t="s">
        <v>22</v>
      </c>
      <c r="E266" s="1" t="s">
        <v>23</v>
      </c>
      <c r="F266" s="1" t="s">
        <v>415</v>
      </c>
      <c r="G266" s="1" t="s">
        <v>416</v>
      </c>
      <c r="H266" s="1" t="s">
        <v>46</v>
      </c>
      <c r="I266" s="1" t="s">
        <v>308</v>
      </c>
      <c r="J266" s="1" t="s">
        <v>34</v>
      </c>
      <c r="K266" s="1" t="s">
        <v>309</v>
      </c>
      <c r="L266" s="1" t="s">
        <v>85</v>
      </c>
      <c r="M266" s="1">
        <v>0</v>
      </c>
      <c r="N266" s="2">
        <f>M266/ActivityCenter!$L$14</f>
        <v>0</v>
      </c>
      <c r="Q266" s="1" t="s">
        <v>601</v>
      </c>
    </row>
    <row r="267" spans="1:17" x14ac:dyDescent="0.25">
      <c r="A267" s="1">
        <v>2018</v>
      </c>
      <c r="B267" s="1">
        <v>4</v>
      </c>
      <c r="C267" s="1" t="s">
        <v>57</v>
      </c>
      <c r="D267" s="1" t="s">
        <v>22</v>
      </c>
      <c r="E267" s="1" t="s">
        <v>23</v>
      </c>
      <c r="F267" s="1" t="s">
        <v>417</v>
      </c>
      <c r="G267" s="1" t="s">
        <v>418</v>
      </c>
      <c r="H267" s="1" t="s">
        <v>46</v>
      </c>
      <c r="I267" s="1" t="s">
        <v>308</v>
      </c>
      <c r="J267" s="1" t="s">
        <v>34</v>
      </c>
      <c r="K267" s="1" t="s">
        <v>309</v>
      </c>
      <c r="L267" s="1" t="s">
        <v>84</v>
      </c>
      <c r="M267" s="1">
        <v>0</v>
      </c>
      <c r="N267" s="2">
        <f>M267/ActivityCenter!$L$14</f>
        <v>0</v>
      </c>
      <c r="Q267" s="1" t="s">
        <v>601</v>
      </c>
    </row>
    <row r="268" spans="1:17" x14ac:dyDescent="0.25">
      <c r="A268" s="1">
        <v>2018</v>
      </c>
      <c r="B268" s="1">
        <v>4</v>
      </c>
      <c r="C268" s="1" t="s">
        <v>57</v>
      </c>
      <c r="D268" s="1" t="s">
        <v>22</v>
      </c>
      <c r="E268" s="1" t="s">
        <v>23</v>
      </c>
      <c r="F268" s="1" t="s">
        <v>419</v>
      </c>
      <c r="G268" s="1" t="s">
        <v>420</v>
      </c>
      <c r="H268" s="1" t="s">
        <v>46</v>
      </c>
      <c r="I268" s="1" t="s">
        <v>308</v>
      </c>
      <c r="J268" s="1" t="s">
        <v>34</v>
      </c>
      <c r="K268" s="1" t="s">
        <v>309</v>
      </c>
      <c r="L268" s="1" t="s">
        <v>82</v>
      </c>
      <c r="M268" s="1">
        <v>1362.3045454544999</v>
      </c>
      <c r="N268" s="2">
        <f>M268/ActivityCenter!$L$14</f>
        <v>107.00000000014923</v>
      </c>
      <c r="Q268" s="1" t="s">
        <v>601</v>
      </c>
    </row>
    <row r="269" spans="1:17" x14ac:dyDescent="0.25">
      <c r="A269" s="1">
        <v>2018</v>
      </c>
      <c r="B269" s="1">
        <v>4</v>
      </c>
      <c r="C269" s="1" t="s">
        <v>57</v>
      </c>
      <c r="D269" s="1" t="s">
        <v>22</v>
      </c>
      <c r="E269" s="1" t="s">
        <v>23</v>
      </c>
      <c r="F269" s="1" t="s">
        <v>419</v>
      </c>
      <c r="G269" s="1" t="s">
        <v>420</v>
      </c>
      <c r="H269" s="1" t="s">
        <v>46</v>
      </c>
      <c r="I269" s="1" t="s">
        <v>308</v>
      </c>
      <c r="J269" s="1" t="s">
        <v>34</v>
      </c>
      <c r="K269" s="1" t="s">
        <v>309</v>
      </c>
      <c r="L269" s="1" t="s">
        <v>84</v>
      </c>
      <c r="M269" s="1">
        <v>1362.3045454544999</v>
      </c>
      <c r="N269" s="2">
        <f>M269/ActivityCenter!$L$14</f>
        <v>107.00000000014923</v>
      </c>
      <c r="Q269" s="1" t="s">
        <v>601</v>
      </c>
    </row>
    <row r="270" spans="1:17" x14ac:dyDescent="0.25">
      <c r="A270" s="1">
        <v>2018</v>
      </c>
      <c r="B270" s="1">
        <v>4</v>
      </c>
      <c r="C270" s="1" t="s">
        <v>57</v>
      </c>
      <c r="D270" s="1" t="s">
        <v>22</v>
      </c>
      <c r="E270" s="1" t="s">
        <v>23</v>
      </c>
      <c r="F270" s="1" t="s">
        <v>419</v>
      </c>
      <c r="G270" s="1" t="s">
        <v>420</v>
      </c>
      <c r="H270" s="1" t="s">
        <v>46</v>
      </c>
      <c r="I270" s="1" t="s">
        <v>308</v>
      </c>
      <c r="J270" s="1" t="s">
        <v>34</v>
      </c>
      <c r="K270" s="1" t="s">
        <v>309</v>
      </c>
      <c r="L270" s="1" t="s">
        <v>85</v>
      </c>
      <c r="M270" s="1">
        <v>0</v>
      </c>
      <c r="N270" s="2">
        <f>M270/ActivityCenter!$L$14</f>
        <v>0</v>
      </c>
      <c r="Q270" s="1" t="s">
        <v>601</v>
      </c>
    </row>
    <row r="271" spans="1:17" x14ac:dyDescent="0.25">
      <c r="A271" s="1">
        <v>2018</v>
      </c>
      <c r="B271" s="1">
        <v>4</v>
      </c>
      <c r="C271" s="1" t="s">
        <v>57</v>
      </c>
      <c r="D271" s="1" t="s">
        <v>22</v>
      </c>
      <c r="E271" s="1" t="s">
        <v>23</v>
      </c>
      <c r="F271" s="1" t="s">
        <v>535</v>
      </c>
      <c r="G271" s="1" t="s">
        <v>536</v>
      </c>
      <c r="H271" s="1" t="s">
        <v>46</v>
      </c>
      <c r="I271" s="1" t="s">
        <v>308</v>
      </c>
      <c r="J271" s="1" t="s">
        <v>34</v>
      </c>
      <c r="K271" s="1" t="s">
        <v>309</v>
      </c>
      <c r="L271" s="1" t="s">
        <v>85</v>
      </c>
      <c r="M271" s="1">
        <v>1413.2318181818</v>
      </c>
      <c r="N271" s="2">
        <f>M271/ActivityCenter!$L$14</f>
        <v>111.00000000015709</v>
      </c>
      <c r="Q271" s="1" t="s">
        <v>601</v>
      </c>
    </row>
    <row r="272" spans="1:17" x14ac:dyDescent="0.25">
      <c r="A272" s="1">
        <v>2018</v>
      </c>
      <c r="B272" s="1">
        <v>4</v>
      </c>
      <c r="C272" s="1" t="s">
        <v>57</v>
      </c>
      <c r="D272" s="1" t="s">
        <v>22</v>
      </c>
      <c r="E272" s="1" t="s">
        <v>23</v>
      </c>
      <c r="F272" s="1" t="s">
        <v>535</v>
      </c>
      <c r="G272" s="1" t="s">
        <v>536</v>
      </c>
      <c r="H272" s="1" t="s">
        <v>46</v>
      </c>
      <c r="I272" s="1" t="s">
        <v>308</v>
      </c>
      <c r="J272" s="1" t="s">
        <v>34</v>
      </c>
      <c r="K272" s="1" t="s">
        <v>309</v>
      </c>
      <c r="L272" s="1" t="s">
        <v>103</v>
      </c>
      <c r="M272" s="1">
        <v>1400.5</v>
      </c>
      <c r="N272" s="2">
        <f>M272/ActivityCenter!$L$14</f>
        <v>110.00000000015709</v>
      </c>
      <c r="Q272" s="1" t="s">
        <v>601</v>
      </c>
    </row>
    <row r="273" spans="1:17" x14ac:dyDescent="0.25">
      <c r="A273" s="1">
        <v>2018</v>
      </c>
      <c r="B273" s="1">
        <v>4</v>
      </c>
      <c r="C273" s="1" t="s">
        <v>57</v>
      </c>
      <c r="D273" s="1" t="s">
        <v>22</v>
      </c>
      <c r="E273" s="1" t="s">
        <v>23</v>
      </c>
      <c r="F273" s="1" t="s">
        <v>421</v>
      </c>
      <c r="G273" s="1" t="s">
        <v>422</v>
      </c>
      <c r="H273" s="1" t="s">
        <v>46</v>
      </c>
      <c r="I273" s="1" t="s">
        <v>308</v>
      </c>
      <c r="J273" s="1" t="s">
        <v>34</v>
      </c>
      <c r="K273" s="1" t="s">
        <v>309</v>
      </c>
      <c r="L273" s="1" t="s">
        <v>84</v>
      </c>
      <c r="M273" s="1">
        <v>0</v>
      </c>
      <c r="N273" s="2">
        <f>M273/ActivityCenter!$L$14</f>
        <v>0</v>
      </c>
      <c r="Q273" s="1" t="s">
        <v>601</v>
      </c>
    </row>
    <row r="274" spans="1:17" x14ac:dyDescent="0.25">
      <c r="A274" s="1">
        <v>2018</v>
      </c>
      <c r="B274" s="1">
        <v>4</v>
      </c>
      <c r="C274" s="1" t="s">
        <v>57</v>
      </c>
      <c r="D274" s="1" t="s">
        <v>22</v>
      </c>
      <c r="E274" s="1" t="s">
        <v>23</v>
      </c>
      <c r="F274" s="1" t="s">
        <v>537</v>
      </c>
      <c r="G274" s="1" t="s">
        <v>538</v>
      </c>
      <c r="H274" s="1" t="s">
        <v>46</v>
      </c>
      <c r="I274" s="1" t="s">
        <v>308</v>
      </c>
      <c r="J274" s="1" t="s">
        <v>34</v>
      </c>
      <c r="K274" s="1" t="s">
        <v>309</v>
      </c>
      <c r="L274" s="1" t="s">
        <v>84</v>
      </c>
      <c r="M274" s="1">
        <v>1591.4772727273</v>
      </c>
      <c r="N274" s="2">
        <f>M274/ActivityCenter!$L$14</f>
        <v>125.00000000018066</v>
      </c>
      <c r="Q274" s="1" t="s">
        <v>601</v>
      </c>
    </row>
    <row r="275" spans="1:17" x14ac:dyDescent="0.25">
      <c r="A275" s="1">
        <v>2018</v>
      </c>
      <c r="B275" s="1">
        <v>4</v>
      </c>
      <c r="C275" s="1" t="s">
        <v>57</v>
      </c>
      <c r="D275" s="1" t="s">
        <v>22</v>
      </c>
      <c r="E275" s="1" t="s">
        <v>23</v>
      </c>
      <c r="F275" s="1" t="s">
        <v>423</v>
      </c>
      <c r="G275" s="1" t="s">
        <v>424</v>
      </c>
      <c r="H275" s="1" t="s">
        <v>46</v>
      </c>
      <c r="I275" s="1" t="s">
        <v>308</v>
      </c>
      <c r="J275" s="1" t="s">
        <v>34</v>
      </c>
      <c r="K275" s="1" t="s">
        <v>309</v>
      </c>
      <c r="L275" s="1" t="s">
        <v>84</v>
      </c>
      <c r="M275" s="1">
        <v>0</v>
      </c>
      <c r="N275" s="2">
        <f>M275/ActivityCenter!$L$14</f>
        <v>0</v>
      </c>
      <c r="Q275" s="1" t="s">
        <v>601</v>
      </c>
    </row>
    <row r="276" spans="1:17" x14ac:dyDescent="0.25">
      <c r="A276" s="1">
        <v>2018</v>
      </c>
      <c r="B276" s="1">
        <v>4</v>
      </c>
      <c r="C276" s="1" t="s">
        <v>57</v>
      </c>
      <c r="D276" s="1" t="s">
        <v>22</v>
      </c>
      <c r="E276" s="1" t="s">
        <v>23</v>
      </c>
      <c r="F276" s="1" t="s">
        <v>425</v>
      </c>
      <c r="G276" s="1" t="s">
        <v>426</v>
      </c>
      <c r="H276" s="1" t="s">
        <v>46</v>
      </c>
      <c r="I276" s="1" t="s">
        <v>308</v>
      </c>
      <c r="J276" s="1" t="s">
        <v>34</v>
      </c>
      <c r="K276" s="1" t="s">
        <v>309</v>
      </c>
      <c r="L276" s="1" t="s">
        <v>84</v>
      </c>
      <c r="M276" s="1">
        <v>0</v>
      </c>
      <c r="N276" s="2">
        <f>M276/ActivityCenter!$L$14</f>
        <v>0</v>
      </c>
      <c r="Q276" s="1" t="s">
        <v>601</v>
      </c>
    </row>
    <row r="277" spans="1:17" x14ac:dyDescent="0.25">
      <c r="A277" s="1">
        <v>2018</v>
      </c>
      <c r="B277" s="1">
        <v>4</v>
      </c>
      <c r="C277" s="1" t="s">
        <v>57</v>
      </c>
      <c r="D277" s="1" t="s">
        <v>22</v>
      </c>
      <c r="E277" s="1" t="s">
        <v>23</v>
      </c>
      <c r="F277" s="1" t="s">
        <v>425</v>
      </c>
      <c r="G277" s="1" t="s">
        <v>426</v>
      </c>
      <c r="H277" s="1" t="s">
        <v>46</v>
      </c>
      <c r="I277" s="1" t="s">
        <v>308</v>
      </c>
      <c r="J277" s="1" t="s">
        <v>34</v>
      </c>
      <c r="K277" s="1" t="s">
        <v>309</v>
      </c>
      <c r="L277" s="1" t="s">
        <v>87</v>
      </c>
      <c r="M277" s="1">
        <v>0</v>
      </c>
      <c r="N277" s="2">
        <f>M277/ActivityCenter!$L$14</f>
        <v>0</v>
      </c>
      <c r="Q277" s="1" t="s">
        <v>601</v>
      </c>
    </row>
    <row r="278" spans="1:17" x14ac:dyDescent="0.25">
      <c r="A278" s="1">
        <v>2018</v>
      </c>
      <c r="B278" s="1">
        <v>4</v>
      </c>
      <c r="C278" s="1" t="s">
        <v>57</v>
      </c>
      <c r="D278" s="1" t="s">
        <v>22</v>
      </c>
      <c r="E278" s="1" t="s">
        <v>23</v>
      </c>
      <c r="F278" s="1" t="s">
        <v>427</v>
      </c>
      <c r="G278" s="1" t="s">
        <v>428</v>
      </c>
      <c r="H278" s="1" t="s">
        <v>46</v>
      </c>
      <c r="I278" s="1" t="s">
        <v>308</v>
      </c>
      <c r="J278" s="1" t="s">
        <v>34</v>
      </c>
      <c r="K278" s="1" t="s">
        <v>309</v>
      </c>
      <c r="L278" s="1" t="s">
        <v>78</v>
      </c>
      <c r="M278" s="1">
        <v>4914.4818181818</v>
      </c>
      <c r="N278" s="2">
        <f>M278/ActivityCenter!$L$14</f>
        <v>386.00000000054979</v>
      </c>
      <c r="Q278" s="1" t="s">
        <v>601</v>
      </c>
    </row>
    <row r="279" spans="1:17" x14ac:dyDescent="0.25">
      <c r="A279" s="1">
        <v>2018</v>
      </c>
      <c r="B279" s="1">
        <v>4</v>
      </c>
      <c r="C279" s="1" t="s">
        <v>57</v>
      </c>
      <c r="D279" s="1" t="s">
        <v>22</v>
      </c>
      <c r="E279" s="1" t="s">
        <v>23</v>
      </c>
      <c r="F279" s="1" t="s">
        <v>427</v>
      </c>
      <c r="G279" s="1" t="s">
        <v>428</v>
      </c>
      <c r="H279" s="1" t="s">
        <v>46</v>
      </c>
      <c r="I279" s="1" t="s">
        <v>308</v>
      </c>
      <c r="J279" s="1" t="s">
        <v>34</v>
      </c>
      <c r="K279" s="1" t="s">
        <v>309</v>
      </c>
      <c r="L279" s="1" t="s">
        <v>84</v>
      </c>
      <c r="M279" s="1">
        <v>0</v>
      </c>
      <c r="N279" s="2">
        <f>M279/ActivityCenter!$L$14</f>
        <v>0</v>
      </c>
      <c r="Q279" s="1" t="s">
        <v>601</v>
      </c>
    </row>
    <row r="280" spans="1:17" x14ac:dyDescent="0.25">
      <c r="A280" s="1">
        <v>2018</v>
      </c>
      <c r="B280" s="1">
        <v>4</v>
      </c>
      <c r="C280" s="1" t="s">
        <v>57</v>
      </c>
      <c r="D280" s="1" t="s">
        <v>22</v>
      </c>
      <c r="E280" s="1" t="s">
        <v>23</v>
      </c>
      <c r="F280" s="1" t="s">
        <v>539</v>
      </c>
      <c r="G280" s="1" t="s">
        <v>540</v>
      </c>
      <c r="H280" s="1" t="s">
        <v>46</v>
      </c>
      <c r="I280" s="1" t="s">
        <v>308</v>
      </c>
      <c r="J280" s="1" t="s">
        <v>34</v>
      </c>
      <c r="K280" s="1" t="s">
        <v>309</v>
      </c>
      <c r="L280" s="1" t="s">
        <v>85</v>
      </c>
      <c r="M280" s="1">
        <v>6251.3227272726999</v>
      </c>
      <c r="N280" s="2">
        <f>M280/ActivityCenter!$L$14</f>
        <v>491.00000000069906</v>
      </c>
      <c r="Q280" s="1" t="s">
        <v>601</v>
      </c>
    </row>
    <row r="281" spans="1:17" x14ac:dyDescent="0.25">
      <c r="A281" s="1">
        <v>2018</v>
      </c>
      <c r="B281" s="1">
        <v>4</v>
      </c>
      <c r="C281" s="1" t="s">
        <v>57</v>
      </c>
      <c r="D281" s="1" t="s">
        <v>22</v>
      </c>
      <c r="E281" s="1" t="s">
        <v>23</v>
      </c>
      <c r="F281" s="1" t="s">
        <v>429</v>
      </c>
      <c r="G281" s="1" t="s">
        <v>430</v>
      </c>
      <c r="H281" s="1" t="s">
        <v>46</v>
      </c>
      <c r="I281" s="1" t="s">
        <v>308</v>
      </c>
      <c r="J281" s="1" t="s">
        <v>34</v>
      </c>
      <c r="K281" s="1" t="s">
        <v>309</v>
      </c>
      <c r="L281" s="1" t="s">
        <v>84</v>
      </c>
      <c r="M281" s="1">
        <v>3284.8090909091002</v>
      </c>
      <c r="N281" s="2">
        <f>M281/ActivityCenter!$L$14</f>
        <v>258.0000000003692</v>
      </c>
      <c r="Q281" s="1" t="s">
        <v>601</v>
      </c>
    </row>
    <row r="282" spans="1:17" x14ac:dyDescent="0.25">
      <c r="A282" s="1">
        <v>2018</v>
      </c>
      <c r="B282" s="1">
        <v>4</v>
      </c>
      <c r="C282" s="1" t="s">
        <v>57</v>
      </c>
      <c r="D282" s="1" t="s">
        <v>22</v>
      </c>
      <c r="E282" s="1" t="s">
        <v>23</v>
      </c>
      <c r="F282" s="1" t="s">
        <v>429</v>
      </c>
      <c r="G282" s="1" t="s">
        <v>430</v>
      </c>
      <c r="H282" s="1" t="s">
        <v>46</v>
      </c>
      <c r="I282" s="1" t="s">
        <v>308</v>
      </c>
      <c r="J282" s="1" t="s">
        <v>34</v>
      </c>
      <c r="K282" s="1" t="s">
        <v>309</v>
      </c>
      <c r="L282" s="1" t="s">
        <v>87</v>
      </c>
      <c r="M282" s="1">
        <v>0</v>
      </c>
      <c r="N282" s="2">
        <f>M282/ActivityCenter!$L$14</f>
        <v>0</v>
      </c>
      <c r="Q282" s="1" t="s">
        <v>601</v>
      </c>
    </row>
    <row r="283" spans="1:17" x14ac:dyDescent="0.25">
      <c r="A283" s="1">
        <v>2018</v>
      </c>
      <c r="B283" s="1">
        <v>4</v>
      </c>
      <c r="C283" s="1" t="s">
        <v>57</v>
      </c>
      <c r="D283" s="1" t="s">
        <v>22</v>
      </c>
      <c r="E283" s="1" t="s">
        <v>23</v>
      </c>
      <c r="F283" s="1" t="s">
        <v>431</v>
      </c>
      <c r="G283" s="1" t="s">
        <v>432</v>
      </c>
      <c r="H283" s="1" t="s">
        <v>46</v>
      </c>
      <c r="I283" s="1" t="s">
        <v>308</v>
      </c>
      <c r="J283" s="1" t="s">
        <v>34</v>
      </c>
      <c r="K283" s="1" t="s">
        <v>309</v>
      </c>
      <c r="L283" s="1" t="s">
        <v>85</v>
      </c>
      <c r="M283" s="1">
        <v>0</v>
      </c>
      <c r="N283" s="2">
        <f>M283/ActivityCenter!$L$14</f>
        <v>0</v>
      </c>
      <c r="Q283" s="1" t="s">
        <v>601</v>
      </c>
    </row>
    <row r="284" spans="1:17" x14ac:dyDescent="0.25">
      <c r="A284" s="1">
        <v>2018</v>
      </c>
      <c r="B284" s="1">
        <v>4</v>
      </c>
      <c r="C284" s="1" t="s">
        <v>57</v>
      </c>
      <c r="D284" s="1" t="s">
        <v>22</v>
      </c>
      <c r="E284" s="1" t="s">
        <v>23</v>
      </c>
      <c r="F284" s="1" t="s">
        <v>433</v>
      </c>
      <c r="G284" s="1" t="s">
        <v>434</v>
      </c>
      <c r="H284" s="1" t="s">
        <v>46</v>
      </c>
      <c r="I284" s="1" t="s">
        <v>308</v>
      </c>
      <c r="J284" s="1" t="s">
        <v>34</v>
      </c>
      <c r="K284" s="1" t="s">
        <v>309</v>
      </c>
      <c r="L284" s="1" t="s">
        <v>85</v>
      </c>
      <c r="M284" s="1">
        <v>0</v>
      </c>
      <c r="N284" s="2">
        <f>M284/ActivityCenter!$L$14</f>
        <v>0</v>
      </c>
      <c r="Q284" s="1" t="s">
        <v>601</v>
      </c>
    </row>
    <row r="285" spans="1:17" x14ac:dyDescent="0.25">
      <c r="A285" s="1">
        <v>2018</v>
      </c>
      <c r="B285" s="1">
        <v>4</v>
      </c>
      <c r="C285" s="1" t="s">
        <v>57</v>
      </c>
      <c r="D285" s="1" t="s">
        <v>22</v>
      </c>
      <c r="E285" s="1" t="s">
        <v>23</v>
      </c>
      <c r="F285" s="1" t="s">
        <v>435</v>
      </c>
      <c r="G285" s="1" t="s">
        <v>436</v>
      </c>
      <c r="H285" s="1" t="s">
        <v>46</v>
      </c>
      <c r="I285" s="1" t="s">
        <v>308</v>
      </c>
      <c r="J285" s="1" t="s">
        <v>34</v>
      </c>
      <c r="K285" s="1" t="s">
        <v>309</v>
      </c>
      <c r="L285" s="1" t="s">
        <v>85</v>
      </c>
      <c r="M285" s="1">
        <v>0</v>
      </c>
      <c r="N285" s="2">
        <f>M285/ActivityCenter!$L$14</f>
        <v>0</v>
      </c>
      <c r="Q285" s="1" t="s">
        <v>601</v>
      </c>
    </row>
    <row r="286" spans="1:17" x14ac:dyDescent="0.25">
      <c r="A286" s="1">
        <v>2018</v>
      </c>
      <c r="B286" s="1">
        <v>4</v>
      </c>
      <c r="C286" s="1" t="s">
        <v>57</v>
      </c>
      <c r="D286" s="1" t="s">
        <v>22</v>
      </c>
      <c r="E286" s="1" t="s">
        <v>23</v>
      </c>
      <c r="F286" s="1" t="s">
        <v>435</v>
      </c>
      <c r="G286" s="1" t="s">
        <v>436</v>
      </c>
      <c r="H286" s="1" t="s">
        <v>46</v>
      </c>
      <c r="I286" s="1" t="s">
        <v>308</v>
      </c>
      <c r="J286" s="1" t="s">
        <v>34</v>
      </c>
      <c r="K286" s="1" t="s">
        <v>309</v>
      </c>
      <c r="L286" s="1" t="s">
        <v>86</v>
      </c>
      <c r="M286" s="1">
        <v>0</v>
      </c>
      <c r="N286" s="2">
        <f>M286/ActivityCenter!$L$14</f>
        <v>0</v>
      </c>
      <c r="Q286" s="1" t="s">
        <v>601</v>
      </c>
    </row>
    <row r="287" spans="1:17" x14ac:dyDescent="0.25">
      <c r="A287" s="1">
        <v>2018</v>
      </c>
      <c r="B287" s="1">
        <v>4</v>
      </c>
      <c r="C287" s="1" t="s">
        <v>57</v>
      </c>
      <c r="D287" s="1" t="s">
        <v>22</v>
      </c>
      <c r="E287" s="1" t="s">
        <v>23</v>
      </c>
      <c r="F287" s="1" t="s">
        <v>437</v>
      </c>
      <c r="G287" s="1" t="s">
        <v>438</v>
      </c>
      <c r="H287" s="1" t="s">
        <v>46</v>
      </c>
      <c r="I287" s="1" t="s">
        <v>308</v>
      </c>
      <c r="J287" s="1" t="s">
        <v>34</v>
      </c>
      <c r="K287" s="1" t="s">
        <v>309</v>
      </c>
      <c r="L287" s="1" t="s">
        <v>82</v>
      </c>
      <c r="M287" s="1">
        <v>0</v>
      </c>
      <c r="N287" s="2">
        <f>M287/ActivityCenter!$L$14</f>
        <v>0</v>
      </c>
      <c r="Q287" s="1" t="s">
        <v>601</v>
      </c>
    </row>
    <row r="288" spans="1:17" x14ac:dyDescent="0.25">
      <c r="A288" s="1">
        <v>2018</v>
      </c>
      <c r="B288" s="1">
        <v>4</v>
      </c>
      <c r="C288" s="1" t="s">
        <v>57</v>
      </c>
      <c r="D288" s="1" t="s">
        <v>22</v>
      </c>
      <c r="E288" s="1" t="s">
        <v>23</v>
      </c>
      <c r="F288" s="1" t="s">
        <v>541</v>
      </c>
      <c r="G288" s="1" t="s">
        <v>542</v>
      </c>
      <c r="H288" s="1" t="s">
        <v>46</v>
      </c>
      <c r="I288" s="1" t="s">
        <v>308</v>
      </c>
      <c r="J288" s="1" t="s">
        <v>34</v>
      </c>
      <c r="K288" s="1" t="s">
        <v>309</v>
      </c>
      <c r="L288" s="1" t="s">
        <v>84</v>
      </c>
      <c r="M288" s="1">
        <v>2100.75</v>
      </c>
      <c r="N288" s="2">
        <f>M288/ActivityCenter!$L$14</f>
        <v>165.00000000023564</v>
      </c>
      <c r="Q288" s="1" t="s">
        <v>601</v>
      </c>
    </row>
    <row r="289" spans="1:17" x14ac:dyDescent="0.25">
      <c r="A289" s="1">
        <v>2018</v>
      </c>
      <c r="B289" s="1">
        <v>4</v>
      </c>
      <c r="C289" s="1" t="s">
        <v>57</v>
      </c>
      <c r="D289" s="1" t="s">
        <v>22</v>
      </c>
      <c r="E289" s="1" t="s">
        <v>23</v>
      </c>
      <c r="F289" s="1" t="s">
        <v>439</v>
      </c>
      <c r="G289" s="1" t="s">
        <v>440</v>
      </c>
      <c r="H289" s="1" t="s">
        <v>46</v>
      </c>
      <c r="I289" s="1" t="s">
        <v>308</v>
      </c>
      <c r="J289" s="1" t="s">
        <v>34</v>
      </c>
      <c r="K289" s="1" t="s">
        <v>309</v>
      </c>
      <c r="L289" s="1" t="s">
        <v>82</v>
      </c>
      <c r="M289" s="1">
        <v>0</v>
      </c>
      <c r="N289" s="2">
        <f>M289/ActivityCenter!$L$14</f>
        <v>0</v>
      </c>
      <c r="Q289" s="1" t="s">
        <v>601</v>
      </c>
    </row>
    <row r="290" spans="1:17" x14ac:dyDescent="0.25">
      <c r="A290" s="1">
        <v>2018</v>
      </c>
      <c r="B290" s="1">
        <v>4</v>
      </c>
      <c r="C290" s="1" t="s">
        <v>57</v>
      </c>
      <c r="D290" s="1" t="s">
        <v>22</v>
      </c>
      <c r="E290" s="1" t="s">
        <v>23</v>
      </c>
      <c r="F290" s="1" t="s">
        <v>465</v>
      </c>
      <c r="G290" s="1" t="s">
        <v>466</v>
      </c>
      <c r="H290" s="1" t="s">
        <v>46</v>
      </c>
      <c r="I290" s="1" t="s">
        <v>308</v>
      </c>
      <c r="J290" s="1" t="s">
        <v>34</v>
      </c>
      <c r="K290" s="1" t="s">
        <v>309</v>
      </c>
      <c r="L290" s="1" t="s">
        <v>78</v>
      </c>
      <c r="M290" s="1">
        <v>1044.0090909091</v>
      </c>
      <c r="N290" s="2">
        <f>M290/ActivityCenter!$L$14</f>
        <v>82.000000000117822</v>
      </c>
      <c r="Q290" s="1" t="s">
        <v>601</v>
      </c>
    </row>
    <row r="291" spans="1:17" x14ac:dyDescent="0.25">
      <c r="A291" s="1">
        <v>2018</v>
      </c>
      <c r="B291" s="1">
        <v>4</v>
      </c>
      <c r="C291" s="1" t="s">
        <v>57</v>
      </c>
      <c r="D291" s="1" t="s">
        <v>22</v>
      </c>
      <c r="E291" s="1" t="s">
        <v>23</v>
      </c>
      <c r="F291" s="1" t="s">
        <v>441</v>
      </c>
      <c r="G291" s="1" t="s">
        <v>442</v>
      </c>
      <c r="H291" s="1" t="s">
        <v>46</v>
      </c>
      <c r="I291" s="1" t="s">
        <v>308</v>
      </c>
      <c r="J291" s="1" t="s">
        <v>34</v>
      </c>
      <c r="K291" s="1" t="s">
        <v>309</v>
      </c>
      <c r="L291" s="1" t="s">
        <v>85</v>
      </c>
      <c r="M291" s="1">
        <v>0</v>
      </c>
      <c r="N291" s="2">
        <f>M291/ActivityCenter!$L$14</f>
        <v>0</v>
      </c>
      <c r="Q291" s="1" t="s">
        <v>601</v>
      </c>
    </row>
    <row r="292" spans="1:17" x14ac:dyDescent="0.25">
      <c r="A292" s="1">
        <v>2018</v>
      </c>
      <c r="B292" s="1">
        <v>4</v>
      </c>
      <c r="C292" s="1" t="s">
        <v>57</v>
      </c>
      <c r="D292" s="1" t="s">
        <v>22</v>
      </c>
      <c r="E292" s="1" t="s">
        <v>23</v>
      </c>
      <c r="F292" s="1" t="s">
        <v>441</v>
      </c>
      <c r="G292" s="1" t="s">
        <v>442</v>
      </c>
      <c r="H292" s="1" t="s">
        <v>46</v>
      </c>
      <c r="I292" s="1" t="s">
        <v>308</v>
      </c>
      <c r="J292" s="1" t="s">
        <v>34</v>
      </c>
      <c r="K292" s="1" t="s">
        <v>309</v>
      </c>
      <c r="L292" s="1" t="s">
        <v>95</v>
      </c>
      <c r="M292" s="1">
        <v>3666.7636363636002</v>
      </c>
      <c r="N292" s="2">
        <f>M292/ActivityCenter!$L$14</f>
        <v>288.00000000040848</v>
      </c>
      <c r="Q292" s="1" t="s">
        <v>601</v>
      </c>
    </row>
    <row r="293" spans="1:17" x14ac:dyDescent="0.25">
      <c r="A293" s="1">
        <v>2018</v>
      </c>
      <c r="B293" s="1">
        <v>4</v>
      </c>
      <c r="C293" s="1" t="s">
        <v>57</v>
      </c>
      <c r="D293" s="1" t="s">
        <v>22</v>
      </c>
      <c r="E293" s="1" t="s">
        <v>23</v>
      </c>
      <c r="F293" s="1" t="s">
        <v>443</v>
      </c>
      <c r="G293" s="1" t="s">
        <v>444</v>
      </c>
      <c r="H293" s="1" t="s">
        <v>46</v>
      </c>
      <c r="I293" s="1" t="s">
        <v>308</v>
      </c>
      <c r="J293" s="1" t="s">
        <v>34</v>
      </c>
      <c r="K293" s="1" t="s">
        <v>309</v>
      </c>
      <c r="L293" s="1" t="s">
        <v>78</v>
      </c>
      <c r="M293" s="1">
        <v>0</v>
      </c>
      <c r="N293" s="2">
        <f>M293/ActivityCenter!$L$14</f>
        <v>0</v>
      </c>
      <c r="Q293" s="1" t="s">
        <v>601</v>
      </c>
    </row>
    <row r="294" spans="1:17" x14ac:dyDescent="0.25">
      <c r="A294" s="1">
        <v>2018</v>
      </c>
      <c r="B294" s="1">
        <v>4</v>
      </c>
      <c r="C294" s="1" t="s">
        <v>57</v>
      </c>
      <c r="D294" s="1" t="s">
        <v>22</v>
      </c>
      <c r="E294" s="1" t="s">
        <v>23</v>
      </c>
      <c r="F294" s="1" t="s">
        <v>443</v>
      </c>
      <c r="G294" s="1" t="s">
        <v>444</v>
      </c>
      <c r="H294" s="1" t="s">
        <v>46</v>
      </c>
      <c r="I294" s="1" t="s">
        <v>308</v>
      </c>
      <c r="J294" s="1" t="s">
        <v>34</v>
      </c>
      <c r="K294" s="1" t="s">
        <v>309</v>
      </c>
      <c r="L294" s="1" t="s">
        <v>84</v>
      </c>
      <c r="M294" s="1">
        <v>0</v>
      </c>
      <c r="N294" s="2">
        <f>M294/ActivityCenter!$L$14</f>
        <v>0</v>
      </c>
      <c r="Q294" s="1" t="s">
        <v>601</v>
      </c>
    </row>
    <row r="295" spans="1:17" x14ac:dyDescent="0.25">
      <c r="A295" s="1">
        <v>2018</v>
      </c>
      <c r="B295" s="1">
        <v>4</v>
      </c>
      <c r="C295" s="1" t="s">
        <v>57</v>
      </c>
      <c r="D295" s="1" t="s">
        <v>22</v>
      </c>
      <c r="E295" s="1" t="s">
        <v>23</v>
      </c>
      <c r="F295" s="1" t="s">
        <v>543</v>
      </c>
      <c r="G295" s="1" t="s">
        <v>544</v>
      </c>
      <c r="H295" s="1" t="s">
        <v>46</v>
      </c>
      <c r="I295" s="1" t="s">
        <v>308</v>
      </c>
      <c r="J295" s="1" t="s">
        <v>34</v>
      </c>
      <c r="K295" s="1" t="s">
        <v>309</v>
      </c>
      <c r="L295" s="1" t="s">
        <v>78</v>
      </c>
      <c r="M295" s="1">
        <v>1807.9181818182001</v>
      </c>
      <c r="N295" s="2">
        <f>M295/ActivityCenter!$L$14</f>
        <v>142.00000000020421</v>
      </c>
      <c r="Q295" s="1" t="s">
        <v>601</v>
      </c>
    </row>
    <row r="296" spans="1:17" x14ac:dyDescent="0.25">
      <c r="A296" s="1">
        <v>2018</v>
      </c>
      <c r="B296" s="1">
        <v>4</v>
      </c>
      <c r="C296" s="1" t="s">
        <v>57</v>
      </c>
      <c r="D296" s="1" t="s">
        <v>22</v>
      </c>
      <c r="E296" s="1" t="s">
        <v>23</v>
      </c>
      <c r="F296" s="1" t="s">
        <v>445</v>
      </c>
      <c r="G296" s="1" t="s">
        <v>446</v>
      </c>
      <c r="H296" s="1" t="s">
        <v>46</v>
      </c>
      <c r="I296" s="1" t="s">
        <v>308</v>
      </c>
      <c r="J296" s="1" t="s">
        <v>34</v>
      </c>
      <c r="K296" s="1" t="s">
        <v>309</v>
      </c>
      <c r="L296" s="1" t="s">
        <v>87</v>
      </c>
      <c r="M296" s="1">
        <v>2826.4636363636</v>
      </c>
      <c r="N296" s="2">
        <f>M296/ActivityCenter!$L$14</f>
        <v>222.00000000031417</v>
      </c>
      <c r="Q296" s="1" t="s">
        <v>601</v>
      </c>
    </row>
    <row r="297" spans="1:17" x14ac:dyDescent="0.25">
      <c r="A297" s="1">
        <v>2018</v>
      </c>
      <c r="B297" s="1">
        <v>4</v>
      </c>
      <c r="C297" s="1" t="s">
        <v>57</v>
      </c>
      <c r="D297" s="1" t="s">
        <v>22</v>
      </c>
      <c r="E297" s="1" t="s">
        <v>23</v>
      </c>
      <c r="F297" s="1" t="s">
        <v>445</v>
      </c>
      <c r="G297" s="1" t="s">
        <v>446</v>
      </c>
      <c r="H297" s="1" t="s">
        <v>46</v>
      </c>
      <c r="I297" s="1" t="s">
        <v>308</v>
      </c>
      <c r="J297" s="1" t="s">
        <v>34</v>
      </c>
      <c r="K297" s="1" t="s">
        <v>309</v>
      </c>
      <c r="L297" s="1" t="s">
        <v>88</v>
      </c>
      <c r="M297" s="1">
        <v>0</v>
      </c>
      <c r="N297" s="2">
        <f>M297/ActivityCenter!$L$14</f>
        <v>0</v>
      </c>
      <c r="Q297" s="1" t="s">
        <v>601</v>
      </c>
    </row>
    <row r="298" spans="1:17" x14ac:dyDescent="0.25">
      <c r="A298" s="1">
        <v>2018</v>
      </c>
      <c r="B298" s="1">
        <v>4</v>
      </c>
      <c r="C298" s="1" t="s">
        <v>57</v>
      </c>
      <c r="D298" s="1" t="s">
        <v>22</v>
      </c>
      <c r="E298" s="1" t="s">
        <v>23</v>
      </c>
      <c r="F298" s="1" t="s">
        <v>447</v>
      </c>
      <c r="G298" s="1" t="s">
        <v>448</v>
      </c>
      <c r="H298" s="1" t="s">
        <v>46</v>
      </c>
      <c r="I298" s="1" t="s">
        <v>308</v>
      </c>
      <c r="J298" s="1" t="s">
        <v>34</v>
      </c>
      <c r="K298" s="1" t="s">
        <v>309</v>
      </c>
      <c r="L298" s="1" t="s">
        <v>82</v>
      </c>
      <c r="M298" s="1">
        <v>1362.3045454544999</v>
      </c>
      <c r="N298" s="2">
        <f>M298/ActivityCenter!$L$14</f>
        <v>107.00000000014923</v>
      </c>
      <c r="Q298" s="1" t="s">
        <v>601</v>
      </c>
    </row>
    <row r="299" spans="1:17" x14ac:dyDescent="0.25">
      <c r="A299" s="1">
        <v>2018</v>
      </c>
      <c r="B299" s="1">
        <v>4</v>
      </c>
      <c r="C299" s="1" t="s">
        <v>57</v>
      </c>
      <c r="D299" s="1" t="s">
        <v>22</v>
      </c>
      <c r="E299" s="1" t="s">
        <v>23</v>
      </c>
      <c r="F299" s="1" t="s">
        <v>447</v>
      </c>
      <c r="G299" s="1" t="s">
        <v>448</v>
      </c>
      <c r="H299" s="1" t="s">
        <v>46</v>
      </c>
      <c r="I299" s="1" t="s">
        <v>308</v>
      </c>
      <c r="J299" s="1" t="s">
        <v>34</v>
      </c>
      <c r="K299" s="1" t="s">
        <v>309</v>
      </c>
      <c r="L299" s="1" t="s">
        <v>84</v>
      </c>
      <c r="M299" s="1">
        <v>0</v>
      </c>
      <c r="N299" s="2">
        <f>M299/ActivityCenter!$L$14</f>
        <v>0</v>
      </c>
      <c r="Q299" s="1" t="s">
        <v>601</v>
      </c>
    </row>
    <row r="300" spans="1:17" x14ac:dyDescent="0.25">
      <c r="A300" s="1">
        <v>2018</v>
      </c>
      <c r="B300" s="1">
        <v>4</v>
      </c>
      <c r="C300" s="1" t="s">
        <v>57</v>
      </c>
      <c r="D300" s="1" t="s">
        <v>22</v>
      </c>
      <c r="E300" s="1" t="s">
        <v>23</v>
      </c>
      <c r="F300" s="1" t="s">
        <v>449</v>
      </c>
      <c r="G300" s="1" t="s">
        <v>450</v>
      </c>
      <c r="H300" s="1" t="s">
        <v>46</v>
      </c>
      <c r="I300" s="1" t="s">
        <v>308</v>
      </c>
      <c r="J300" s="1" t="s">
        <v>34</v>
      </c>
      <c r="K300" s="1" t="s">
        <v>309</v>
      </c>
      <c r="L300" s="1" t="s">
        <v>86</v>
      </c>
      <c r="M300" s="1">
        <v>0</v>
      </c>
      <c r="N300" s="2">
        <f>M300/ActivityCenter!$L$14</f>
        <v>0</v>
      </c>
      <c r="Q300" s="1" t="s">
        <v>601</v>
      </c>
    </row>
    <row r="301" spans="1:17" x14ac:dyDescent="0.25">
      <c r="A301" s="1">
        <v>2018</v>
      </c>
      <c r="B301" s="1">
        <v>4</v>
      </c>
      <c r="C301" s="1" t="s">
        <v>57</v>
      </c>
      <c r="D301" s="1" t="s">
        <v>22</v>
      </c>
      <c r="E301" s="1" t="s">
        <v>23</v>
      </c>
      <c r="F301" s="1" t="s">
        <v>451</v>
      </c>
      <c r="G301" s="1" t="s">
        <v>452</v>
      </c>
      <c r="H301" s="1" t="s">
        <v>46</v>
      </c>
      <c r="I301" s="1" t="s">
        <v>308</v>
      </c>
      <c r="J301" s="1" t="s">
        <v>34</v>
      </c>
      <c r="K301" s="1" t="s">
        <v>309</v>
      </c>
      <c r="L301" s="1" t="s">
        <v>93</v>
      </c>
      <c r="M301" s="1">
        <v>0</v>
      </c>
      <c r="N301" s="2">
        <f>M301/ActivityCenter!$L$14</f>
        <v>0</v>
      </c>
      <c r="Q301" s="1" t="s">
        <v>601</v>
      </c>
    </row>
    <row r="302" spans="1:17" x14ac:dyDescent="0.25">
      <c r="A302" s="1">
        <v>2018</v>
      </c>
      <c r="B302" s="1">
        <v>4</v>
      </c>
      <c r="C302" s="1" t="s">
        <v>57</v>
      </c>
      <c r="D302" s="1" t="s">
        <v>22</v>
      </c>
      <c r="E302" s="1" t="s">
        <v>23</v>
      </c>
      <c r="F302" s="1" t="s">
        <v>453</v>
      </c>
      <c r="G302" s="1" t="s">
        <v>454</v>
      </c>
      <c r="H302" s="1" t="s">
        <v>46</v>
      </c>
      <c r="I302" s="1" t="s">
        <v>308</v>
      </c>
      <c r="J302" s="1" t="s">
        <v>34</v>
      </c>
      <c r="K302" s="1" t="s">
        <v>309</v>
      </c>
      <c r="L302" s="1" t="s">
        <v>86</v>
      </c>
      <c r="M302" s="1">
        <v>0</v>
      </c>
      <c r="N302" s="2">
        <f>M302/ActivityCenter!$L$14</f>
        <v>0</v>
      </c>
      <c r="Q302" s="1" t="s">
        <v>601</v>
      </c>
    </row>
    <row r="303" spans="1:17" x14ac:dyDescent="0.25">
      <c r="A303" s="1">
        <v>2018</v>
      </c>
      <c r="B303" s="1">
        <v>4</v>
      </c>
      <c r="C303" s="1" t="s">
        <v>57</v>
      </c>
      <c r="D303" s="1" t="s">
        <v>22</v>
      </c>
      <c r="E303" s="1" t="s">
        <v>23</v>
      </c>
      <c r="F303" s="1" t="s">
        <v>455</v>
      </c>
      <c r="G303" s="1" t="s">
        <v>456</v>
      </c>
      <c r="H303" s="1" t="s">
        <v>46</v>
      </c>
      <c r="I303" s="1" t="s">
        <v>308</v>
      </c>
      <c r="J303" s="1" t="s">
        <v>34</v>
      </c>
      <c r="K303" s="1" t="s">
        <v>309</v>
      </c>
      <c r="L303" s="1" t="s">
        <v>84</v>
      </c>
      <c r="M303" s="1">
        <v>0</v>
      </c>
      <c r="N303" s="2">
        <f>M303/ActivityCenter!$L$14</f>
        <v>0</v>
      </c>
      <c r="Q303" s="1" t="s">
        <v>601</v>
      </c>
    </row>
    <row r="304" spans="1:17" x14ac:dyDescent="0.25">
      <c r="A304" s="1">
        <v>2018</v>
      </c>
      <c r="B304" s="1">
        <v>4</v>
      </c>
      <c r="C304" s="1" t="s">
        <v>57</v>
      </c>
      <c r="D304" s="1" t="s">
        <v>22</v>
      </c>
      <c r="E304" s="1" t="s">
        <v>23</v>
      </c>
      <c r="F304" s="1" t="s">
        <v>457</v>
      </c>
      <c r="G304" s="1" t="s">
        <v>458</v>
      </c>
      <c r="H304" s="1" t="s">
        <v>46</v>
      </c>
      <c r="I304" s="1" t="s">
        <v>308</v>
      </c>
      <c r="J304" s="1" t="s">
        <v>34</v>
      </c>
      <c r="K304" s="1" t="s">
        <v>309</v>
      </c>
      <c r="L304" s="1" t="s">
        <v>101</v>
      </c>
      <c r="M304" s="1">
        <v>97780.363636363603</v>
      </c>
      <c r="N304" s="2">
        <f>M304/ActivityCenter!$L$14</f>
        <v>7680.0000000109649</v>
      </c>
      <c r="Q304" s="1" t="s">
        <v>676</v>
      </c>
    </row>
    <row r="305" spans="1:17" x14ac:dyDescent="0.25">
      <c r="A305" s="1">
        <v>2018</v>
      </c>
      <c r="B305" s="1">
        <v>4</v>
      </c>
      <c r="C305" s="1" t="s">
        <v>57</v>
      </c>
      <c r="D305" s="1" t="s">
        <v>22</v>
      </c>
      <c r="E305" s="1" t="s">
        <v>23</v>
      </c>
      <c r="F305" s="1" t="s">
        <v>459</v>
      </c>
      <c r="G305" s="1" t="s">
        <v>460</v>
      </c>
      <c r="H305" s="1" t="s">
        <v>46</v>
      </c>
      <c r="I305" s="1" t="s">
        <v>308</v>
      </c>
      <c r="J305" s="1" t="s">
        <v>34</v>
      </c>
      <c r="K305" s="1" t="s">
        <v>309</v>
      </c>
      <c r="L305" s="1" t="s">
        <v>84</v>
      </c>
      <c r="M305" s="1">
        <v>0</v>
      </c>
      <c r="N305" s="2">
        <f>M305/ActivityCenter!$L$14</f>
        <v>0</v>
      </c>
      <c r="Q305" s="1" t="s">
        <v>601</v>
      </c>
    </row>
    <row r="306" spans="1:17" x14ac:dyDescent="0.25">
      <c r="A306" s="1">
        <v>2018</v>
      </c>
      <c r="B306" s="1">
        <v>4</v>
      </c>
      <c r="C306" s="1" t="s">
        <v>57</v>
      </c>
      <c r="D306" s="1" t="s">
        <v>22</v>
      </c>
      <c r="E306" s="1" t="s">
        <v>23</v>
      </c>
      <c r="F306" s="1" t="s">
        <v>547</v>
      </c>
      <c r="G306" s="1" t="s">
        <v>548</v>
      </c>
      <c r="H306" s="1" t="s">
        <v>46</v>
      </c>
      <c r="I306" s="1" t="s">
        <v>308</v>
      </c>
      <c r="J306" s="1" t="s">
        <v>34</v>
      </c>
      <c r="K306" s="1" t="s">
        <v>309</v>
      </c>
      <c r="L306" s="1" t="s">
        <v>86</v>
      </c>
      <c r="M306" s="1">
        <v>1044.0090909091</v>
      </c>
      <c r="N306" s="2">
        <f>M306/ActivityCenter!$L$14</f>
        <v>82.000000000117822</v>
      </c>
      <c r="Q306" s="1" t="s">
        <v>962</v>
      </c>
    </row>
    <row r="307" spans="1:17" x14ac:dyDescent="0.25">
      <c r="A307" s="1">
        <v>2018</v>
      </c>
      <c r="B307" s="1">
        <v>4</v>
      </c>
      <c r="C307" s="1" t="s">
        <v>57</v>
      </c>
      <c r="D307" s="1" t="s">
        <v>22</v>
      </c>
      <c r="E307" s="1" t="s">
        <v>23</v>
      </c>
      <c r="F307" s="1" t="s">
        <v>549</v>
      </c>
      <c r="G307" s="1" t="s">
        <v>550</v>
      </c>
      <c r="H307" s="1" t="s">
        <v>46</v>
      </c>
      <c r="I307" s="1" t="s">
        <v>308</v>
      </c>
      <c r="J307" s="1" t="s">
        <v>34</v>
      </c>
      <c r="K307" s="1" t="s">
        <v>309</v>
      </c>
      <c r="L307" s="1" t="s">
        <v>86</v>
      </c>
      <c r="M307" s="1">
        <v>1566.0136363636</v>
      </c>
      <c r="N307" s="2">
        <f>M307/ActivityCenter!$L$14</f>
        <v>123.0000000001728</v>
      </c>
      <c r="Q307" s="1" t="s">
        <v>962</v>
      </c>
    </row>
    <row r="308" spans="1:17" x14ac:dyDescent="0.25">
      <c r="A308" s="1">
        <v>2018</v>
      </c>
      <c r="B308" s="1">
        <v>4</v>
      </c>
      <c r="C308" s="1" t="s">
        <v>57</v>
      </c>
      <c r="D308" s="1" t="s">
        <v>22</v>
      </c>
      <c r="E308" s="1" t="s">
        <v>23</v>
      </c>
      <c r="F308" s="1" t="s">
        <v>319</v>
      </c>
      <c r="G308" s="1" t="s">
        <v>320</v>
      </c>
      <c r="H308" s="1" t="s">
        <v>46</v>
      </c>
      <c r="I308" s="1" t="s">
        <v>464</v>
      </c>
      <c r="J308" s="1" t="s">
        <v>32</v>
      </c>
      <c r="M308" s="1">
        <v>-218.38329446189999</v>
      </c>
      <c r="O308" s="1" t="s">
        <v>283</v>
      </c>
      <c r="P308" s="1">
        <v>19.7</v>
      </c>
      <c r="Q308" s="1" t="s">
        <v>622</v>
      </c>
    </row>
    <row r="309" spans="1:17" x14ac:dyDescent="0.25">
      <c r="A309" s="1">
        <v>2018</v>
      </c>
      <c r="B309" s="1">
        <v>4</v>
      </c>
      <c r="C309" s="1" t="s">
        <v>57</v>
      </c>
      <c r="D309" s="1" t="s">
        <v>22</v>
      </c>
      <c r="E309" s="1" t="s">
        <v>23</v>
      </c>
      <c r="F309" s="1" t="s">
        <v>473</v>
      </c>
      <c r="G309" s="1" t="s">
        <v>474</v>
      </c>
      <c r="H309" s="1" t="s">
        <v>46</v>
      </c>
      <c r="I309" s="1" t="s">
        <v>464</v>
      </c>
      <c r="J309" s="1" t="s">
        <v>32</v>
      </c>
      <c r="M309" s="1">
        <v>-275.10917030569999</v>
      </c>
      <c r="O309" s="1" t="s">
        <v>255</v>
      </c>
      <c r="P309" s="1">
        <v>240</v>
      </c>
      <c r="Q309" s="1" t="s">
        <v>622</v>
      </c>
    </row>
    <row r="310" spans="1:17" x14ac:dyDescent="0.25">
      <c r="A310" s="1">
        <v>2018</v>
      </c>
      <c r="B310" s="1">
        <v>4</v>
      </c>
      <c r="C310" s="1" t="s">
        <v>57</v>
      </c>
      <c r="D310" s="1" t="s">
        <v>22</v>
      </c>
      <c r="E310" s="1" t="s">
        <v>23</v>
      </c>
      <c r="F310" s="1" t="s">
        <v>473</v>
      </c>
      <c r="G310" s="1" t="s">
        <v>474</v>
      </c>
      <c r="H310" s="1" t="s">
        <v>46</v>
      </c>
      <c r="I310" s="1" t="s">
        <v>464</v>
      </c>
      <c r="J310" s="1" t="s">
        <v>32</v>
      </c>
      <c r="M310" s="1">
        <v>-275.10917030569999</v>
      </c>
      <c r="O310" s="1" t="s">
        <v>255</v>
      </c>
      <c r="P310" s="1">
        <v>240</v>
      </c>
      <c r="Q310" s="1" t="s">
        <v>622</v>
      </c>
    </row>
    <row r="311" spans="1:17" x14ac:dyDescent="0.25">
      <c r="A311" s="1">
        <v>2018</v>
      </c>
      <c r="B311" s="1">
        <v>4</v>
      </c>
      <c r="C311" s="1" t="s">
        <v>57</v>
      </c>
      <c r="D311" s="1" t="s">
        <v>22</v>
      </c>
      <c r="E311" s="1" t="s">
        <v>23</v>
      </c>
      <c r="F311" s="1" t="s">
        <v>473</v>
      </c>
      <c r="G311" s="1" t="s">
        <v>474</v>
      </c>
      <c r="H311" s="1" t="s">
        <v>46</v>
      </c>
      <c r="I311" s="1" t="s">
        <v>464</v>
      </c>
      <c r="J311" s="1" t="s">
        <v>32</v>
      </c>
      <c r="M311" s="1">
        <v>-13726.919941775899</v>
      </c>
      <c r="O311" s="1" t="s">
        <v>253</v>
      </c>
      <c r="P311" s="1">
        <v>500</v>
      </c>
      <c r="Q311" s="1" t="s">
        <v>622</v>
      </c>
    </row>
    <row r="312" spans="1:17" x14ac:dyDescent="0.25">
      <c r="A312" s="1">
        <v>2018</v>
      </c>
      <c r="B312" s="1">
        <v>4</v>
      </c>
      <c r="C312" s="1" t="s">
        <v>57</v>
      </c>
      <c r="D312" s="1" t="s">
        <v>22</v>
      </c>
      <c r="E312" s="1" t="s">
        <v>23</v>
      </c>
      <c r="F312" s="1" t="s">
        <v>473</v>
      </c>
      <c r="G312" s="1" t="s">
        <v>474</v>
      </c>
      <c r="H312" s="1" t="s">
        <v>46</v>
      </c>
      <c r="I312" s="1" t="s">
        <v>464</v>
      </c>
      <c r="J312" s="1" t="s">
        <v>32</v>
      </c>
      <c r="M312" s="1">
        <v>-9151.2799611839</v>
      </c>
      <c r="O312" s="1" t="s">
        <v>253</v>
      </c>
      <c r="P312" s="1">
        <v>500</v>
      </c>
      <c r="Q312" s="1" t="s">
        <v>622</v>
      </c>
    </row>
    <row r="313" spans="1:17" x14ac:dyDescent="0.25">
      <c r="A313" s="1">
        <v>2018</v>
      </c>
      <c r="B313" s="1">
        <v>4</v>
      </c>
      <c r="C313" s="1" t="s">
        <v>57</v>
      </c>
      <c r="D313" s="1" t="s">
        <v>22</v>
      </c>
      <c r="E313" s="1" t="s">
        <v>23</v>
      </c>
      <c r="F313" s="1" t="s">
        <v>473</v>
      </c>
      <c r="G313" s="1" t="s">
        <v>474</v>
      </c>
      <c r="H313" s="1" t="s">
        <v>46</v>
      </c>
      <c r="I313" s="1" t="s">
        <v>464</v>
      </c>
      <c r="J313" s="1" t="s">
        <v>32</v>
      </c>
      <c r="M313" s="1">
        <v>-6626.788937409</v>
      </c>
      <c r="O313" s="1" t="s">
        <v>255</v>
      </c>
      <c r="P313" s="1">
        <v>240</v>
      </c>
      <c r="Q313" s="1" t="s">
        <v>622</v>
      </c>
    </row>
    <row r="314" spans="1:17" x14ac:dyDescent="0.25">
      <c r="A314" s="1">
        <v>2018</v>
      </c>
      <c r="B314" s="1">
        <v>4</v>
      </c>
      <c r="C314" s="1" t="s">
        <v>57</v>
      </c>
      <c r="D314" s="1" t="s">
        <v>22</v>
      </c>
      <c r="E314" s="1" t="s">
        <v>23</v>
      </c>
      <c r="F314" s="1" t="s">
        <v>473</v>
      </c>
      <c r="G314" s="1" t="s">
        <v>474</v>
      </c>
      <c r="H314" s="1" t="s">
        <v>46</v>
      </c>
      <c r="I314" s="1" t="s">
        <v>464</v>
      </c>
      <c r="J314" s="1" t="s">
        <v>32</v>
      </c>
      <c r="M314" s="1">
        <v>-6626.788937409</v>
      </c>
      <c r="O314" s="1" t="s">
        <v>255</v>
      </c>
      <c r="P314" s="1">
        <v>240</v>
      </c>
      <c r="Q314" s="1" t="s">
        <v>622</v>
      </c>
    </row>
    <row r="315" spans="1:17" x14ac:dyDescent="0.25">
      <c r="A315" s="1">
        <v>2018</v>
      </c>
      <c r="B315" s="1">
        <v>4</v>
      </c>
      <c r="C315" s="1" t="s">
        <v>57</v>
      </c>
      <c r="D315" s="1" t="s">
        <v>22</v>
      </c>
      <c r="E315" s="1" t="s">
        <v>23</v>
      </c>
      <c r="F315" s="1" t="s">
        <v>473</v>
      </c>
      <c r="G315" s="1" t="s">
        <v>474</v>
      </c>
      <c r="H315" s="1" t="s">
        <v>46</v>
      </c>
      <c r="I315" s="1" t="s">
        <v>464</v>
      </c>
      <c r="J315" s="1" t="s">
        <v>32</v>
      </c>
      <c r="M315" s="1">
        <v>-569.86899563309998</v>
      </c>
      <c r="O315" s="1" t="s">
        <v>253</v>
      </c>
      <c r="P315" s="1">
        <v>500</v>
      </c>
      <c r="Q315" s="1" t="s">
        <v>622</v>
      </c>
    </row>
    <row r="316" spans="1:17" x14ac:dyDescent="0.25">
      <c r="A316" s="1">
        <v>2018</v>
      </c>
      <c r="B316" s="1">
        <v>4</v>
      </c>
      <c r="C316" s="1" t="s">
        <v>57</v>
      </c>
      <c r="D316" s="1" t="s">
        <v>22</v>
      </c>
      <c r="E316" s="1" t="s">
        <v>23</v>
      </c>
      <c r="F316" s="1" t="s">
        <v>473</v>
      </c>
      <c r="G316" s="1" t="s">
        <v>474</v>
      </c>
      <c r="H316" s="1" t="s">
        <v>46</v>
      </c>
      <c r="I316" s="1" t="s">
        <v>464</v>
      </c>
      <c r="J316" s="1" t="s">
        <v>32</v>
      </c>
      <c r="M316" s="1">
        <v>-379.91266375549998</v>
      </c>
      <c r="O316" s="1" t="s">
        <v>253</v>
      </c>
      <c r="P316" s="1">
        <v>500</v>
      </c>
      <c r="Q316" s="1" t="s">
        <v>622</v>
      </c>
    </row>
    <row r="317" spans="1:17" x14ac:dyDescent="0.25">
      <c r="A317" s="1">
        <v>2018</v>
      </c>
      <c r="B317" s="1">
        <v>4</v>
      </c>
      <c r="C317" s="1" t="s">
        <v>57</v>
      </c>
      <c r="D317" s="1" t="s">
        <v>22</v>
      </c>
      <c r="E317" s="1" t="s">
        <v>23</v>
      </c>
      <c r="F317" s="1" t="s">
        <v>319</v>
      </c>
      <c r="G317" s="1" t="s">
        <v>320</v>
      </c>
      <c r="H317" s="1" t="s">
        <v>46</v>
      </c>
      <c r="I317" s="1" t="s">
        <v>464</v>
      </c>
      <c r="J317" s="1" t="s">
        <v>32</v>
      </c>
      <c r="M317" s="1">
        <v>-2061.0061982917</v>
      </c>
      <c r="O317" s="1" t="s">
        <v>285</v>
      </c>
      <c r="P317" s="1">
        <v>232.4</v>
      </c>
      <c r="Q317" s="1" t="s">
        <v>622</v>
      </c>
    </row>
    <row r="318" spans="1:17" x14ac:dyDescent="0.25">
      <c r="A318" s="1">
        <v>2018</v>
      </c>
      <c r="B318" s="1">
        <v>4</v>
      </c>
      <c r="C318" s="1" t="s">
        <v>57</v>
      </c>
      <c r="D318" s="1" t="s">
        <v>22</v>
      </c>
      <c r="E318" s="1" t="s">
        <v>23</v>
      </c>
      <c r="F318" s="1" t="s">
        <v>329</v>
      </c>
      <c r="G318" s="1" t="s">
        <v>330</v>
      </c>
      <c r="H318" s="1" t="s">
        <v>46</v>
      </c>
      <c r="I318" s="1" t="s">
        <v>464</v>
      </c>
      <c r="J318" s="1" t="s">
        <v>32</v>
      </c>
      <c r="M318" s="1">
        <v>-5384.0751811596001</v>
      </c>
      <c r="O318" s="1" t="s">
        <v>253</v>
      </c>
      <c r="P318" s="1">
        <v>300</v>
      </c>
      <c r="Q318" s="1" t="s">
        <v>622</v>
      </c>
    </row>
    <row r="319" spans="1:17" x14ac:dyDescent="0.25">
      <c r="A319" s="1">
        <v>2018</v>
      </c>
      <c r="B319" s="1">
        <v>4</v>
      </c>
      <c r="C319" s="1" t="s">
        <v>57</v>
      </c>
      <c r="D319" s="1" t="s">
        <v>22</v>
      </c>
      <c r="E319" s="1" t="s">
        <v>23</v>
      </c>
      <c r="F319" s="1" t="s">
        <v>477</v>
      </c>
      <c r="G319" s="1" t="s">
        <v>478</v>
      </c>
      <c r="H319" s="1" t="s">
        <v>46</v>
      </c>
      <c r="I319" s="1" t="s">
        <v>464</v>
      </c>
      <c r="J319" s="1" t="s">
        <v>32</v>
      </c>
      <c r="M319" s="1">
        <v>-7602.7282407407001</v>
      </c>
      <c r="O319" s="1" t="s">
        <v>255</v>
      </c>
      <c r="P319" s="1">
        <v>60</v>
      </c>
      <c r="Q319" s="1" t="s">
        <v>622</v>
      </c>
    </row>
    <row r="320" spans="1:17" x14ac:dyDescent="0.25">
      <c r="A320" s="1">
        <v>2018</v>
      </c>
      <c r="B320" s="1">
        <v>4</v>
      </c>
      <c r="C320" s="1" t="s">
        <v>57</v>
      </c>
      <c r="D320" s="1" t="s">
        <v>22</v>
      </c>
      <c r="E320" s="1" t="s">
        <v>23</v>
      </c>
      <c r="F320" s="1" t="s">
        <v>479</v>
      </c>
      <c r="G320" s="1" t="s">
        <v>480</v>
      </c>
      <c r="H320" s="1" t="s">
        <v>46</v>
      </c>
      <c r="I320" s="1" t="s">
        <v>464</v>
      </c>
      <c r="J320" s="1" t="s">
        <v>32</v>
      </c>
      <c r="M320" s="1">
        <v>-36131.777777777897</v>
      </c>
      <c r="O320" s="1" t="s">
        <v>253</v>
      </c>
      <c r="P320" s="1">
        <v>20</v>
      </c>
      <c r="Q320" s="1" t="s">
        <v>962</v>
      </c>
    </row>
    <row r="321" spans="1:17" x14ac:dyDescent="0.25">
      <c r="A321" s="1">
        <v>2018</v>
      </c>
      <c r="B321" s="1">
        <v>4</v>
      </c>
      <c r="C321" s="1" t="s">
        <v>57</v>
      </c>
      <c r="D321" s="1" t="s">
        <v>22</v>
      </c>
      <c r="E321" s="1" t="s">
        <v>23</v>
      </c>
      <c r="F321" s="1" t="s">
        <v>465</v>
      </c>
      <c r="G321" s="1" t="s">
        <v>466</v>
      </c>
      <c r="H321" s="1" t="s">
        <v>46</v>
      </c>
      <c r="I321" s="1" t="s">
        <v>464</v>
      </c>
      <c r="J321" s="1" t="s">
        <v>34</v>
      </c>
      <c r="M321" s="1">
        <v>-1044.0090909091</v>
      </c>
      <c r="O321" s="1" t="s">
        <v>288</v>
      </c>
      <c r="P321" s="1">
        <v>1</v>
      </c>
      <c r="Q321" s="1" t="s">
        <v>601</v>
      </c>
    </row>
    <row r="322" spans="1:17" x14ac:dyDescent="0.25">
      <c r="A322" s="1">
        <v>2018</v>
      </c>
      <c r="B322" s="1">
        <v>4</v>
      </c>
      <c r="C322" s="1" t="s">
        <v>57</v>
      </c>
      <c r="D322" s="1" t="s">
        <v>22</v>
      </c>
      <c r="E322" s="1" t="s">
        <v>23</v>
      </c>
      <c r="F322" s="1" t="s">
        <v>467</v>
      </c>
      <c r="G322" s="1" t="s">
        <v>468</v>
      </c>
      <c r="H322" s="1" t="s">
        <v>46</v>
      </c>
      <c r="I322" s="1" t="s">
        <v>464</v>
      </c>
      <c r="J322" s="1" t="s">
        <v>34</v>
      </c>
      <c r="M322" s="1">
        <v>-3577.6409090909001</v>
      </c>
      <c r="O322" s="1" t="s">
        <v>271</v>
      </c>
      <c r="P322" s="1">
        <v>17</v>
      </c>
      <c r="Q322" s="1" t="s">
        <v>610</v>
      </c>
    </row>
    <row r="323" spans="1:17" x14ac:dyDescent="0.25">
      <c r="A323" s="1">
        <v>2018</v>
      </c>
      <c r="B323" s="1">
        <v>4</v>
      </c>
      <c r="C323" s="1" t="s">
        <v>57</v>
      </c>
      <c r="D323" s="1" t="s">
        <v>22</v>
      </c>
      <c r="E323" s="1" t="s">
        <v>23</v>
      </c>
      <c r="F323" s="1" t="s">
        <v>469</v>
      </c>
      <c r="G323" s="1" t="s">
        <v>470</v>
      </c>
      <c r="H323" s="1" t="s">
        <v>46</v>
      </c>
      <c r="I323" s="1" t="s">
        <v>464</v>
      </c>
      <c r="J323" s="1" t="s">
        <v>34</v>
      </c>
      <c r="M323" s="1">
        <v>-3348.4681818181998</v>
      </c>
      <c r="O323" s="1" t="s">
        <v>286</v>
      </c>
      <c r="P323" s="1">
        <v>108</v>
      </c>
      <c r="Q323" s="1" t="s">
        <v>610</v>
      </c>
    </row>
    <row r="324" spans="1:17" x14ac:dyDescent="0.25">
      <c r="A324" s="1">
        <v>2018</v>
      </c>
      <c r="B324" s="1">
        <v>4</v>
      </c>
      <c r="C324" s="1" t="s">
        <v>57</v>
      </c>
      <c r="D324" s="1" t="s">
        <v>22</v>
      </c>
      <c r="E324" s="1" t="s">
        <v>23</v>
      </c>
      <c r="F324" s="1" t="s">
        <v>469</v>
      </c>
      <c r="G324" s="1" t="s">
        <v>470</v>
      </c>
      <c r="H324" s="1" t="s">
        <v>46</v>
      </c>
      <c r="I324" s="1" t="s">
        <v>464</v>
      </c>
      <c r="J324" s="1" t="s">
        <v>34</v>
      </c>
      <c r="M324" s="1">
        <v>-2151.6772727273001</v>
      </c>
      <c r="O324" s="1" t="s">
        <v>286</v>
      </c>
      <c r="P324" s="1">
        <v>108</v>
      </c>
      <c r="Q324" s="1" t="s">
        <v>610</v>
      </c>
    </row>
    <row r="325" spans="1:17" x14ac:dyDescent="0.25">
      <c r="A325" s="1">
        <v>2018</v>
      </c>
      <c r="B325" s="1">
        <v>4</v>
      </c>
      <c r="C325" s="1" t="s">
        <v>57</v>
      </c>
      <c r="D325" s="1" t="s">
        <v>22</v>
      </c>
      <c r="E325" s="1" t="s">
        <v>23</v>
      </c>
      <c r="F325" s="1" t="s">
        <v>469</v>
      </c>
      <c r="G325" s="1" t="s">
        <v>470</v>
      </c>
      <c r="H325" s="1" t="s">
        <v>46</v>
      </c>
      <c r="I325" s="1" t="s">
        <v>464</v>
      </c>
      <c r="J325" s="1" t="s">
        <v>34</v>
      </c>
      <c r="M325" s="1">
        <v>-3500</v>
      </c>
      <c r="O325" s="1" t="s">
        <v>286</v>
      </c>
      <c r="P325" s="1">
        <v>108</v>
      </c>
      <c r="Q325" s="1" t="s">
        <v>610</v>
      </c>
    </row>
    <row r="326" spans="1:17" x14ac:dyDescent="0.25">
      <c r="A326" s="1">
        <v>2018</v>
      </c>
      <c r="B326" s="1">
        <v>4</v>
      </c>
      <c r="C326" s="1" t="s">
        <v>57</v>
      </c>
      <c r="D326" s="1" t="s">
        <v>22</v>
      </c>
      <c r="E326" s="1" t="s">
        <v>23</v>
      </c>
      <c r="F326" s="1" t="s">
        <v>471</v>
      </c>
      <c r="G326" s="1" t="s">
        <v>472</v>
      </c>
      <c r="H326" s="1" t="s">
        <v>46</v>
      </c>
      <c r="I326" s="1" t="s">
        <v>464</v>
      </c>
      <c r="J326" s="1" t="s">
        <v>34</v>
      </c>
      <c r="M326" s="1">
        <v>-1871.5772727272999</v>
      </c>
      <c r="O326" s="1" t="s">
        <v>270</v>
      </c>
      <c r="P326" s="1">
        <v>36</v>
      </c>
      <c r="Q326" s="1" t="s">
        <v>601</v>
      </c>
    </row>
    <row r="327" spans="1:17" x14ac:dyDescent="0.25">
      <c r="A327" s="1">
        <v>2018</v>
      </c>
      <c r="B327" s="1">
        <v>4</v>
      </c>
      <c r="C327" s="1" t="s">
        <v>57</v>
      </c>
      <c r="D327" s="1" t="s">
        <v>22</v>
      </c>
      <c r="E327" s="1" t="s">
        <v>23</v>
      </c>
      <c r="F327" s="1" t="s">
        <v>471</v>
      </c>
      <c r="G327" s="1" t="s">
        <v>472</v>
      </c>
      <c r="H327" s="1" t="s">
        <v>46</v>
      </c>
      <c r="I327" s="1" t="s">
        <v>464</v>
      </c>
      <c r="J327" s="1" t="s">
        <v>34</v>
      </c>
      <c r="M327" s="1">
        <v>-2826.4636363637001</v>
      </c>
      <c r="O327" s="1" t="s">
        <v>270</v>
      </c>
      <c r="P327" s="1">
        <v>36</v>
      </c>
      <c r="Q327" s="1" t="s">
        <v>601</v>
      </c>
    </row>
    <row r="328" spans="1:17" x14ac:dyDescent="0.25">
      <c r="A328" s="1">
        <v>2018</v>
      </c>
      <c r="B328" s="1">
        <v>4</v>
      </c>
      <c r="C328" s="1" t="s">
        <v>57</v>
      </c>
      <c r="D328" s="1" t="s">
        <v>22</v>
      </c>
      <c r="E328" s="1" t="s">
        <v>23</v>
      </c>
      <c r="F328" s="1" t="s">
        <v>475</v>
      </c>
      <c r="G328" s="1" t="s">
        <v>476</v>
      </c>
      <c r="H328" s="1" t="s">
        <v>46</v>
      </c>
      <c r="I328" s="1" t="s">
        <v>464</v>
      </c>
      <c r="J328" s="1" t="s">
        <v>34</v>
      </c>
      <c r="M328" s="1">
        <v>-1620.6690105475</v>
      </c>
      <c r="O328" s="1" t="s">
        <v>279</v>
      </c>
      <c r="P328" s="1">
        <v>16</v>
      </c>
      <c r="Q328" s="1" t="s">
        <v>610</v>
      </c>
    </row>
    <row r="329" spans="1:17" x14ac:dyDescent="0.25">
      <c r="A329" s="1">
        <v>2018</v>
      </c>
      <c r="B329" s="1">
        <v>4</v>
      </c>
      <c r="C329" s="1" t="s">
        <v>57</v>
      </c>
      <c r="D329" s="1" t="s">
        <v>22</v>
      </c>
      <c r="E329" s="1" t="s">
        <v>23</v>
      </c>
      <c r="F329" s="1" t="s">
        <v>475</v>
      </c>
      <c r="G329" s="1" t="s">
        <v>476</v>
      </c>
      <c r="H329" s="1" t="s">
        <v>46</v>
      </c>
      <c r="I329" s="1" t="s">
        <v>464</v>
      </c>
      <c r="J329" s="1" t="s">
        <v>34</v>
      </c>
      <c r="M329" s="1">
        <v>-1434.9673530888999</v>
      </c>
      <c r="O329" s="1" t="s">
        <v>280</v>
      </c>
      <c r="P329" s="1">
        <v>15</v>
      </c>
      <c r="Q329" s="1" t="s">
        <v>610</v>
      </c>
    </row>
    <row r="330" spans="1:17" x14ac:dyDescent="0.25">
      <c r="A330" s="1">
        <v>2018</v>
      </c>
      <c r="B330" s="1">
        <v>4</v>
      </c>
      <c r="C330" s="1" t="s">
        <v>57</v>
      </c>
      <c r="D330" s="1" t="s">
        <v>22</v>
      </c>
      <c r="E330" s="1" t="s">
        <v>23</v>
      </c>
      <c r="F330" s="1" t="s">
        <v>383</v>
      </c>
      <c r="G330" s="1" t="s">
        <v>384</v>
      </c>
      <c r="H330" s="1" t="s">
        <v>46</v>
      </c>
      <c r="I330" s="1" t="s">
        <v>464</v>
      </c>
      <c r="J330" s="1" t="s">
        <v>34</v>
      </c>
      <c r="M330" s="1">
        <v>-1298.5249801744999</v>
      </c>
      <c r="O330" s="1" t="s">
        <v>271</v>
      </c>
      <c r="P330" s="1">
        <v>476</v>
      </c>
      <c r="Q330" s="1" t="s">
        <v>610</v>
      </c>
    </row>
    <row r="331" spans="1:17" x14ac:dyDescent="0.25">
      <c r="A331" s="1">
        <v>2018</v>
      </c>
      <c r="B331" s="1">
        <v>4</v>
      </c>
      <c r="C331" s="1" t="s">
        <v>57</v>
      </c>
      <c r="D331" s="1" t="s">
        <v>22</v>
      </c>
      <c r="E331" s="1" t="s">
        <v>23</v>
      </c>
      <c r="F331" s="1" t="s">
        <v>383</v>
      </c>
      <c r="G331" s="1" t="s">
        <v>384</v>
      </c>
      <c r="H331" s="1" t="s">
        <v>46</v>
      </c>
      <c r="I331" s="1" t="s">
        <v>464</v>
      </c>
      <c r="J331" s="1" t="s">
        <v>34</v>
      </c>
      <c r="M331" s="1">
        <v>-301.4750198255</v>
      </c>
      <c r="O331" s="1" t="s">
        <v>275</v>
      </c>
      <c r="P331" s="1">
        <v>36</v>
      </c>
      <c r="Q331" s="1" t="s">
        <v>610</v>
      </c>
    </row>
    <row r="332" spans="1:17" x14ac:dyDescent="0.25">
      <c r="A332" s="1">
        <v>2018</v>
      </c>
      <c r="B332" s="1">
        <v>4</v>
      </c>
      <c r="C332" s="1" t="s">
        <v>57</v>
      </c>
      <c r="D332" s="1" t="s">
        <v>22</v>
      </c>
      <c r="E332" s="1" t="s">
        <v>23</v>
      </c>
      <c r="F332" s="1" t="s">
        <v>479</v>
      </c>
      <c r="G332" s="1" t="s">
        <v>480</v>
      </c>
      <c r="H332" s="1" t="s">
        <v>46</v>
      </c>
      <c r="I332" s="1" t="s">
        <v>464</v>
      </c>
      <c r="J332" s="1" t="s">
        <v>34</v>
      </c>
      <c r="M332" s="1">
        <v>-1222.2545454545</v>
      </c>
      <c r="O332" s="1" t="s">
        <v>253</v>
      </c>
      <c r="P332" s="1">
        <v>20</v>
      </c>
      <c r="Q332" s="1" t="s">
        <v>601</v>
      </c>
    </row>
    <row r="333" spans="1:17" x14ac:dyDescent="0.25">
      <c r="A333" s="1">
        <v>2018</v>
      </c>
      <c r="B333" s="1">
        <v>4</v>
      </c>
      <c r="C333" s="1" t="s">
        <v>57</v>
      </c>
      <c r="D333" s="1" t="s">
        <v>22</v>
      </c>
      <c r="E333" s="1" t="s">
        <v>23</v>
      </c>
      <c r="F333" s="1" t="s">
        <v>479</v>
      </c>
      <c r="G333" s="1" t="s">
        <v>480</v>
      </c>
      <c r="H333" s="1" t="s">
        <v>46</v>
      </c>
      <c r="I333" s="1" t="s">
        <v>464</v>
      </c>
      <c r="J333" s="1" t="s">
        <v>34</v>
      </c>
      <c r="M333" s="1">
        <v>-802.1045454545</v>
      </c>
      <c r="O333" s="1" t="s">
        <v>253</v>
      </c>
      <c r="P333" s="1">
        <v>20</v>
      </c>
      <c r="Q333" s="1" t="s">
        <v>601</v>
      </c>
    </row>
    <row r="334" spans="1:17" x14ac:dyDescent="0.25">
      <c r="A334" s="1">
        <v>2018</v>
      </c>
      <c r="B334" s="1">
        <v>5</v>
      </c>
      <c r="C334" s="1" t="s">
        <v>63</v>
      </c>
      <c r="D334" s="1" t="s">
        <v>22</v>
      </c>
      <c r="E334" s="1" t="s">
        <v>23</v>
      </c>
      <c r="F334" s="1" t="s">
        <v>461</v>
      </c>
      <c r="G334" s="1" t="s">
        <v>462</v>
      </c>
      <c r="H334" s="1" t="s">
        <v>46</v>
      </c>
      <c r="I334" s="1" t="s">
        <v>308</v>
      </c>
      <c r="J334" s="1" t="s">
        <v>24</v>
      </c>
      <c r="K334" s="1" t="s">
        <v>312</v>
      </c>
      <c r="L334" s="1" t="s">
        <v>463</v>
      </c>
      <c r="M334" s="1">
        <v>366</v>
      </c>
    </row>
    <row r="335" spans="1:17" x14ac:dyDescent="0.25">
      <c r="A335" s="1">
        <v>2018</v>
      </c>
      <c r="B335" s="1">
        <v>5</v>
      </c>
      <c r="C335" s="1" t="s">
        <v>63</v>
      </c>
      <c r="D335" s="1" t="s">
        <v>22</v>
      </c>
      <c r="E335" s="1" t="s">
        <v>23</v>
      </c>
      <c r="F335" s="1" t="s">
        <v>583</v>
      </c>
      <c r="G335" s="1" t="s">
        <v>584</v>
      </c>
      <c r="H335" s="1" t="s">
        <v>46</v>
      </c>
      <c r="I335" s="1" t="s">
        <v>308</v>
      </c>
      <c r="J335" s="1" t="s">
        <v>24</v>
      </c>
      <c r="K335" s="1" t="s">
        <v>312</v>
      </c>
      <c r="L335" s="1" t="s">
        <v>463</v>
      </c>
      <c r="M335" s="1">
        <v>2140</v>
      </c>
      <c r="Q335" s="1" t="s">
        <v>966</v>
      </c>
    </row>
    <row r="336" spans="1:17" x14ac:dyDescent="0.25">
      <c r="A336" s="1">
        <v>2018</v>
      </c>
      <c r="B336" s="1">
        <v>5</v>
      </c>
      <c r="C336" s="1" t="s">
        <v>63</v>
      </c>
      <c r="D336" s="1" t="s">
        <v>22</v>
      </c>
      <c r="E336" s="1" t="s">
        <v>23</v>
      </c>
      <c r="F336" s="1" t="s">
        <v>481</v>
      </c>
      <c r="G336" s="1" t="s">
        <v>482</v>
      </c>
      <c r="H336" s="1" t="s">
        <v>46</v>
      </c>
      <c r="I336" s="1" t="s">
        <v>308</v>
      </c>
      <c r="J336" s="1" t="s">
        <v>32</v>
      </c>
      <c r="K336" s="1" t="s">
        <v>312</v>
      </c>
      <c r="L336" s="1" t="s">
        <v>463</v>
      </c>
      <c r="M336" s="1">
        <v>4000</v>
      </c>
      <c r="Q336" s="1" t="s">
        <v>604</v>
      </c>
    </row>
    <row r="337" spans="1:17" x14ac:dyDescent="0.25">
      <c r="A337" s="1">
        <v>2018</v>
      </c>
      <c r="B337" s="1">
        <v>5</v>
      </c>
      <c r="C337" s="1" t="s">
        <v>63</v>
      </c>
      <c r="D337" s="1" t="s">
        <v>22</v>
      </c>
      <c r="E337" s="1" t="s">
        <v>23</v>
      </c>
      <c r="F337" s="1" t="s">
        <v>310</v>
      </c>
      <c r="G337" s="1" t="s">
        <v>311</v>
      </c>
      <c r="H337" s="1" t="s">
        <v>46</v>
      </c>
      <c r="I337" s="1" t="s">
        <v>308</v>
      </c>
      <c r="J337" s="1" t="s">
        <v>32</v>
      </c>
      <c r="K337" s="1" t="s">
        <v>312</v>
      </c>
      <c r="L337" s="1" t="s">
        <v>313</v>
      </c>
      <c r="M337" s="1">
        <v>0</v>
      </c>
      <c r="Q337" s="1" t="s">
        <v>604</v>
      </c>
    </row>
    <row r="338" spans="1:17" x14ac:dyDescent="0.25">
      <c r="A338" s="1">
        <v>2018</v>
      </c>
      <c r="B338" s="1">
        <v>5</v>
      </c>
      <c r="C338" s="1" t="s">
        <v>63</v>
      </c>
      <c r="D338" s="1" t="s">
        <v>22</v>
      </c>
      <c r="E338" s="1" t="s">
        <v>23</v>
      </c>
      <c r="F338" s="1" t="s">
        <v>310</v>
      </c>
      <c r="G338" s="1" t="s">
        <v>311</v>
      </c>
      <c r="H338" s="1" t="s">
        <v>46</v>
      </c>
      <c r="I338" s="1" t="s">
        <v>308</v>
      </c>
      <c r="J338" s="1" t="s">
        <v>32</v>
      </c>
      <c r="K338" s="1" t="s">
        <v>312</v>
      </c>
      <c r="L338" s="1" t="s">
        <v>314</v>
      </c>
      <c r="M338" s="1">
        <v>4408</v>
      </c>
      <c r="Q338" s="1" t="s">
        <v>604</v>
      </c>
    </row>
    <row r="339" spans="1:17" x14ac:dyDescent="0.25">
      <c r="A339" s="1">
        <v>2018</v>
      </c>
      <c r="B339" s="1">
        <v>5</v>
      </c>
      <c r="C339" s="1" t="s">
        <v>63</v>
      </c>
      <c r="D339" s="1" t="s">
        <v>22</v>
      </c>
      <c r="E339" s="1" t="s">
        <v>23</v>
      </c>
      <c r="F339" s="1" t="s">
        <v>315</v>
      </c>
      <c r="G339" s="1" t="s">
        <v>316</v>
      </c>
      <c r="H339" s="1" t="s">
        <v>46</v>
      </c>
      <c r="I339" s="1" t="s">
        <v>308</v>
      </c>
      <c r="J339" s="1" t="s">
        <v>32</v>
      </c>
      <c r="K339" s="1" t="s">
        <v>312</v>
      </c>
      <c r="L339" s="1" t="s">
        <v>314</v>
      </c>
      <c r="M339" s="1">
        <v>2828</v>
      </c>
      <c r="Q339" s="1" t="s">
        <v>604</v>
      </c>
    </row>
    <row r="340" spans="1:17" x14ac:dyDescent="0.25">
      <c r="A340" s="1">
        <v>2018</v>
      </c>
      <c r="B340" s="1">
        <v>5</v>
      </c>
      <c r="C340" s="1" t="s">
        <v>63</v>
      </c>
      <c r="D340" s="1" t="s">
        <v>22</v>
      </c>
      <c r="E340" s="1" t="s">
        <v>23</v>
      </c>
      <c r="F340" s="1" t="s">
        <v>553</v>
      </c>
      <c r="G340" s="1" t="s">
        <v>554</v>
      </c>
      <c r="H340" s="1" t="s">
        <v>46</v>
      </c>
      <c r="I340" s="1" t="s">
        <v>308</v>
      </c>
      <c r="J340" s="1" t="s">
        <v>32</v>
      </c>
      <c r="K340" s="1" t="s">
        <v>312</v>
      </c>
      <c r="L340" s="1" t="s">
        <v>463</v>
      </c>
      <c r="M340" s="1">
        <v>1500</v>
      </c>
      <c r="Q340" s="1" t="s">
        <v>622</v>
      </c>
    </row>
    <row r="341" spans="1:17" x14ac:dyDescent="0.25">
      <c r="A341" s="1">
        <v>2018</v>
      </c>
      <c r="B341" s="1">
        <v>5</v>
      </c>
      <c r="C341" s="1" t="s">
        <v>63</v>
      </c>
      <c r="D341" s="1" t="s">
        <v>22</v>
      </c>
      <c r="E341" s="1" t="s">
        <v>23</v>
      </c>
      <c r="F341" s="1" t="s">
        <v>473</v>
      </c>
      <c r="G341" s="1" t="s">
        <v>474</v>
      </c>
      <c r="H341" s="1" t="s">
        <v>46</v>
      </c>
      <c r="I341" s="1" t="s">
        <v>308</v>
      </c>
      <c r="J341" s="1" t="s">
        <v>32</v>
      </c>
      <c r="K341" s="1" t="s">
        <v>312</v>
      </c>
      <c r="L341" s="1" t="s">
        <v>463</v>
      </c>
      <c r="M341" s="1">
        <v>0</v>
      </c>
      <c r="Q341" s="1" t="s">
        <v>622</v>
      </c>
    </row>
    <row r="342" spans="1:17" x14ac:dyDescent="0.25">
      <c r="A342" s="1">
        <v>2018</v>
      </c>
      <c r="B342" s="1">
        <v>5</v>
      </c>
      <c r="C342" s="1" t="s">
        <v>63</v>
      </c>
      <c r="D342" s="1" t="s">
        <v>22</v>
      </c>
      <c r="E342" s="1" t="s">
        <v>23</v>
      </c>
      <c r="F342" s="1" t="s">
        <v>461</v>
      </c>
      <c r="G342" s="1" t="s">
        <v>462</v>
      </c>
      <c r="H342" s="1" t="s">
        <v>46</v>
      </c>
      <c r="I342" s="1" t="s">
        <v>308</v>
      </c>
      <c r="J342" s="1" t="s">
        <v>32</v>
      </c>
      <c r="K342" s="1" t="s">
        <v>312</v>
      </c>
      <c r="L342" s="1" t="s">
        <v>463</v>
      </c>
      <c r="M342" s="1">
        <v>7974</v>
      </c>
    </row>
    <row r="343" spans="1:17" x14ac:dyDescent="0.25">
      <c r="A343" s="1">
        <v>2018</v>
      </c>
      <c r="B343" s="1">
        <v>5</v>
      </c>
      <c r="C343" s="1" t="s">
        <v>63</v>
      </c>
      <c r="D343" s="1" t="s">
        <v>22</v>
      </c>
      <c r="E343" s="1" t="s">
        <v>23</v>
      </c>
      <c r="F343" s="1" t="s">
        <v>545</v>
      </c>
      <c r="G343" s="1" t="s">
        <v>546</v>
      </c>
      <c r="H343" s="1" t="s">
        <v>46</v>
      </c>
      <c r="I343" s="1" t="s">
        <v>308</v>
      </c>
      <c r="J343" s="1" t="s">
        <v>32</v>
      </c>
      <c r="K343" s="1" t="s">
        <v>312</v>
      </c>
      <c r="L343" s="1" t="s">
        <v>463</v>
      </c>
      <c r="M343" s="1">
        <v>0</v>
      </c>
      <c r="Q343" s="1" t="s">
        <v>960</v>
      </c>
    </row>
    <row r="344" spans="1:17" x14ac:dyDescent="0.25">
      <c r="A344" s="1">
        <v>2018</v>
      </c>
      <c r="B344" s="1">
        <v>5</v>
      </c>
      <c r="C344" s="1" t="s">
        <v>63</v>
      </c>
      <c r="D344" s="1" t="s">
        <v>22</v>
      </c>
      <c r="E344" s="1" t="s">
        <v>23</v>
      </c>
      <c r="F344" s="1" t="s">
        <v>369</v>
      </c>
      <c r="G344" s="1" t="s">
        <v>370</v>
      </c>
      <c r="H344" s="1" t="s">
        <v>46</v>
      </c>
      <c r="I344" s="1" t="s">
        <v>308</v>
      </c>
      <c r="J344" s="1" t="s">
        <v>34</v>
      </c>
      <c r="K344" s="1" t="s">
        <v>312</v>
      </c>
      <c r="L344" s="1" t="s">
        <v>313</v>
      </c>
      <c r="M344" s="1">
        <v>0</v>
      </c>
      <c r="Q344" s="1" t="s">
        <v>610</v>
      </c>
    </row>
    <row r="345" spans="1:17" x14ac:dyDescent="0.25">
      <c r="A345" s="1">
        <v>2018</v>
      </c>
      <c r="B345" s="1">
        <v>5</v>
      </c>
      <c r="C345" s="1" t="s">
        <v>63</v>
      </c>
      <c r="D345" s="1" t="s">
        <v>22</v>
      </c>
      <c r="E345" s="1" t="s">
        <v>23</v>
      </c>
      <c r="F345" s="1" t="s">
        <v>383</v>
      </c>
      <c r="G345" s="1" t="s">
        <v>384</v>
      </c>
      <c r="H345" s="1" t="s">
        <v>46</v>
      </c>
      <c r="I345" s="1" t="s">
        <v>308</v>
      </c>
      <c r="J345" s="1" t="s">
        <v>34</v>
      </c>
      <c r="K345" s="1" t="s">
        <v>312</v>
      </c>
      <c r="L345" s="1" t="s">
        <v>313</v>
      </c>
      <c r="M345" s="1">
        <v>0</v>
      </c>
      <c r="Q345" s="1" t="s">
        <v>610</v>
      </c>
    </row>
    <row r="346" spans="1:17" x14ac:dyDescent="0.25">
      <c r="A346" s="1">
        <v>2018</v>
      </c>
      <c r="B346" s="1">
        <v>5</v>
      </c>
      <c r="C346" s="1" t="s">
        <v>63</v>
      </c>
      <c r="D346" s="1" t="s">
        <v>22</v>
      </c>
      <c r="E346" s="1" t="s">
        <v>23</v>
      </c>
      <c r="F346" s="1" t="s">
        <v>383</v>
      </c>
      <c r="G346" s="1" t="s">
        <v>384</v>
      </c>
      <c r="H346" s="1" t="s">
        <v>46</v>
      </c>
      <c r="I346" s="1" t="s">
        <v>308</v>
      </c>
      <c r="J346" s="1" t="s">
        <v>34</v>
      </c>
      <c r="K346" s="1" t="s">
        <v>312</v>
      </c>
      <c r="L346" s="1" t="s">
        <v>463</v>
      </c>
      <c r="M346" s="1">
        <v>0</v>
      </c>
      <c r="Q346" s="1" t="s">
        <v>610</v>
      </c>
    </row>
    <row r="347" spans="1:17" x14ac:dyDescent="0.25">
      <c r="A347" s="1">
        <v>2018</v>
      </c>
      <c r="B347" s="1">
        <v>5</v>
      </c>
      <c r="C347" s="1" t="s">
        <v>63</v>
      </c>
      <c r="D347" s="1" t="s">
        <v>22</v>
      </c>
      <c r="E347" s="1" t="s">
        <v>23</v>
      </c>
      <c r="F347" s="1" t="s">
        <v>389</v>
      </c>
      <c r="G347" s="1" t="s">
        <v>390</v>
      </c>
      <c r="H347" s="1" t="s">
        <v>46</v>
      </c>
      <c r="I347" s="1" t="s">
        <v>308</v>
      </c>
      <c r="J347" s="1" t="s">
        <v>34</v>
      </c>
      <c r="K347" s="1" t="s">
        <v>312</v>
      </c>
      <c r="L347" s="1" t="s">
        <v>313</v>
      </c>
      <c r="M347" s="1">
        <v>0</v>
      </c>
      <c r="Q347" s="1" t="s">
        <v>610</v>
      </c>
    </row>
    <row r="348" spans="1:17" x14ac:dyDescent="0.25">
      <c r="A348" s="1">
        <v>2018</v>
      </c>
      <c r="B348" s="1">
        <v>5</v>
      </c>
      <c r="C348" s="1" t="s">
        <v>63</v>
      </c>
      <c r="D348" s="1" t="s">
        <v>22</v>
      </c>
      <c r="E348" s="1" t="s">
        <v>23</v>
      </c>
      <c r="F348" s="1" t="s">
        <v>527</v>
      </c>
      <c r="G348" s="1" t="s">
        <v>528</v>
      </c>
      <c r="H348" s="1" t="s">
        <v>46</v>
      </c>
      <c r="I348" s="1" t="s">
        <v>308</v>
      </c>
      <c r="J348" s="1" t="s">
        <v>34</v>
      </c>
      <c r="K348" s="1" t="s">
        <v>312</v>
      </c>
      <c r="L348" s="1" t="s">
        <v>313</v>
      </c>
      <c r="M348" s="1">
        <v>0</v>
      </c>
      <c r="Q348" s="1" t="s">
        <v>610</v>
      </c>
    </row>
    <row r="349" spans="1:17" x14ac:dyDescent="0.25">
      <c r="A349" s="1">
        <v>2018</v>
      </c>
      <c r="B349" s="1">
        <v>5</v>
      </c>
      <c r="C349" s="1" t="s">
        <v>63</v>
      </c>
      <c r="D349" s="1" t="s">
        <v>22</v>
      </c>
      <c r="E349" s="1" t="s">
        <v>23</v>
      </c>
      <c r="F349" s="1" t="s">
        <v>469</v>
      </c>
      <c r="G349" s="1" t="s">
        <v>470</v>
      </c>
      <c r="H349" s="1" t="s">
        <v>46</v>
      </c>
      <c r="I349" s="1" t="s">
        <v>308</v>
      </c>
      <c r="J349" s="1" t="s">
        <v>34</v>
      </c>
      <c r="K349" s="1" t="s">
        <v>312</v>
      </c>
      <c r="L349" s="1" t="s">
        <v>463</v>
      </c>
      <c r="M349" s="1">
        <v>0</v>
      </c>
      <c r="Q349" s="1" t="s">
        <v>610</v>
      </c>
    </row>
    <row r="350" spans="1:17" x14ac:dyDescent="0.25">
      <c r="A350" s="1">
        <v>2018</v>
      </c>
      <c r="B350" s="1">
        <v>5</v>
      </c>
      <c r="C350" s="1" t="s">
        <v>63</v>
      </c>
      <c r="D350" s="1" t="s">
        <v>22</v>
      </c>
      <c r="E350" s="1" t="s">
        <v>23</v>
      </c>
      <c r="F350" s="1" t="s">
        <v>461</v>
      </c>
      <c r="G350" s="1" t="s">
        <v>462</v>
      </c>
      <c r="H350" s="1" t="s">
        <v>46</v>
      </c>
      <c r="I350" s="1" t="s">
        <v>308</v>
      </c>
      <c r="J350" s="1" t="s">
        <v>34</v>
      </c>
      <c r="K350" s="1" t="s">
        <v>312</v>
      </c>
      <c r="L350" s="1" t="s">
        <v>463</v>
      </c>
      <c r="M350" s="1">
        <v>18177</v>
      </c>
    </row>
    <row r="351" spans="1:17" x14ac:dyDescent="0.25">
      <c r="A351" s="1">
        <v>2018</v>
      </c>
      <c r="B351" s="1">
        <v>5</v>
      </c>
      <c r="C351" s="1" t="s">
        <v>63</v>
      </c>
      <c r="D351" s="1" t="s">
        <v>22</v>
      </c>
      <c r="E351" s="1" t="s">
        <v>23</v>
      </c>
      <c r="F351" s="1" t="s">
        <v>306</v>
      </c>
      <c r="G351" s="1" t="s">
        <v>307</v>
      </c>
      <c r="H351" s="1" t="s">
        <v>46</v>
      </c>
      <c r="I351" s="1" t="s">
        <v>308</v>
      </c>
      <c r="J351" s="1" t="s">
        <v>32</v>
      </c>
      <c r="K351" s="1" t="s">
        <v>309</v>
      </c>
      <c r="L351" s="1" t="s">
        <v>86</v>
      </c>
      <c r="M351" s="1">
        <v>0</v>
      </c>
      <c r="N351" s="2">
        <f>M351/ActivityCenter!$L$18</f>
        <v>0</v>
      </c>
      <c r="Q351" s="1" t="s">
        <v>622</v>
      </c>
    </row>
    <row r="352" spans="1:17" x14ac:dyDescent="0.25">
      <c r="A352" s="1">
        <v>2018</v>
      </c>
      <c r="B352" s="1">
        <v>5</v>
      </c>
      <c r="C352" s="1" t="s">
        <v>63</v>
      </c>
      <c r="D352" s="1" t="s">
        <v>22</v>
      </c>
      <c r="E352" s="1" t="s">
        <v>23</v>
      </c>
      <c r="F352" s="1" t="s">
        <v>306</v>
      </c>
      <c r="G352" s="1" t="s">
        <v>307</v>
      </c>
      <c r="H352" s="1" t="s">
        <v>46</v>
      </c>
      <c r="I352" s="1" t="s">
        <v>308</v>
      </c>
      <c r="J352" s="1" t="s">
        <v>32</v>
      </c>
      <c r="K352" s="1" t="s">
        <v>309</v>
      </c>
      <c r="L352" s="1" t="s">
        <v>88</v>
      </c>
      <c r="M352" s="1">
        <v>2882.5890151515</v>
      </c>
      <c r="N352" s="2">
        <f>M352/ActivityCenter!$L$18</f>
        <v>58.000000000070422</v>
      </c>
      <c r="Q352" s="1" t="s">
        <v>622</v>
      </c>
    </row>
    <row r="353" spans="1:17" x14ac:dyDescent="0.25">
      <c r="A353" s="1">
        <v>2018</v>
      </c>
      <c r="B353" s="1">
        <v>5</v>
      </c>
      <c r="C353" s="1" t="s">
        <v>63</v>
      </c>
      <c r="D353" s="1" t="s">
        <v>22</v>
      </c>
      <c r="E353" s="1" t="s">
        <v>23</v>
      </c>
      <c r="F353" s="1" t="s">
        <v>551</v>
      </c>
      <c r="G353" s="1" t="s">
        <v>552</v>
      </c>
      <c r="H353" s="1" t="s">
        <v>46</v>
      </c>
      <c r="I353" s="1" t="s">
        <v>308</v>
      </c>
      <c r="J353" s="1" t="s">
        <v>32</v>
      </c>
      <c r="K353" s="1" t="s">
        <v>309</v>
      </c>
      <c r="L353" s="1" t="s">
        <v>90</v>
      </c>
      <c r="M353" s="1">
        <v>18239.830492424298</v>
      </c>
      <c r="N353" s="2">
        <f>M353/ActivityCenter!$L$18</f>
        <v>367.00000000044867</v>
      </c>
      <c r="Q353" s="1" t="s">
        <v>604</v>
      </c>
    </row>
    <row r="354" spans="1:17" x14ac:dyDescent="0.25">
      <c r="A354" s="1">
        <v>2018</v>
      </c>
      <c r="B354" s="1">
        <v>5</v>
      </c>
      <c r="C354" s="1" t="s">
        <v>63</v>
      </c>
      <c r="D354" s="1" t="s">
        <v>22</v>
      </c>
      <c r="E354" s="1" t="s">
        <v>23</v>
      </c>
      <c r="F354" s="1" t="s">
        <v>319</v>
      </c>
      <c r="G354" s="1" t="s">
        <v>320</v>
      </c>
      <c r="H354" s="1" t="s">
        <v>46</v>
      </c>
      <c r="I354" s="1" t="s">
        <v>308</v>
      </c>
      <c r="J354" s="1" t="s">
        <v>32</v>
      </c>
      <c r="K354" s="1" t="s">
        <v>309</v>
      </c>
      <c r="L354" s="1" t="s">
        <v>86</v>
      </c>
      <c r="M354" s="1">
        <v>0</v>
      </c>
      <c r="N354" s="2">
        <f>M354/ActivityCenter!$L$18</f>
        <v>0</v>
      </c>
      <c r="Q354" s="1" t="s">
        <v>622</v>
      </c>
    </row>
    <row r="355" spans="1:17" x14ac:dyDescent="0.25">
      <c r="A355" s="1">
        <v>2018</v>
      </c>
      <c r="B355" s="1">
        <v>5</v>
      </c>
      <c r="C355" s="1" t="s">
        <v>63</v>
      </c>
      <c r="D355" s="1" t="s">
        <v>22</v>
      </c>
      <c r="E355" s="1" t="s">
        <v>23</v>
      </c>
      <c r="F355" s="1" t="s">
        <v>321</v>
      </c>
      <c r="G355" s="1" t="s">
        <v>322</v>
      </c>
      <c r="H355" s="1" t="s">
        <v>46</v>
      </c>
      <c r="I355" s="1" t="s">
        <v>308</v>
      </c>
      <c r="J355" s="1" t="s">
        <v>32</v>
      </c>
      <c r="K355" s="1" t="s">
        <v>309</v>
      </c>
      <c r="L355" s="1" t="s">
        <v>87</v>
      </c>
      <c r="M355" s="1">
        <v>0</v>
      </c>
      <c r="N355" s="2">
        <f>M355/ActivityCenter!$L$18</f>
        <v>0</v>
      </c>
      <c r="Q355" s="1" t="s">
        <v>622</v>
      </c>
    </row>
    <row r="356" spans="1:17" x14ac:dyDescent="0.25">
      <c r="A356" s="1">
        <v>2018</v>
      </c>
      <c r="B356" s="1">
        <v>5</v>
      </c>
      <c r="C356" s="1" t="s">
        <v>63</v>
      </c>
      <c r="D356" s="1" t="s">
        <v>22</v>
      </c>
      <c r="E356" s="1" t="s">
        <v>23</v>
      </c>
      <c r="F356" s="1" t="s">
        <v>323</v>
      </c>
      <c r="G356" s="1" t="s">
        <v>324</v>
      </c>
      <c r="H356" s="1" t="s">
        <v>46</v>
      </c>
      <c r="I356" s="1" t="s">
        <v>308</v>
      </c>
      <c r="J356" s="1" t="s">
        <v>32</v>
      </c>
      <c r="K356" s="1" t="s">
        <v>309</v>
      </c>
      <c r="L356" s="1" t="s">
        <v>90</v>
      </c>
      <c r="M356" s="1">
        <v>0</v>
      </c>
      <c r="N356" s="2">
        <f>M356/ActivityCenter!$L$18</f>
        <v>0</v>
      </c>
      <c r="Q356" s="1" t="s">
        <v>622</v>
      </c>
    </row>
    <row r="357" spans="1:17" x14ac:dyDescent="0.25">
      <c r="A357" s="1">
        <v>2018</v>
      </c>
      <c r="B357" s="1">
        <v>5</v>
      </c>
      <c r="C357" s="1" t="s">
        <v>63</v>
      </c>
      <c r="D357" s="1" t="s">
        <v>22</v>
      </c>
      <c r="E357" s="1" t="s">
        <v>23</v>
      </c>
      <c r="F357" s="1" t="s">
        <v>323</v>
      </c>
      <c r="G357" s="1" t="s">
        <v>324</v>
      </c>
      <c r="H357" s="1" t="s">
        <v>46</v>
      </c>
      <c r="I357" s="1" t="s">
        <v>308</v>
      </c>
      <c r="J357" s="1" t="s">
        <v>32</v>
      </c>
      <c r="K357" s="1" t="s">
        <v>309</v>
      </c>
      <c r="L357" s="1" t="s">
        <v>93</v>
      </c>
      <c r="M357" s="1">
        <v>0</v>
      </c>
      <c r="N357" s="2">
        <f>M357/ActivityCenter!$L$18</f>
        <v>0</v>
      </c>
      <c r="Q357" s="1" t="s">
        <v>622</v>
      </c>
    </row>
    <row r="358" spans="1:17" x14ac:dyDescent="0.25">
      <c r="A358" s="1">
        <v>2018</v>
      </c>
      <c r="B358" s="1">
        <v>5</v>
      </c>
      <c r="C358" s="1" t="s">
        <v>63</v>
      </c>
      <c r="D358" s="1" t="s">
        <v>22</v>
      </c>
      <c r="E358" s="1" t="s">
        <v>23</v>
      </c>
      <c r="F358" s="1" t="s">
        <v>325</v>
      </c>
      <c r="G358" s="1" t="s">
        <v>326</v>
      </c>
      <c r="H358" s="1" t="s">
        <v>46</v>
      </c>
      <c r="I358" s="1" t="s">
        <v>308</v>
      </c>
      <c r="J358" s="1" t="s">
        <v>32</v>
      </c>
      <c r="K358" s="1" t="s">
        <v>309</v>
      </c>
      <c r="L358" s="1" t="s">
        <v>90</v>
      </c>
      <c r="M358" s="1">
        <v>0</v>
      </c>
      <c r="N358" s="2">
        <f>M358/ActivityCenter!$L$18</f>
        <v>0</v>
      </c>
      <c r="Q358" s="1" t="s">
        <v>622</v>
      </c>
    </row>
    <row r="359" spans="1:17" x14ac:dyDescent="0.25">
      <c r="A359" s="1">
        <v>2018</v>
      </c>
      <c r="B359" s="1">
        <v>5</v>
      </c>
      <c r="C359" s="1" t="s">
        <v>63</v>
      </c>
      <c r="D359" s="1" t="s">
        <v>22</v>
      </c>
      <c r="E359" s="1" t="s">
        <v>23</v>
      </c>
      <c r="F359" s="1" t="s">
        <v>325</v>
      </c>
      <c r="G359" s="1" t="s">
        <v>326</v>
      </c>
      <c r="H359" s="1" t="s">
        <v>46</v>
      </c>
      <c r="I359" s="1" t="s">
        <v>308</v>
      </c>
      <c r="J359" s="1" t="s">
        <v>32</v>
      </c>
      <c r="K359" s="1" t="s">
        <v>309</v>
      </c>
      <c r="L359" s="1" t="s">
        <v>93</v>
      </c>
      <c r="M359" s="1">
        <v>8001.6695075757998</v>
      </c>
      <c r="N359" s="2">
        <f>M359/ActivityCenter!$L$18</f>
        <v>161.00000000019719</v>
      </c>
      <c r="Q359" s="1" t="s">
        <v>622</v>
      </c>
    </row>
    <row r="360" spans="1:17" x14ac:dyDescent="0.25">
      <c r="A360" s="1">
        <v>2018</v>
      </c>
      <c r="B360" s="1">
        <v>5</v>
      </c>
      <c r="C360" s="1" t="s">
        <v>63</v>
      </c>
      <c r="D360" s="1" t="s">
        <v>22</v>
      </c>
      <c r="E360" s="1" t="s">
        <v>23</v>
      </c>
      <c r="F360" s="1" t="s">
        <v>483</v>
      </c>
      <c r="G360" s="1" t="s">
        <v>484</v>
      </c>
      <c r="H360" s="1" t="s">
        <v>46</v>
      </c>
      <c r="I360" s="1" t="s">
        <v>308</v>
      </c>
      <c r="J360" s="1" t="s">
        <v>32</v>
      </c>
      <c r="K360" s="1" t="s">
        <v>309</v>
      </c>
      <c r="L360" s="1" t="s">
        <v>78</v>
      </c>
      <c r="M360" s="1">
        <v>7256.1723484847998</v>
      </c>
      <c r="N360" s="2">
        <f>M360/ActivityCenter!$L$18</f>
        <v>146.00000000017707</v>
      </c>
      <c r="Q360" s="1" t="s">
        <v>622</v>
      </c>
    </row>
    <row r="361" spans="1:17" x14ac:dyDescent="0.25">
      <c r="A361" s="1">
        <v>2018</v>
      </c>
      <c r="B361" s="1">
        <v>5</v>
      </c>
      <c r="C361" s="1" t="s">
        <v>63</v>
      </c>
      <c r="D361" s="1" t="s">
        <v>22</v>
      </c>
      <c r="E361" s="1" t="s">
        <v>23</v>
      </c>
      <c r="F361" s="1" t="s">
        <v>483</v>
      </c>
      <c r="G361" s="1" t="s">
        <v>484</v>
      </c>
      <c r="H361" s="1" t="s">
        <v>46</v>
      </c>
      <c r="I361" s="1" t="s">
        <v>308</v>
      </c>
      <c r="J361" s="1" t="s">
        <v>32</v>
      </c>
      <c r="K361" s="1" t="s">
        <v>309</v>
      </c>
      <c r="L361" s="1" t="s">
        <v>103</v>
      </c>
      <c r="M361" s="1">
        <v>0</v>
      </c>
      <c r="N361" s="2">
        <f>M361/ActivityCenter!$L$18</f>
        <v>0</v>
      </c>
      <c r="Q361" s="1" t="s">
        <v>622</v>
      </c>
    </row>
    <row r="362" spans="1:17" x14ac:dyDescent="0.25">
      <c r="A362" s="1">
        <v>2018</v>
      </c>
      <c r="B362" s="1">
        <v>5</v>
      </c>
      <c r="C362" s="1" t="s">
        <v>63</v>
      </c>
      <c r="D362" s="1" t="s">
        <v>22</v>
      </c>
      <c r="E362" s="1" t="s">
        <v>23</v>
      </c>
      <c r="F362" s="1" t="s">
        <v>327</v>
      </c>
      <c r="G362" s="1" t="s">
        <v>328</v>
      </c>
      <c r="H362" s="1" t="s">
        <v>46</v>
      </c>
      <c r="I362" s="1" t="s">
        <v>308</v>
      </c>
      <c r="J362" s="1" t="s">
        <v>32</v>
      </c>
      <c r="K362" s="1" t="s">
        <v>309</v>
      </c>
      <c r="L362" s="1" t="s">
        <v>90</v>
      </c>
      <c r="M362" s="1">
        <v>0</v>
      </c>
      <c r="N362" s="2">
        <f>M362/ActivityCenter!$L$18</f>
        <v>0</v>
      </c>
      <c r="Q362" s="1" t="s">
        <v>622</v>
      </c>
    </row>
    <row r="363" spans="1:17" x14ac:dyDescent="0.25">
      <c r="A363" s="1">
        <v>2018</v>
      </c>
      <c r="B363" s="1">
        <v>5</v>
      </c>
      <c r="C363" s="1" t="s">
        <v>63</v>
      </c>
      <c r="D363" s="1" t="s">
        <v>22</v>
      </c>
      <c r="E363" s="1" t="s">
        <v>23</v>
      </c>
      <c r="F363" s="1" t="s">
        <v>329</v>
      </c>
      <c r="G363" s="1" t="s">
        <v>330</v>
      </c>
      <c r="H363" s="1" t="s">
        <v>46</v>
      </c>
      <c r="I363" s="1" t="s">
        <v>308</v>
      </c>
      <c r="J363" s="1" t="s">
        <v>32</v>
      </c>
      <c r="K363" s="1" t="s">
        <v>309</v>
      </c>
      <c r="L363" s="1" t="s">
        <v>78</v>
      </c>
      <c r="M363" s="1">
        <v>23855.909090909099</v>
      </c>
      <c r="N363" s="2">
        <f>M363/ActivityCenter!$L$18</f>
        <v>480.00000000058549</v>
      </c>
      <c r="Q363" s="1" t="s">
        <v>622</v>
      </c>
    </row>
    <row r="364" spans="1:17" x14ac:dyDescent="0.25">
      <c r="A364" s="1">
        <v>2018</v>
      </c>
      <c r="B364" s="1">
        <v>5</v>
      </c>
      <c r="C364" s="1" t="s">
        <v>63</v>
      </c>
      <c r="D364" s="1" t="s">
        <v>22</v>
      </c>
      <c r="E364" s="1" t="s">
        <v>23</v>
      </c>
      <c r="F364" s="1" t="s">
        <v>329</v>
      </c>
      <c r="G364" s="1" t="s">
        <v>330</v>
      </c>
      <c r="H364" s="1" t="s">
        <v>46</v>
      </c>
      <c r="I364" s="1" t="s">
        <v>308</v>
      </c>
      <c r="J364" s="1" t="s">
        <v>32</v>
      </c>
      <c r="K364" s="1" t="s">
        <v>309</v>
      </c>
      <c r="L364" s="1" t="s">
        <v>90</v>
      </c>
      <c r="M364" s="1">
        <v>0</v>
      </c>
      <c r="N364" s="2">
        <f>M364/ActivityCenter!$L$18</f>
        <v>0</v>
      </c>
      <c r="Q364" s="1" t="s">
        <v>622</v>
      </c>
    </row>
    <row r="365" spans="1:17" x14ac:dyDescent="0.25">
      <c r="A365" s="1">
        <v>2018</v>
      </c>
      <c r="B365" s="1">
        <v>5</v>
      </c>
      <c r="C365" s="1" t="s">
        <v>63</v>
      </c>
      <c r="D365" s="1" t="s">
        <v>22</v>
      </c>
      <c r="E365" s="1" t="s">
        <v>23</v>
      </c>
      <c r="F365" s="1" t="s">
        <v>477</v>
      </c>
      <c r="G365" s="1" t="s">
        <v>478</v>
      </c>
      <c r="H365" s="1" t="s">
        <v>46</v>
      </c>
      <c r="I365" s="1" t="s">
        <v>308</v>
      </c>
      <c r="J365" s="1" t="s">
        <v>32</v>
      </c>
      <c r="K365" s="1" t="s">
        <v>309</v>
      </c>
      <c r="L365" s="1" t="s">
        <v>90</v>
      </c>
      <c r="M365" s="1">
        <v>0</v>
      </c>
      <c r="N365" s="2">
        <f>M365/ActivityCenter!$L$18</f>
        <v>0</v>
      </c>
      <c r="Q365" s="1" t="s">
        <v>622</v>
      </c>
    </row>
    <row r="366" spans="1:17" x14ac:dyDescent="0.25">
      <c r="A366" s="1">
        <v>2018</v>
      </c>
      <c r="B366" s="1">
        <v>5</v>
      </c>
      <c r="C366" s="1" t="s">
        <v>63</v>
      </c>
      <c r="D366" s="1" t="s">
        <v>22</v>
      </c>
      <c r="E366" s="1" t="s">
        <v>23</v>
      </c>
      <c r="F366" s="1" t="s">
        <v>555</v>
      </c>
      <c r="G366" s="1" t="s">
        <v>556</v>
      </c>
      <c r="H366" s="1" t="s">
        <v>46</v>
      </c>
      <c r="I366" s="1" t="s">
        <v>308</v>
      </c>
      <c r="J366" s="1" t="s">
        <v>32</v>
      </c>
      <c r="K366" s="1" t="s">
        <v>309</v>
      </c>
      <c r="L366" s="1" t="s">
        <v>100</v>
      </c>
      <c r="M366" s="1">
        <v>2981.9886363635001</v>
      </c>
      <c r="N366" s="2">
        <f>M366/ActivityCenter!$L$18</f>
        <v>60.000000000070422</v>
      </c>
      <c r="Q366" s="1" t="s">
        <v>622</v>
      </c>
    </row>
    <row r="367" spans="1:17" x14ac:dyDescent="0.25">
      <c r="A367" s="1">
        <v>2018</v>
      </c>
      <c r="B367" s="1">
        <v>5</v>
      </c>
      <c r="C367" s="1" t="s">
        <v>63</v>
      </c>
      <c r="D367" s="1" t="s">
        <v>22</v>
      </c>
      <c r="E367" s="1" t="s">
        <v>23</v>
      </c>
      <c r="F367" s="1" t="s">
        <v>331</v>
      </c>
      <c r="G367" s="1" t="s">
        <v>332</v>
      </c>
      <c r="H367" s="1" t="s">
        <v>46</v>
      </c>
      <c r="I367" s="1" t="s">
        <v>308</v>
      </c>
      <c r="J367" s="1" t="s">
        <v>32</v>
      </c>
      <c r="K367" s="1" t="s">
        <v>309</v>
      </c>
      <c r="L367" s="1" t="s">
        <v>90</v>
      </c>
      <c r="M367" s="1">
        <v>0</v>
      </c>
      <c r="N367" s="2">
        <f>M367/ActivityCenter!$L$18</f>
        <v>0</v>
      </c>
      <c r="Q367" s="1" t="s">
        <v>622</v>
      </c>
    </row>
    <row r="368" spans="1:17" x14ac:dyDescent="0.25">
      <c r="A368" s="1">
        <v>2018</v>
      </c>
      <c r="B368" s="1">
        <v>5</v>
      </c>
      <c r="C368" s="1" t="s">
        <v>63</v>
      </c>
      <c r="D368" s="1" t="s">
        <v>22</v>
      </c>
      <c r="E368" s="1" t="s">
        <v>23</v>
      </c>
      <c r="F368" s="1" t="s">
        <v>333</v>
      </c>
      <c r="G368" s="1" t="s">
        <v>334</v>
      </c>
      <c r="H368" s="1" t="s">
        <v>46</v>
      </c>
      <c r="I368" s="1" t="s">
        <v>308</v>
      </c>
      <c r="J368" s="1" t="s">
        <v>32</v>
      </c>
      <c r="K368" s="1" t="s">
        <v>309</v>
      </c>
      <c r="L368" s="1" t="s">
        <v>90</v>
      </c>
      <c r="M368" s="1">
        <v>0</v>
      </c>
      <c r="N368" s="2">
        <f>M368/ActivityCenter!$L$18</f>
        <v>0</v>
      </c>
      <c r="Q368" s="1" t="s">
        <v>622</v>
      </c>
    </row>
    <row r="369" spans="1:17" x14ac:dyDescent="0.25">
      <c r="A369" s="1">
        <v>2018</v>
      </c>
      <c r="B369" s="1">
        <v>5</v>
      </c>
      <c r="C369" s="1" t="s">
        <v>63</v>
      </c>
      <c r="D369" s="1" t="s">
        <v>22</v>
      </c>
      <c r="E369" s="1" t="s">
        <v>23</v>
      </c>
      <c r="F369" s="1" t="s">
        <v>333</v>
      </c>
      <c r="G369" s="1" t="s">
        <v>334</v>
      </c>
      <c r="H369" s="1" t="s">
        <v>46</v>
      </c>
      <c r="I369" s="1" t="s">
        <v>308</v>
      </c>
      <c r="J369" s="1" t="s">
        <v>32</v>
      </c>
      <c r="K369" s="1" t="s">
        <v>309</v>
      </c>
      <c r="L369" s="1" t="s">
        <v>93</v>
      </c>
      <c r="M369" s="1">
        <v>0</v>
      </c>
      <c r="N369" s="2">
        <f>M369/ActivityCenter!$L$18</f>
        <v>0</v>
      </c>
      <c r="Q369" s="1" t="s">
        <v>622</v>
      </c>
    </row>
    <row r="370" spans="1:17" x14ac:dyDescent="0.25">
      <c r="A370" s="1">
        <v>2018</v>
      </c>
      <c r="B370" s="1">
        <v>5</v>
      </c>
      <c r="C370" s="1" t="s">
        <v>63</v>
      </c>
      <c r="D370" s="1" t="s">
        <v>22</v>
      </c>
      <c r="E370" s="1" t="s">
        <v>23</v>
      </c>
      <c r="F370" s="1" t="s">
        <v>335</v>
      </c>
      <c r="G370" s="1" t="s">
        <v>336</v>
      </c>
      <c r="H370" s="1" t="s">
        <v>46</v>
      </c>
      <c r="I370" s="1" t="s">
        <v>308</v>
      </c>
      <c r="J370" s="1" t="s">
        <v>32</v>
      </c>
      <c r="K370" s="1" t="s">
        <v>309</v>
      </c>
      <c r="L370" s="1" t="s">
        <v>90</v>
      </c>
      <c r="M370" s="1">
        <v>0</v>
      </c>
      <c r="N370" s="2">
        <f>M370/ActivityCenter!$L$18</f>
        <v>0</v>
      </c>
      <c r="Q370" s="1" t="s">
        <v>622</v>
      </c>
    </row>
    <row r="371" spans="1:17" x14ac:dyDescent="0.25">
      <c r="A371" s="1">
        <v>2018</v>
      </c>
      <c r="B371" s="1">
        <v>5</v>
      </c>
      <c r="C371" s="1" t="s">
        <v>63</v>
      </c>
      <c r="D371" s="1" t="s">
        <v>22</v>
      </c>
      <c r="E371" s="1" t="s">
        <v>23</v>
      </c>
      <c r="F371" s="1" t="s">
        <v>337</v>
      </c>
      <c r="G371" s="1" t="s">
        <v>338</v>
      </c>
      <c r="H371" s="1" t="s">
        <v>46</v>
      </c>
      <c r="I371" s="1" t="s">
        <v>308</v>
      </c>
      <c r="J371" s="1" t="s">
        <v>32</v>
      </c>
      <c r="K371" s="1" t="s">
        <v>309</v>
      </c>
      <c r="L371" s="1" t="s">
        <v>86</v>
      </c>
      <c r="M371" s="1">
        <v>0</v>
      </c>
      <c r="N371" s="2">
        <f>M371/ActivityCenter!$L$18</f>
        <v>0</v>
      </c>
      <c r="Q371" s="1" t="s">
        <v>622</v>
      </c>
    </row>
    <row r="372" spans="1:17" x14ac:dyDescent="0.25">
      <c r="A372" s="1">
        <v>2018</v>
      </c>
      <c r="B372" s="1">
        <v>5</v>
      </c>
      <c r="C372" s="1" t="s">
        <v>63</v>
      </c>
      <c r="D372" s="1" t="s">
        <v>22</v>
      </c>
      <c r="E372" s="1" t="s">
        <v>23</v>
      </c>
      <c r="F372" s="1" t="s">
        <v>337</v>
      </c>
      <c r="G372" s="1" t="s">
        <v>338</v>
      </c>
      <c r="H372" s="1" t="s">
        <v>46</v>
      </c>
      <c r="I372" s="1" t="s">
        <v>308</v>
      </c>
      <c r="J372" s="1" t="s">
        <v>32</v>
      </c>
      <c r="K372" s="1" t="s">
        <v>309</v>
      </c>
      <c r="L372" s="1" t="s">
        <v>90</v>
      </c>
      <c r="M372" s="1">
        <v>0</v>
      </c>
      <c r="N372" s="2">
        <f>M372/ActivityCenter!$L$18</f>
        <v>0</v>
      </c>
      <c r="Q372" s="1" t="s">
        <v>622</v>
      </c>
    </row>
    <row r="373" spans="1:17" x14ac:dyDescent="0.25">
      <c r="A373" s="1">
        <v>2018</v>
      </c>
      <c r="B373" s="1">
        <v>5</v>
      </c>
      <c r="C373" s="1" t="s">
        <v>63</v>
      </c>
      <c r="D373" s="1" t="s">
        <v>22</v>
      </c>
      <c r="E373" s="1" t="s">
        <v>23</v>
      </c>
      <c r="F373" s="1" t="s">
        <v>337</v>
      </c>
      <c r="G373" s="1" t="s">
        <v>338</v>
      </c>
      <c r="H373" s="1" t="s">
        <v>46</v>
      </c>
      <c r="I373" s="1" t="s">
        <v>308</v>
      </c>
      <c r="J373" s="1" t="s">
        <v>32</v>
      </c>
      <c r="K373" s="1" t="s">
        <v>309</v>
      </c>
      <c r="L373" s="1" t="s">
        <v>93</v>
      </c>
      <c r="M373" s="1">
        <v>0</v>
      </c>
      <c r="N373" s="2">
        <f>M373/ActivityCenter!$L$18</f>
        <v>0</v>
      </c>
      <c r="Q373" s="1" t="s">
        <v>622</v>
      </c>
    </row>
    <row r="374" spans="1:17" x14ac:dyDescent="0.25">
      <c r="A374" s="1">
        <v>2018</v>
      </c>
      <c r="B374" s="1">
        <v>5</v>
      </c>
      <c r="C374" s="1" t="s">
        <v>63</v>
      </c>
      <c r="D374" s="1" t="s">
        <v>22</v>
      </c>
      <c r="E374" s="1" t="s">
        <v>23</v>
      </c>
      <c r="F374" s="1" t="s">
        <v>339</v>
      </c>
      <c r="G374" s="1" t="s">
        <v>340</v>
      </c>
      <c r="H374" s="1" t="s">
        <v>46</v>
      </c>
      <c r="I374" s="1" t="s">
        <v>308</v>
      </c>
      <c r="J374" s="1" t="s">
        <v>32</v>
      </c>
      <c r="K374" s="1" t="s">
        <v>309</v>
      </c>
      <c r="L374" s="1" t="s">
        <v>86</v>
      </c>
      <c r="M374" s="1">
        <v>0</v>
      </c>
      <c r="N374" s="2">
        <f>M374/ActivityCenter!$L$18</f>
        <v>0</v>
      </c>
      <c r="Q374" s="1" t="s">
        <v>622</v>
      </c>
    </row>
    <row r="375" spans="1:17" x14ac:dyDescent="0.25">
      <c r="A375" s="1">
        <v>2018</v>
      </c>
      <c r="B375" s="1">
        <v>5</v>
      </c>
      <c r="C375" s="1" t="s">
        <v>63</v>
      </c>
      <c r="D375" s="1" t="s">
        <v>22</v>
      </c>
      <c r="E375" s="1" t="s">
        <v>23</v>
      </c>
      <c r="F375" s="1" t="s">
        <v>339</v>
      </c>
      <c r="G375" s="1" t="s">
        <v>340</v>
      </c>
      <c r="H375" s="1" t="s">
        <v>46</v>
      </c>
      <c r="I375" s="1" t="s">
        <v>308</v>
      </c>
      <c r="J375" s="1" t="s">
        <v>32</v>
      </c>
      <c r="K375" s="1" t="s">
        <v>309</v>
      </c>
      <c r="L375" s="1" t="s">
        <v>90</v>
      </c>
      <c r="M375" s="1">
        <v>0</v>
      </c>
      <c r="N375" s="2">
        <f>M375/ActivityCenter!$L$18</f>
        <v>0</v>
      </c>
      <c r="Q375" s="1" t="s">
        <v>622</v>
      </c>
    </row>
    <row r="376" spans="1:17" x14ac:dyDescent="0.25">
      <c r="A376" s="1">
        <v>2018</v>
      </c>
      <c r="B376" s="1">
        <v>5</v>
      </c>
      <c r="C376" s="1" t="s">
        <v>63</v>
      </c>
      <c r="D376" s="1" t="s">
        <v>22</v>
      </c>
      <c r="E376" s="1" t="s">
        <v>23</v>
      </c>
      <c r="F376" s="1" t="s">
        <v>339</v>
      </c>
      <c r="G376" s="1" t="s">
        <v>340</v>
      </c>
      <c r="H376" s="1" t="s">
        <v>46</v>
      </c>
      <c r="I376" s="1" t="s">
        <v>308</v>
      </c>
      <c r="J376" s="1" t="s">
        <v>32</v>
      </c>
      <c r="K376" s="1" t="s">
        <v>309</v>
      </c>
      <c r="L376" s="1" t="s">
        <v>93</v>
      </c>
      <c r="M376" s="1">
        <v>0</v>
      </c>
      <c r="N376" s="2">
        <f>M376/ActivityCenter!$L$18</f>
        <v>0</v>
      </c>
      <c r="Q376" s="1" t="s">
        <v>622</v>
      </c>
    </row>
    <row r="377" spans="1:17" x14ac:dyDescent="0.25">
      <c r="A377" s="1">
        <v>2018</v>
      </c>
      <c r="B377" s="1">
        <v>5</v>
      </c>
      <c r="C377" s="1" t="s">
        <v>63</v>
      </c>
      <c r="D377" s="1" t="s">
        <v>22</v>
      </c>
      <c r="E377" s="1" t="s">
        <v>23</v>
      </c>
      <c r="F377" s="1" t="s">
        <v>341</v>
      </c>
      <c r="G377" s="1" t="s">
        <v>342</v>
      </c>
      <c r="H377" s="1" t="s">
        <v>46</v>
      </c>
      <c r="I377" s="1" t="s">
        <v>308</v>
      </c>
      <c r="J377" s="1" t="s">
        <v>32</v>
      </c>
      <c r="K377" s="1" t="s">
        <v>309</v>
      </c>
      <c r="L377" s="1" t="s">
        <v>86</v>
      </c>
      <c r="M377" s="1">
        <v>0</v>
      </c>
      <c r="N377" s="2">
        <f>M377/ActivityCenter!$L$18</f>
        <v>0</v>
      </c>
      <c r="Q377" s="1" t="s">
        <v>622</v>
      </c>
    </row>
    <row r="378" spans="1:17" x14ac:dyDescent="0.25">
      <c r="A378" s="1">
        <v>2018</v>
      </c>
      <c r="B378" s="1">
        <v>5</v>
      </c>
      <c r="C378" s="1" t="s">
        <v>63</v>
      </c>
      <c r="D378" s="1" t="s">
        <v>22</v>
      </c>
      <c r="E378" s="1" t="s">
        <v>23</v>
      </c>
      <c r="F378" s="1" t="s">
        <v>343</v>
      </c>
      <c r="G378" s="1" t="s">
        <v>344</v>
      </c>
      <c r="H378" s="1" t="s">
        <v>46</v>
      </c>
      <c r="I378" s="1" t="s">
        <v>308</v>
      </c>
      <c r="J378" s="1" t="s">
        <v>32</v>
      </c>
      <c r="K378" s="1" t="s">
        <v>309</v>
      </c>
      <c r="L378" s="1" t="s">
        <v>86</v>
      </c>
      <c r="M378" s="1">
        <v>0</v>
      </c>
      <c r="N378" s="2">
        <f>M378/ActivityCenter!$L$18</f>
        <v>0</v>
      </c>
      <c r="Q378" s="1" t="s">
        <v>622</v>
      </c>
    </row>
    <row r="379" spans="1:17" x14ac:dyDescent="0.25">
      <c r="A379" s="1">
        <v>2018</v>
      </c>
      <c r="B379" s="1">
        <v>5</v>
      </c>
      <c r="C379" s="1" t="s">
        <v>63</v>
      </c>
      <c r="D379" s="1" t="s">
        <v>22</v>
      </c>
      <c r="E379" s="1" t="s">
        <v>23</v>
      </c>
      <c r="F379" s="1" t="s">
        <v>343</v>
      </c>
      <c r="G379" s="1" t="s">
        <v>344</v>
      </c>
      <c r="H379" s="1" t="s">
        <v>46</v>
      </c>
      <c r="I379" s="1" t="s">
        <v>308</v>
      </c>
      <c r="J379" s="1" t="s">
        <v>32</v>
      </c>
      <c r="K379" s="1" t="s">
        <v>309</v>
      </c>
      <c r="L379" s="1" t="s">
        <v>93</v>
      </c>
      <c r="M379" s="1">
        <v>0</v>
      </c>
      <c r="N379" s="2">
        <f>M379/ActivityCenter!$L$18</f>
        <v>0</v>
      </c>
      <c r="Q379" s="1" t="s">
        <v>622</v>
      </c>
    </row>
    <row r="380" spans="1:17" x14ac:dyDescent="0.25">
      <c r="A380" s="1">
        <v>2018</v>
      </c>
      <c r="B380" s="1">
        <v>5</v>
      </c>
      <c r="C380" s="1" t="s">
        <v>63</v>
      </c>
      <c r="D380" s="1" t="s">
        <v>22</v>
      </c>
      <c r="E380" s="1" t="s">
        <v>23</v>
      </c>
      <c r="F380" s="1" t="s">
        <v>345</v>
      </c>
      <c r="G380" s="1" t="s">
        <v>346</v>
      </c>
      <c r="H380" s="1" t="s">
        <v>46</v>
      </c>
      <c r="I380" s="1" t="s">
        <v>308</v>
      </c>
      <c r="J380" s="1" t="s">
        <v>32</v>
      </c>
      <c r="K380" s="1" t="s">
        <v>309</v>
      </c>
      <c r="L380" s="1" t="s">
        <v>86</v>
      </c>
      <c r="M380" s="1">
        <v>0</v>
      </c>
      <c r="N380" s="2">
        <f>M380/ActivityCenter!$L$18</f>
        <v>0</v>
      </c>
      <c r="Q380" s="1" t="s">
        <v>622</v>
      </c>
    </row>
    <row r="381" spans="1:17" x14ac:dyDescent="0.25">
      <c r="A381" s="1">
        <v>2018</v>
      </c>
      <c r="B381" s="1">
        <v>5</v>
      </c>
      <c r="C381" s="1" t="s">
        <v>63</v>
      </c>
      <c r="D381" s="1" t="s">
        <v>22</v>
      </c>
      <c r="E381" s="1" t="s">
        <v>23</v>
      </c>
      <c r="F381" s="1" t="s">
        <v>345</v>
      </c>
      <c r="G381" s="1" t="s">
        <v>346</v>
      </c>
      <c r="H381" s="1" t="s">
        <v>46</v>
      </c>
      <c r="I381" s="1" t="s">
        <v>308</v>
      </c>
      <c r="J381" s="1" t="s">
        <v>32</v>
      </c>
      <c r="K381" s="1" t="s">
        <v>309</v>
      </c>
      <c r="L381" s="1" t="s">
        <v>91</v>
      </c>
      <c r="M381" s="1">
        <v>20873.9204545455</v>
      </c>
      <c r="N381" s="2">
        <f>M381/ActivityCenter!$L$18</f>
        <v>420.00000000051307</v>
      </c>
      <c r="Q381" s="1" t="s">
        <v>622</v>
      </c>
    </row>
    <row r="382" spans="1:17" x14ac:dyDescent="0.25">
      <c r="A382" s="1">
        <v>2018</v>
      </c>
      <c r="B382" s="1">
        <v>5</v>
      </c>
      <c r="C382" s="1" t="s">
        <v>63</v>
      </c>
      <c r="D382" s="1" t="s">
        <v>22</v>
      </c>
      <c r="E382" s="1" t="s">
        <v>23</v>
      </c>
      <c r="F382" s="1" t="s">
        <v>345</v>
      </c>
      <c r="G382" s="1" t="s">
        <v>346</v>
      </c>
      <c r="H382" s="1" t="s">
        <v>46</v>
      </c>
      <c r="I382" s="1" t="s">
        <v>308</v>
      </c>
      <c r="J382" s="1" t="s">
        <v>32</v>
      </c>
      <c r="K382" s="1" t="s">
        <v>309</v>
      </c>
      <c r="L382" s="1" t="s">
        <v>90</v>
      </c>
      <c r="M382" s="1">
        <v>397.59848484849999</v>
      </c>
      <c r="N382" s="2">
        <f>M382/ActivityCenter!$L$18</f>
        <v>8.0000000000100595</v>
      </c>
      <c r="Q382" s="1" t="s">
        <v>622</v>
      </c>
    </row>
    <row r="383" spans="1:17" x14ac:dyDescent="0.25">
      <c r="A383" s="1">
        <v>2018</v>
      </c>
      <c r="B383" s="1">
        <v>5</v>
      </c>
      <c r="C383" s="1" t="s">
        <v>63</v>
      </c>
      <c r="D383" s="1" t="s">
        <v>22</v>
      </c>
      <c r="E383" s="1" t="s">
        <v>23</v>
      </c>
      <c r="F383" s="1" t="s">
        <v>345</v>
      </c>
      <c r="G383" s="1" t="s">
        <v>346</v>
      </c>
      <c r="H383" s="1" t="s">
        <v>46</v>
      </c>
      <c r="I383" s="1" t="s">
        <v>308</v>
      </c>
      <c r="J383" s="1" t="s">
        <v>32</v>
      </c>
      <c r="K383" s="1" t="s">
        <v>309</v>
      </c>
      <c r="L383" s="1" t="s">
        <v>99</v>
      </c>
      <c r="M383" s="1">
        <v>23855.909090909099</v>
      </c>
      <c r="N383" s="2">
        <f>M383/ActivityCenter!$L$18</f>
        <v>480.00000000058549</v>
      </c>
      <c r="Q383" s="1" t="s">
        <v>622</v>
      </c>
    </row>
    <row r="384" spans="1:17" x14ac:dyDescent="0.25">
      <c r="A384" s="1">
        <v>2018</v>
      </c>
      <c r="B384" s="1">
        <v>5</v>
      </c>
      <c r="C384" s="1" t="s">
        <v>63</v>
      </c>
      <c r="D384" s="1" t="s">
        <v>22</v>
      </c>
      <c r="E384" s="1" t="s">
        <v>23</v>
      </c>
      <c r="F384" s="1" t="s">
        <v>347</v>
      </c>
      <c r="G384" s="1" t="s">
        <v>348</v>
      </c>
      <c r="H384" s="1" t="s">
        <v>46</v>
      </c>
      <c r="I384" s="1" t="s">
        <v>308</v>
      </c>
      <c r="J384" s="1" t="s">
        <v>32</v>
      </c>
      <c r="K384" s="1" t="s">
        <v>309</v>
      </c>
      <c r="L384" s="1" t="s">
        <v>86</v>
      </c>
      <c r="M384" s="1">
        <v>0</v>
      </c>
      <c r="N384" s="2">
        <f>M384/ActivityCenter!$L$18</f>
        <v>0</v>
      </c>
      <c r="Q384" s="1" t="s">
        <v>622</v>
      </c>
    </row>
    <row r="385" spans="1:17" x14ac:dyDescent="0.25">
      <c r="A385" s="1">
        <v>2018</v>
      </c>
      <c r="B385" s="1">
        <v>5</v>
      </c>
      <c r="C385" s="1" t="s">
        <v>63</v>
      </c>
      <c r="D385" s="1" t="s">
        <v>22</v>
      </c>
      <c r="E385" s="1" t="s">
        <v>23</v>
      </c>
      <c r="F385" s="1" t="s">
        <v>349</v>
      </c>
      <c r="G385" s="1" t="s">
        <v>350</v>
      </c>
      <c r="H385" s="1" t="s">
        <v>46</v>
      </c>
      <c r="I385" s="1" t="s">
        <v>308</v>
      </c>
      <c r="J385" s="1" t="s">
        <v>32</v>
      </c>
      <c r="K385" s="1" t="s">
        <v>309</v>
      </c>
      <c r="L385" s="1" t="s">
        <v>86</v>
      </c>
      <c r="M385" s="1">
        <v>0</v>
      </c>
      <c r="N385" s="2">
        <f>M385/ActivityCenter!$L$18</f>
        <v>0</v>
      </c>
      <c r="Q385" s="1" t="s">
        <v>622</v>
      </c>
    </row>
    <row r="386" spans="1:17" x14ac:dyDescent="0.25">
      <c r="A386" s="1">
        <v>2018</v>
      </c>
      <c r="B386" s="1">
        <v>5</v>
      </c>
      <c r="C386" s="1" t="s">
        <v>63</v>
      </c>
      <c r="D386" s="1" t="s">
        <v>22</v>
      </c>
      <c r="E386" s="1" t="s">
        <v>23</v>
      </c>
      <c r="F386" s="1" t="s">
        <v>351</v>
      </c>
      <c r="G386" s="1" t="s">
        <v>352</v>
      </c>
      <c r="H386" s="1" t="s">
        <v>46</v>
      </c>
      <c r="I386" s="1" t="s">
        <v>308</v>
      </c>
      <c r="J386" s="1" t="s">
        <v>32</v>
      </c>
      <c r="K386" s="1" t="s">
        <v>309</v>
      </c>
      <c r="L386" s="1" t="s">
        <v>78</v>
      </c>
      <c r="M386" s="1">
        <v>0</v>
      </c>
      <c r="N386" s="2">
        <f>M386/ActivityCenter!$L$18</f>
        <v>0</v>
      </c>
      <c r="Q386" s="1" t="s">
        <v>622</v>
      </c>
    </row>
    <row r="387" spans="1:17" x14ac:dyDescent="0.25">
      <c r="A387" s="1">
        <v>2018</v>
      </c>
      <c r="B387" s="1">
        <v>5</v>
      </c>
      <c r="C387" s="1" t="s">
        <v>63</v>
      </c>
      <c r="D387" s="1" t="s">
        <v>22</v>
      </c>
      <c r="E387" s="1" t="s">
        <v>23</v>
      </c>
      <c r="F387" s="1" t="s">
        <v>351</v>
      </c>
      <c r="G387" s="1" t="s">
        <v>352</v>
      </c>
      <c r="H387" s="1" t="s">
        <v>46</v>
      </c>
      <c r="I387" s="1" t="s">
        <v>308</v>
      </c>
      <c r="J387" s="1" t="s">
        <v>32</v>
      </c>
      <c r="K387" s="1" t="s">
        <v>309</v>
      </c>
      <c r="L387" s="1" t="s">
        <v>82</v>
      </c>
      <c r="M387" s="1">
        <v>0</v>
      </c>
      <c r="N387" s="2">
        <f>M387/ActivityCenter!$L$18</f>
        <v>0</v>
      </c>
      <c r="Q387" s="1" t="s">
        <v>622</v>
      </c>
    </row>
    <row r="388" spans="1:17" x14ac:dyDescent="0.25">
      <c r="A388" s="1">
        <v>2018</v>
      </c>
      <c r="B388" s="1">
        <v>5</v>
      </c>
      <c r="C388" s="1" t="s">
        <v>63</v>
      </c>
      <c r="D388" s="1" t="s">
        <v>22</v>
      </c>
      <c r="E388" s="1" t="s">
        <v>23</v>
      </c>
      <c r="F388" s="1" t="s">
        <v>353</v>
      </c>
      <c r="G388" s="1" t="s">
        <v>354</v>
      </c>
      <c r="H388" s="1" t="s">
        <v>46</v>
      </c>
      <c r="I388" s="1" t="s">
        <v>308</v>
      </c>
      <c r="J388" s="1" t="s">
        <v>32</v>
      </c>
      <c r="K388" s="1" t="s">
        <v>309</v>
      </c>
      <c r="L388" s="1" t="s">
        <v>86</v>
      </c>
      <c r="M388" s="1">
        <v>0</v>
      </c>
      <c r="N388" s="2">
        <f>M388/ActivityCenter!$L$18</f>
        <v>0</v>
      </c>
      <c r="Q388" s="1" t="s">
        <v>622</v>
      </c>
    </row>
    <row r="389" spans="1:17" x14ac:dyDescent="0.25">
      <c r="A389" s="1">
        <v>2018</v>
      </c>
      <c r="B389" s="1">
        <v>5</v>
      </c>
      <c r="C389" s="1" t="s">
        <v>63</v>
      </c>
      <c r="D389" s="1" t="s">
        <v>22</v>
      </c>
      <c r="E389" s="1" t="s">
        <v>23</v>
      </c>
      <c r="F389" s="1" t="s">
        <v>353</v>
      </c>
      <c r="G389" s="1" t="s">
        <v>354</v>
      </c>
      <c r="H389" s="1" t="s">
        <v>46</v>
      </c>
      <c r="I389" s="1" t="s">
        <v>308</v>
      </c>
      <c r="J389" s="1" t="s">
        <v>32</v>
      </c>
      <c r="K389" s="1" t="s">
        <v>309</v>
      </c>
      <c r="L389" s="1" t="s">
        <v>90</v>
      </c>
      <c r="M389" s="1">
        <v>3926.2850378787998</v>
      </c>
      <c r="N389" s="2">
        <f>M389/ActivityCenter!$L$18</f>
        <v>79.000000000096577</v>
      </c>
      <c r="Q389" s="1" t="s">
        <v>622</v>
      </c>
    </row>
    <row r="390" spans="1:17" x14ac:dyDescent="0.25">
      <c r="A390" s="1">
        <v>2018</v>
      </c>
      <c r="B390" s="1">
        <v>5</v>
      </c>
      <c r="C390" s="1" t="s">
        <v>63</v>
      </c>
      <c r="D390" s="1" t="s">
        <v>22</v>
      </c>
      <c r="E390" s="1" t="s">
        <v>23</v>
      </c>
      <c r="F390" s="1" t="s">
        <v>355</v>
      </c>
      <c r="G390" s="1" t="s">
        <v>356</v>
      </c>
      <c r="H390" s="1" t="s">
        <v>46</v>
      </c>
      <c r="I390" s="1" t="s">
        <v>308</v>
      </c>
      <c r="J390" s="1" t="s">
        <v>32</v>
      </c>
      <c r="K390" s="1" t="s">
        <v>309</v>
      </c>
      <c r="L390" s="1" t="s">
        <v>86</v>
      </c>
      <c r="M390" s="1">
        <v>0</v>
      </c>
      <c r="N390" s="2">
        <f>M390/ActivityCenter!$L$18</f>
        <v>0</v>
      </c>
      <c r="Q390" s="1" t="s">
        <v>622</v>
      </c>
    </row>
    <row r="391" spans="1:17" x14ac:dyDescent="0.25">
      <c r="A391" s="1">
        <v>2018</v>
      </c>
      <c r="B391" s="1">
        <v>5</v>
      </c>
      <c r="C391" s="1" t="s">
        <v>63</v>
      </c>
      <c r="D391" s="1" t="s">
        <v>22</v>
      </c>
      <c r="E391" s="1" t="s">
        <v>23</v>
      </c>
      <c r="F391" s="1" t="s">
        <v>357</v>
      </c>
      <c r="G391" s="1" t="s">
        <v>358</v>
      </c>
      <c r="H391" s="1" t="s">
        <v>46</v>
      </c>
      <c r="I391" s="1" t="s">
        <v>308</v>
      </c>
      <c r="J391" s="1" t="s">
        <v>32</v>
      </c>
      <c r="K391" s="1" t="s">
        <v>309</v>
      </c>
      <c r="L391" s="1" t="s">
        <v>86</v>
      </c>
      <c r="M391" s="1">
        <v>0</v>
      </c>
      <c r="N391" s="2">
        <f>M391/ActivityCenter!$L$18</f>
        <v>0</v>
      </c>
      <c r="Q391" s="1" t="s">
        <v>622</v>
      </c>
    </row>
    <row r="392" spans="1:17" x14ac:dyDescent="0.25">
      <c r="A392" s="1">
        <v>2018</v>
      </c>
      <c r="B392" s="1">
        <v>5</v>
      </c>
      <c r="C392" s="1" t="s">
        <v>63</v>
      </c>
      <c r="D392" s="1" t="s">
        <v>22</v>
      </c>
      <c r="E392" s="1" t="s">
        <v>23</v>
      </c>
      <c r="F392" s="1" t="s">
        <v>485</v>
      </c>
      <c r="G392" s="1" t="s">
        <v>486</v>
      </c>
      <c r="H392" s="1" t="s">
        <v>46</v>
      </c>
      <c r="I392" s="1" t="s">
        <v>308</v>
      </c>
      <c r="J392" s="1" t="s">
        <v>32</v>
      </c>
      <c r="K392" s="1" t="s">
        <v>309</v>
      </c>
      <c r="L392" s="1" t="s">
        <v>86</v>
      </c>
      <c r="M392" s="1">
        <v>0</v>
      </c>
      <c r="N392" s="2">
        <f>M392/ActivityCenter!$L$18</f>
        <v>0</v>
      </c>
      <c r="Q392" s="1" t="s">
        <v>622</v>
      </c>
    </row>
    <row r="393" spans="1:17" x14ac:dyDescent="0.25">
      <c r="A393" s="1">
        <v>2018</v>
      </c>
      <c r="B393" s="1">
        <v>5</v>
      </c>
      <c r="C393" s="1" t="s">
        <v>63</v>
      </c>
      <c r="D393" s="1" t="s">
        <v>22</v>
      </c>
      <c r="E393" s="1" t="s">
        <v>23</v>
      </c>
      <c r="F393" s="1" t="s">
        <v>485</v>
      </c>
      <c r="G393" s="1" t="s">
        <v>486</v>
      </c>
      <c r="H393" s="1" t="s">
        <v>46</v>
      </c>
      <c r="I393" s="1" t="s">
        <v>308</v>
      </c>
      <c r="J393" s="1" t="s">
        <v>32</v>
      </c>
      <c r="K393" s="1" t="s">
        <v>309</v>
      </c>
      <c r="L393" s="1" t="s">
        <v>90</v>
      </c>
      <c r="M393" s="1">
        <v>3429.2869318182002</v>
      </c>
      <c r="N393" s="2">
        <f>M393/ActivityCenter!$L$18</f>
        <v>69.000000000084512</v>
      </c>
      <c r="Q393" s="1" t="s">
        <v>622</v>
      </c>
    </row>
    <row r="394" spans="1:17" x14ac:dyDescent="0.25">
      <c r="A394" s="1">
        <v>2018</v>
      </c>
      <c r="B394" s="1">
        <v>5</v>
      </c>
      <c r="C394" s="1" t="s">
        <v>63</v>
      </c>
      <c r="D394" s="1" t="s">
        <v>22</v>
      </c>
      <c r="E394" s="1" t="s">
        <v>23</v>
      </c>
      <c r="F394" s="1" t="s">
        <v>487</v>
      </c>
      <c r="G394" s="1" t="s">
        <v>488</v>
      </c>
      <c r="H394" s="1" t="s">
        <v>46</v>
      </c>
      <c r="I394" s="1" t="s">
        <v>308</v>
      </c>
      <c r="J394" s="1" t="s">
        <v>32</v>
      </c>
      <c r="K394" s="1" t="s">
        <v>309</v>
      </c>
      <c r="L394" s="1" t="s">
        <v>86</v>
      </c>
      <c r="M394" s="1">
        <v>0</v>
      </c>
      <c r="N394" s="2">
        <f>M394/ActivityCenter!$L$18</f>
        <v>0</v>
      </c>
      <c r="Q394" s="1" t="s">
        <v>622</v>
      </c>
    </row>
    <row r="395" spans="1:17" x14ac:dyDescent="0.25">
      <c r="A395" s="1">
        <v>2018</v>
      </c>
      <c r="B395" s="1">
        <v>5</v>
      </c>
      <c r="C395" s="1" t="s">
        <v>63</v>
      </c>
      <c r="D395" s="1" t="s">
        <v>22</v>
      </c>
      <c r="E395" s="1" t="s">
        <v>23</v>
      </c>
      <c r="F395" s="1" t="s">
        <v>489</v>
      </c>
      <c r="G395" s="1" t="s">
        <v>490</v>
      </c>
      <c r="H395" s="1" t="s">
        <v>46</v>
      </c>
      <c r="I395" s="1" t="s">
        <v>308</v>
      </c>
      <c r="J395" s="1" t="s">
        <v>32</v>
      </c>
      <c r="K395" s="1" t="s">
        <v>309</v>
      </c>
      <c r="L395" s="1" t="s">
        <v>86</v>
      </c>
      <c r="M395" s="1">
        <v>0</v>
      </c>
      <c r="N395" s="2">
        <f>M395/ActivityCenter!$L$18</f>
        <v>0</v>
      </c>
      <c r="Q395" s="1" t="s">
        <v>622</v>
      </c>
    </row>
    <row r="396" spans="1:17" x14ac:dyDescent="0.25">
      <c r="A396" s="1">
        <v>2018</v>
      </c>
      <c r="B396" s="1">
        <v>5</v>
      </c>
      <c r="C396" s="1" t="s">
        <v>63</v>
      </c>
      <c r="D396" s="1" t="s">
        <v>22</v>
      </c>
      <c r="E396" s="1" t="s">
        <v>23</v>
      </c>
      <c r="F396" s="1" t="s">
        <v>491</v>
      </c>
      <c r="G396" s="1" t="s">
        <v>492</v>
      </c>
      <c r="H396" s="1" t="s">
        <v>46</v>
      </c>
      <c r="I396" s="1" t="s">
        <v>308</v>
      </c>
      <c r="J396" s="1" t="s">
        <v>32</v>
      </c>
      <c r="K396" s="1" t="s">
        <v>309</v>
      </c>
      <c r="L396" s="1" t="s">
        <v>86</v>
      </c>
      <c r="M396" s="1">
        <v>0</v>
      </c>
      <c r="N396" s="2">
        <f>M396/ActivityCenter!$L$18</f>
        <v>0</v>
      </c>
      <c r="Q396" s="1" t="s">
        <v>622</v>
      </c>
    </row>
    <row r="397" spans="1:17" x14ac:dyDescent="0.25">
      <c r="A397" s="1">
        <v>2018</v>
      </c>
      <c r="B397" s="1">
        <v>5</v>
      </c>
      <c r="C397" s="1" t="s">
        <v>63</v>
      </c>
      <c r="D397" s="1" t="s">
        <v>22</v>
      </c>
      <c r="E397" s="1" t="s">
        <v>23</v>
      </c>
      <c r="F397" s="1" t="s">
        <v>493</v>
      </c>
      <c r="G397" s="1" t="s">
        <v>494</v>
      </c>
      <c r="H397" s="1" t="s">
        <v>46</v>
      </c>
      <c r="I397" s="1" t="s">
        <v>308</v>
      </c>
      <c r="J397" s="1" t="s">
        <v>32</v>
      </c>
      <c r="K397" s="1" t="s">
        <v>309</v>
      </c>
      <c r="L397" s="1" t="s">
        <v>86</v>
      </c>
      <c r="M397" s="1">
        <v>0</v>
      </c>
      <c r="N397" s="2">
        <f>M397/ActivityCenter!$L$18</f>
        <v>0</v>
      </c>
      <c r="Q397" s="1" t="s">
        <v>622</v>
      </c>
    </row>
    <row r="398" spans="1:17" x14ac:dyDescent="0.25">
      <c r="A398" s="1">
        <v>2018</v>
      </c>
      <c r="B398" s="1">
        <v>5</v>
      </c>
      <c r="C398" s="1" t="s">
        <v>63</v>
      </c>
      <c r="D398" s="1" t="s">
        <v>22</v>
      </c>
      <c r="E398" s="1" t="s">
        <v>23</v>
      </c>
      <c r="F398" s="1" t="s">
        <v>493</v>
      </c>
      <c r="G398" s="1" t="s">
        <v>494</v>
      </c>
      <c r="H398" s="1" t="s">
        <v>46</v>
      </c>
      <c r="I398" s="1" t="s">
        <v>308</v>
      </c>
      <c r="J398" s="1" t="s">
        <v>32</v>
      </c>
      <c r="K398" s="1" t="s">
        <v>309</v>
      </c>
      <c r="L398" s="1" t="s">
        <v>90</v>
      </c>
      <c r="M398" s="1">
        <v>5665.7784090908999</v>
      </c>
      <c r="N398" s="2">
        <f>M398/ActivityCenter!$L$18</f>
        <v>114.00000000013883</v>
      </c>
      <c r="Q398" s="1" t="s">
        <v>622</v>
      </c>
    </row>
    <row r="399" spans="1:17" x14ac:dyDescent="0.25">
      <c r="A399" s="1">
        <v>2018</v>
      </c>
      <c r="B399" s="1">
        <v>5</v>
      </c>
      <c r="C399" s="1" t="s">
        <v>63</v>
      </c>
      <c r="D399" s="1" t="s">
        <v>22</v>
      </c>
      <c r="E399" s="1" t="s">
        <v>23</v>
      </c>
      <c r="F399" s="1" t="s">
        <v>495</v>
      </c>
      <c r="G399" s="1" t="s">
        <v>496</v>
      </c>
      <c r="H399" s="1" t="s">
        <v>46</v>
      </c>
      <c r="I399" s="1" t="s">
        <v>308</v>
      </c>
      <c r="J399" s="1" t="s">
        <v>32</v>
      </c>
      <c r="K399" s="1" t="s">
        <v>309</v>
      </c>
      <c r="L399" s="1" t="s">
        <v>86</v>
      </c>
      <c r="M399" s="1">
        <v>0</v>
      </c>
      <c r="N399" s="2">
        <f>M399/ActivityCenter!$L$18</f>
        <v>0</v>
      </c>
      <c r="Q399" s="1" t="s">
        <v>622</v>
      </c>
    </row>
    <row r="400" spans="1:17" x14ac:dyDescent="0.25">
      <c r="A400" s="1">
        <v>2018</v>
      </c>
      <c r="B400" s="1">
        <v>5</v>
      </c>
      <c r="C400" s="1" t="s">
        <v>63</v>
      </c>
      <c r="D400" s="1" t="s">
        <v>22</v>
      </c>
      <c r="E400" s="1" t="s">
        <v>23</v>
      </c>
      <c r="F400" s="1" t="s">
        <v>497</v>
      </c>
      <c r="G400" s="1" t="s">
        <v>498</v>
      </c>
      <c r="H400" s="1" t="s">
        <v>46</v>
      </c>
      <c r="I400" s="1" t="s">
        <v>308</v>
      </c>
      <c r="J400" s="1" t="s">
        <v>32</v>
      </c>
      <c r="K400" s="1" t="s">
        <v>309</v>
      </c>
      <c r="L400" s="1" t="s">
        <v>86</v>
      </c>
      <c r="M400" s="1">
        <v>0</v>
      </c>
      <c r="N400" s="2">
        <f>M400/ActivityCenter!$L$18</f>
        <v>0</v>
      </c>
      <c r="Q400" s="1" t="s">
        <v>622</v>
      </c>
    </row>
    <row r="401" spans="1:17" x14ac:dyDescent="0.25">
      <c r="A401" s="1">
        <v>2018</v>
      </c>
      <c r="B401" s="1">
        <v>5</v>
      </c>
      <c r="C401" s="1" t="s">
        <v>63</v>
      </c>
      <c r="D401" s="1" t="s">
        <v>22</v>
      </c>
      <c r="E401" s="1" t="s">
        <v>23</v>
      </c>
      <c r="F401" s="1" t="s">
        <v>499</v>
      </c>
      <c r="G401" s="1" t="s">
        <v>500</v>
      </c>
      <c r="H401" s="1" t="s">
        <v>46</v>
      </c>
      <c r="I401" s="1" t="s">
        <v>308</v>
      </c>
      <c r="J401" s="1" t="s">
        <v>32</v>
      </c>
      <c r="K401" s="1" t="s">
        <v>309</v>
      </c>
      <c r="L401" s="1" t="s">
        <v>86</v>
      </c>
      <c r="M401" s="1">
        <v>0</v>
      </c>
      <c r="N401" s="2">
        <f>M401/ActivityCenter!$L$18</f>
        <v>0</v>
      </c>
      <c r="Q401" s="1" t="s">
        <v>622</v>
      </c>
    </row>
    <row r="402" spans="1:17" x14ac:dyDescent="0.25">
      <c r="A402" s="1">
        <v>2018</v>
      </c>
      <c r="B402" s="1">
        <v>5</v>
      </c>
      <c r="C402" s="1" t="s">
        <v>63</v>
      </c>
      <c r="D402" s="1" t="s">
        <v>22</v>
      </c>
      <c r="E402" s="1" t="s">
        <v>23</v>
      </c>
      <c r="F402" s="1" t="s">
        <v>501</v>
      </c>
      <c r="G402" s="1" t="s">
        <v>502</v>
      </c>
      <c r="H402" s="1" t="s">
        <v>46</v>
      </c>
      <c r="I402" s="1" t="s">
        <v>308</v>
      </c>
      <c r="J402" s="1" t="s">
        <v>32</v>
      </c>
      <c r="K402" s="1" t="s">
        <v>309</v>
      </c>
      <c r="L402" s="1" t="s">
        <v>86</v>
      </c>
      <c r="M402" s="1">
        <v>0</v>
      </c>
      <c r="N402" s="2">
        <f>M402/ActivityCenter!$L$18</f>
        <v>0</v>
      </c>
      <c r="Q402" s="1" t="s">
        <v>622</v>
      </c>
    </row>
    <row r="403" spans="1:17" x14ac:dyDescent="0.25">
      <c r="A403" s="1">
        <v>2018</v>
      </c>
      <c r="B403" s="1">
        <v>5</v>
      </c>
      <c r="C403" s="1" t="s">
        <v>63</v>
      </c>
      <c r="D403" s="1" t="s">
        <v>22</v>
      </c>
      <c r="E403" s="1" t="s">
        <v>23</v>
      </c>
      <c r="F403" s="1" t="s">
        <v>501</v>
      </c>
      <c r="G403" s="1" t="s">
        <v>502</v>
      </c>
      <c r="H403" s="1" t="s">
        <v>46</v>
      </c>
      <c r="I403" s="1" t="s">
        <v>308</v>
      </c>
      <c r="J403" s="1" t="s">
        <v>32</v>
      </c>
      <c r="K403" s="1" t="s">
        <v>309</v>
      </c>
      <c r="L403" s="1" t="s">
        <v>90</v>
      </c>
      <c r="M403" s="1">
        <v>15705.140151515099</v>
      </c>
      <c r="N403" s="2">
        <f>M403/ActivityCenter!$L$18</f>
        <v>316.00000000038432</v>
      </c>
      <c r="Q403" s="1" t="s">
        <v>622</v>
      </c>
    </row>
    <row r="404" spans="1:17" x14ac:dyDescent="0.25">
      <c r="A404" s="1">
        <v>2018</v>
      </c>
      <c r="B404" s="1">
        <v>5</v>
      </c>
      <c r="C404" s="1" t="s">
        <v>63</v>
      </c>
      <c r="D404" s="1" t="s">
        <v>22</v>
      </c>
      <c r="E404" s="1" t="s">
        <v>23</v>
      </c>
      <c r="F404" s="1" t="s">
        <v>503</v>
      </c>
      <c r="G404" s="1" t="s">
        <v>504</v>
      </c>
      <c r="H404" s="1" t="s">
        <v>46</v>
      </c>
      <c r="I404" s="1" t="s">
        <v>308</v>
      </c>
      <c r="J404" s="1" t="s">
        <v>32</v>
      </c>
      <c r="K404" s="1" t="s">
        <v>309</v>
      </c>
      <c r="L404" s="1" t="s">
        <v>90</v>
      </c>
      <c r="M404" s="1">
        <v>23458.310606060601</v>
      </c>
      <c r="N404" s="2">
        <f>M404/ActivityCenter!$L$18</f>
        <v>472.00000000057548</v>
      </c>
      <c r="Q404" s="1" t="s">
        <v>622</v>
      </c>
    </row>
    <row r="405" spans="1:17" x14ac:dyDescent="0.25">
      <c r="A405" s="1">
        <v>2018</v>
      </c>
      <c r="B405" s="1">
        <v>5</v>
      </c>
      <c r="C405" s="1" t="s">
        <v>63</v>
      </c>
      <c r="D405" s="1" t="s">
        <v>22</v>
      </c>
      <c r="E405" s="1" t="s">
        <v>23</v>
      </c>
      <c r="F405" s="1" t="s">
        <v>503</v>
      </c>
      <c r="G405" s="1" t="s">
        <v>504</v>
      </c>
      <c r="H405" s="1" t="s">
        <v>46</v>
      </c>
      <c r="I405" s="1" t="s">
        <v>308</v>
      </c>
      <c r="J405" s="1" t="s">
        <v>32</v>
      </c>
      <c r="K405" s="1" t="s">
        <v>309</v>
      </c>
      <c r="L405" s="1" t="s">
        <v>104</v>
      </c>
      <c r="M405" s="1">
        <v>0</v>
      </c>
      <c r="N405" s="2">
        <f>M405/ActivityCenter!$L$18</f>
        <v>0</v>
      </c>
      <c r="Q405" s="1" t="s">
        <v>622</v>
      </c>
    </row>
    <row r="406" spans="1:17" x14ac:dyDescent="0.25">
      <c r="A406" s="1">
        <v>2018</v>
      </c>
      <c r="B406" s="1">
        <v>5</v>
      </c>
      <c r="C406" s="1" t="s">
        <v>63</v>
      </c>
      <c r="D406" s="1" t="s">
        <v>22</v>
      </c>
      <c r="E406" s="1" t="s">
        <v>23</v>
      </c>
      <c r="F406" s="1" t="s">
        <v>505</v>
      </c>
      <c r="G406" s="1" t="s">
        <v>506</v>
      </c>
      <c r="H406" s="1" t="s">
        <v>46</v>
      </c>
      <c r="I406" s="1" t="s">
        <v>308</v>
      </c>
      <c r="J406" s="1" t="s">
        <v>32</v>
      </c>
      <c r="K406" s="1" t="s">
        <v>309</v>
      </c>
      <c r="L406" s="1" t="s">
        <v>86</v>
      </c>
      <c r="M406" s="1">
        <v>0</v>
      </c>
      <c r="N406" s="2">
        <f>M406/ActivityCenter!$L$18</f>
        <v>0</v>
      </c>
      <c r="Q406" s="1" t="s">
        <v>622</v>
      </c>
    </row>
    <row r="407" spans="1:17" x14ac:dyDescent="0.25">
      <c r="A407" s="1">
        <v>2018</v>
      </c>
      <c r="B407" s="1">
        <v>5</v>
      </c>
      <c r="C407" s="1" t="s">
        <v>63</v>
      </c>
      <c r="D407" s="1" t="s">
        <v>22</v>
      </c>
      <c r="E407" s="1" t="s">
        <v>23</v>
      </c>
      <c r="F407" s="1" t="s">
        <v>507</v>
      </c>
      <c r="G407" s="1" t="s">
        <v>508</v>
      </c>
      <c r="H407" s="1" t="s">
        <v>46</v>
      </c>
      <c r="I407" s="1" t="s">
        <v>308</v>
      </c>
      <c r="J407" s="1" t="s">
        <v>32</v>
      </c>
      <c r="K407" s="1" t="s">
        <v>309</v>
      </c>
      <c r="L407" s="1" t="s">
        <v>86</v>
      </c>
      <c r="M407" s="1">
        <v>0</v>
      </c>
      <c r="N407" s="2">
        <f>M407/ActivityCenter!$L$18</f>
        <v>0</v>
      </c>
      <c r="Q407" s="1" t="s">
        <v>622</v>
      </c>
    </row>
    <row r="408" spans="1:17" x14ac:dyDescent="0.25">
      <c r="A408" s="1">
        <v>2018</v>
      </c>
      <c r="B408" s="1">
        <v>5</v>
      </c>
      <c r="C408" s="1" t="s">
        <v>63</v>
      </c>
      <c r="D408" s="1" t="s">
        <v>22</v>
      </c>
      <c r="E408" s="1" t="s">
        <v>23</v>
      </c>
      <c r="F408" s="1" t="s">
        <v>509</v>
      </c>
      <c r="G408" s="1" t="s">
        <v>510</v>
      </c>
      <c r="H408" s="1" t="s">
        <v>46</v>
      </c>
      <c r="I408" s="1" t="s">
        <v>308</v>
      </c>
      <c r="J408" s="1" t="s">
        <v>32</v>
      </c>
      <c r="K408" s="1" t="s">
        <v>309</v>
      </c>
      <c r="L408" s="1" t="s">
        <v>86</v>
      </c>
      <c r="M408" s="1">
        <v>7703.4706439394004</v>
      </c>
      <c r="N408" s="2">
        <f>M408/ActivityCenter!$L$18</f>
        <v>155.00000000018915</v>
      </c>
      <c r="Q408" s="1" t="s">
        <v>622</v>
      </c>
    </row>
    <row r="409" spans="1:17" x14ac:dyDescent="0.25">
      <c r="A409" s="1">
        <v>2018</v>
      </c>
      <c r="B409" s="1">
        <v>5</v>
      </c>
      <c r="C409" s="1" t="s">
        <v>63</v>
      </c>
      <c r="D409" s="1" t="s">
        <v>22</v>
      </c>
      <c r="E409" s="1" t="s">
        <v>23</v>
      </c>
      <c r="F409" s="1" t="s">
        <v>359</v>
      </c>
      <c r="G409" s="1" t="s">
        <v>360</v>
      </c>
      <c r="H409" s="1" t="s">
        <v>46</v>
      </c>
      <c r="I409" s="1" t="s">
        <v>308</v>
      </c>
      <c r="J409" s="1" t="s">
        <v>32</v>
      </c>
      <c r="K409" s="1" t="s">
        <v>309</v>
      </c>
      <c r="L409" s="1" t="s">
        <v>86</v>
      </c>
      <c r="M409" s="1">
        <v>0</v>
      </c>
      <c r="N409" s="2">
        <f>M409/ActivityCenter!$L$18</f>
        <v>0</v>
      </c>
      <c r="Q409" s="1" t="s">
        <v>622</v>
      </c>
    </row>
    <row r="410" spans="1:17" x14ac:dyDescent="0.25">
      <c r="A410" s="1">
        <v>2018</v>
      </c>
      <c r="B410" s="1">
        <v>5</v>
      </c>
      <c r="C410" s="1" t="s">
        <v>63</v>
      </c>
      <c r="D410" s="1" t="s">
        <v>22</v>
      </c>
      <c r="E410" s="1" t="s">
        <v>23</v>
      </c>
      <c r="F410" s="1" t="s">
        <v>359</v>
      </c>
      <c r="G410" s="1" t="s">
        <v>360</v>
      </c>
      <c r="H410" s="1" t="s">
        <v>46</v>
      </c>
      <c r="I410" s="1" t="s">
        <v>308</v>
      </c>
      <c r="J410" s="1" t="s">
        <v>32</v>
      </c>
      <c r="K410" s="1" t="s">
        <v>309</v>
      </c>
      <c r="L410" s="1" t="s">
        <v>90</v>
      </c>
      <c r="M410" s="1">
        <v>0</v>
      </c>
      <c r="N410" s="2">
        <f>M410/ActivityCenter!$L$18</f>
        <v>0</v>
      </c>
      <c r="Q410" s="1" t="s">
        <v>622</v>
      </c>
    </row>
    <row r="411" spans="1:17" x14ac:dyDescent="0.25">
      <c r="A411" s="1">
        <v>2018</v>
      </c>
      <c r="B411" s="1">
        <v>5</v>
      </c>
      <c r="C411" s="1" t="s">
        <v>63</v>
      </c>
      <c r="D411" s="1" t="s">
        <v>22</v>
      </c>
      <c r="E411" s="1" t="s">
        <v>23</v>
      </c>
      <c r="F411" s="1" t="s">
        <v>361</v>
      </c>
      <c r="G411" s="1" t="s">
        <v>362</v>
      </c>
      <c r="H411" s="1" t="s">
        <v>46</v>
      </c>
      <c r="I411" s="1" t="s">
        <v>308</v>
      </c>
      <c r="J411" s="1" t="s">
        <v>32</v>
      </c>
      <c r="K411" s="1" t="s">
        <v>309</v>
      </c>
      <c r="L411" s="1" t="s">
        <v>86</v>
      </c>
      <c r="M411" s="1">
        <v>0</v>
      </c>
      <c r="N411" s="2">
        <f>M411/ActivityCenter!$L$18</f>
        <v>0</v>
      </c>
      <c r="Q411" s="1" t="s">
        <v>622</v>
      </c>
    </row>
    <row r="412" spans="1:17" x14ac:dyDescent="0.25">
      <c r="A412" s="1">
        <v>2018</v>
      </c>
      <c r="B412" s="1">
        <v>5</v>
      </c>
      <c r="C412" s="1" t="s">
        <v>63</v>
      </c>
      <c r="D412" s="1" t="s">
        <v>22</v>
      </c>
      <c r="E412" s="1" t="s">
        <v>23</v>
      </c>
      <c r="F412" s="1" t="s">
        <v>363</v>
      </c>
      <c r="G412" s="1" t="s">
        <v>364</v>
      </c>
      <c r="H412" s="1" t="s">
        <v>46</v>
      </c>
      <c r="I412" s="1" t="s">
        <v>308</v>
      </c>
      <c r="J412" s="1" t="s">
        <v>32</v>
      </c>
      <c r="K412" s="1" t="s">
        <v>309</v>
      </c>
      <c r="L412" s="1" t="s">
        <v>93</v>
      </c>
      <c r="M412" s="1">
        <v>0</v>
      </c>
      <c r="N412" s="2">
        <f>M412/ActivityCenter!$L$18</f>
        <v>0</v>
      </c>
      <c r="Q412" s="1" t="s">
        <v>622</v>
      </c>
    </row>
    <row r="413" spans="1:17" x14ac:dyDescent="0.25">
      <c r="A413" s="1">
        <v>2018</v>
      </c>
      <c r="B413" s="1">
        <v>5</v>
      </c>
      <c r="C413" s="1" t="s">
        <v>63</v>
      </c>
      <c r="D413" s="1" t="s">
        <v>22</v>
      </c>
      <c r="E413" s="1" t="s">
        <v>23</v>
      </c>
      <c r="F413" s="1" t="s">
        <v>511</v>
      </c>
      <c r="G413" s="1" t="s">
        <v>512</v>
      </c>
      <c r="H413" s="1" t="s">
        <v>46</v>
      </c>
      <c r="I413" s="1" t="s">
        <v>308</v>
      </c>
      <c r="J413" s="1" t="s">
        <v>32</v>
      </c>
      <c r="K413" s="1" t="s">
        <v>309</v>
      </c>
      <c r="L413" s="1" t="s">
        <v>86</v>
      </c>
      <c r="M413" s="1">
        <v>5168.7803030303003</v>
      </c>
      <c r="N413" s="2">
        <f>M413/ActivityCenter!$L$18</f>
        <v>104.00000000012676</v>
      </c>
      <c r="Q413" s="1" t="s">
        <v>622</v>
      </c>
    </row>
    <row r="414" spans="1:17" x14ac:dyDescent="0.25">
      <c r="A414" s="1">
        <v>2018</v>
      </c>
      <c r="B414" s="1">
        <v>5</v>
      </c>
      <c r="C414" s="1" t="s">
        <v>63</v>
      </c>
      <c r="D414" s="1" t="s">
        <v>22</v>
      </c>
      <c r="E414" s="1" t="s">
        <v>23</v>
      </c>
      <c r="F414" s="1" t="s">
        <v>479</v>
      </c>
      <c r="G414" s="1" t="s">
        <v>480</v>
      </c>
      <c r="H414" s="1" t="s">
        <v>46</v>
      </c>
      <c r="I414" s="1" t="s">
        <v>308</v>
      </c>
      <c r="J414" s="1" t="s">
        <v>32</v>
      </c>
      <c r="K414" s="1" t="s">
        <v>309</v>
      </c>
      <c r="L414" s="1" t="s">
        <v>86</v>
      </c>
      <c r="M414" s="1">
        <v>0</v>
      </c>
      <c r="N414" s="2">
        <f>M414/ActivityCenter!$L$18</f>
        <v>0</v>
      </c>
      <c r="Q414" s="1" t="s">
        <v>601</v>
      </c>
    </row>
    <row r="415" spans="1:17" x14ac:dyDescent="0.25">
      <c r="A415" s="1">
        <v>2018</v>
      </c>
      <c r="B415" s="1">
        <v>5</v>
      </c>
      <c r="C415" s="1" t="s">
        <v>63</v>
      </c>
      <c r="D415" s="1" t="s">
        <v>22</v>
      </c>
      <c r="E415" s="1" t="s">
        <v>23</v>
      </c>
      <c r="F415" s="1" t="s">
        <v>513</v>
      </c>
      <c r="G415" s="1" t="s">
        <v>514</v>
      </c>
      <c r="H415" s="1" t="s">
        <v>46</v>
      </c>
      <c r="I415" s="1" t="s">
        <v>308</v>
      </c>
      <c r="J415" s="1" t="s">
        <v>32</v>
      </c>
      <c r="K415" s="1" t="s">
        <v>309</v>
      </c>
      <c r="L415" s="1" t="s">
        <v>86</v>
      </c>
      <c r="M415" s="1">
        <v>0</v>
      </c>
      <c r="N415" s="2">
        <f>M415/ActivityCenter!$L$18</f>
        <v>0</v>
      </c>
      <c r="Q415" s="1" t="s">
        <v>622</v>
      </c>
    </row>
    <row r="416" spans="1:17" x14ac:dyDescent="0.25">
      <c r="A416" s="1">
        <v>2018</v>
      </c>
      <c r="B416" s="1">
        <v>5</v>
      </c>
      <c r="C416" s="1" t="s">
        <v>63</v>
      </c>
      <c r="D416" s="1" t="s">
        <v>22</v>
      </c>
      <c r="E416" s="1" t="s">
        <v>23</v>
      </c>
      <c r="F416" s="1" t="s">
        <v>513</v>
      </c>
      <c r="G416" s="1" t="s">
        <v>514</v>
      </c>
      <c r="H416" s="1" t="s">
        <v>46</v>
      </c>
      <c r="I416" s="1" t="s">
        <v>308</v>
      </c>
      <c r="J416" s="1" t="s">
        <v>32</v>
      </c>
      <c r="K416" s="1" t="s">
        <v>309</v>
      </c>
      <c r="L416" s="1" t="s">
        <v>93</v>
      </c>
      <c r="M416" s="1">
        <v>844.89678030300001</v>
      </c>
      <c r="N416" s="2">
        <f>M416/ActivityCenter!$L$18</f>
        <v>17.000000000020123</v>
      </c>
      <c r="Q416" s="1" t="s">
        <v>622</v>
      </c>
    </row>
    <row r="417" spans="1:17" x14ac:dyDescent="0.25">
      <c r="A417" s="1">
        <v>2018</v>
      </c>
      <c r="B417" s="1">
        <v>5</v>
      </c>
      <c r="C417" s="1" t="s">
        <v>63</v>
      </c>
      <c r="D417" s="1" t="s">
        <v>22</v>
      </c>
      <c r="E417" s="1" t="s">
        <v>23</v>
      </c>
      <c r="F417" s="1" t="s">
        <v>365</v>
      </c>
      <c r="G417" s="1" t="s">
        <v>366</v>
      </c>
      <c r="H417" s="1" t="s">
        <v>46</v>
      </c>
      <c r="I417" s="1" t="s">
        <v>308</v>
      </c>
      <c r="J417" s="1" t="s">
        <v>32</v>
      </c>
      <c r="K417" s="1" t="s">
        <v>309</v>
      </c>
      <c r="L417" s="1" t="s">
        <v>86</v>
      </c>
      <c r="M417" s="1">
        <v>0</v>
      </c>
      <c r="N417" s="2">
        <f>M417/ActivityCenter!$L$18</f>
        <v>0</v>
      </c>
      <c r="Q417" s="1" t="s">
        <v>622</v>
      </c>
    </row>
    <row r="418" spans="1:17" x14ac:dyDescent="0.25">
      <c r="A418" s="1">
        <v>2018</v>
      </c>
      <c r="B418" s="1">
        <v>5</v>
      </c>
      <c r="C418" s="1" t="s">
        <v>63</v>
      </c>
      <c r="D418" s="1" t="s">
        <v>22</v>
      </c>
      <c r="E418" s="1" t="s">
        <v>23</v>
      </c>
      <c r="F418" s="1" t="s">
        <v>473</v>
      </c>
      <c r="G418" s="1" t="s">
        <v>474</v>
      </c>
      <c r="H418" s="1" t="s">
        <v>46</v>
      </c>
      <c r="I418" s="1" t="s">
        <v>308</v>
      </c>
      <c r="J418" s="1" t="s">
        <v>32</v>
      </c>
      <c r="K418" s="1" t="s">
        <v>309</v>
      </c>
      <c r="L418" s="1" t="s">
        <v>78</v>
      </c>
      <c r="M418" s="1">
        <v>7852.5700757575996</v>
      </c>
      <c r="N418" s="2">
        <f>M418/ActivityCenter!$L$18</f>
        <v>158.00000000019315</v>
      </c>
      <c r="Q418" s="1" t="s">
        <v>622</v>
      </c>
    </row>
    <row r="419" spans="1:17" x14ac:dyDescent="0.25">
      <c r="A419" s="1">
        <v>2018</v>
      </c>
      <c r="B419" s="1">
        <v>5</v>
      </c>
      <c r="C419" s="1" t="s">
        <v>63</v>
      </c>
      <c r="D419" s="1" t="s">
        <v>22</v>
      </c>
      <c r="E419" s="1" t="s">
        <v>23</v>
      </c>
      <c r="F419" s="1" t="s">
        <v>473</v>
      </c>
      <c r="G419" s="1" t="s">
        <v>474</v>
      </c>
      <c r="H419" s="1" t="s">
        <v>46</v>
      </c>
      <c r="I419" s="1" t="s">
        <v>308</v>
      </c>
      <c r="J419" s="1" t="s">
        <v>32</v>
      </c>
      <c r="K419" s="1" t="s">
        <v>309</v>
      </c>
      <c r="L419" s="1" t="s">
        <v>90</v>
      </c>
      <c r="M419" s="1">
        <v>0</v>
      </c>
      <c r="N419" s="2">
        <f>M419/ActivityCenter!$L$18</f>
        <v>0</v>
      </c>
      <c r="Q419" s="1" t="s">
        <v>622</v>
      </c>
    </row>
    <row r="420" spans="1:17" x14ac:dyDescent="0.25">
      <c r="A420" s="1">
        <v>2018</v>
      </c>
      <c r="B420" s="1">
        <v>5</v>
      </c>
      <c r="C420" s="1" t="s">
        <v>63</v>
      </c>
      <c r="D420" s="1" t="s">
        <v>22</v>
      </c>
      <c r="E420" s="1" t="s">
        <v>23</v>
      </c>
      <c r="F420" s="1" t="s">
        <v>473</v>
      </c>
      <c r="G420" s="1" t="s">
        <v>474</v>
      </c>
      <c r="H420" s="1" t="s">
        <v>46</v>
      </c>
      <c r="I420" s="1" t="s">
        <v>308</v>
      </c>
      <c r="J420" s="1" t="s">
        <v>32</v>
      </c>
      <c r="K420" s="1" t="s">
        <v>309</v>
      </c>
      <c r="L420" s="1" t="s">
        <v>93</v>
      </c>
      <c r="M420" s="1">
        <v>4671.7821969696997</v>
      </c>
      <c r="N420" s="2">
        <f>M420/ActivityCenter!$L$18</f>
        <v>94.000000000114682</v>
      </c>
      <c r="Q420" s="1" t="s">
        <v>622</v>
      </c>
    </row>
    <row r="421" spans="1:17" x14ac:dyDescent="0.25">
      <c r="A421" s="1">
        <v>2018</v>
      </c>
      <c r="B421" s="1">
        <v>5</v>
      </c>
      <c r="C421" s="1" t="s">
        <v>63</v>
      </c>
      <c r="D421" s="1" t="s">
        <v>22</v>
      </c>
      <c r="E421" s="1" t="s">
        <v>23</v>
      </c>
      <c r="F421" s="1" t="s">
        <v>457</v>
      </c>
      <c r="G421" s="1" t="s">
        <v>458</v>
      </c>
      <c r="H421" s="1" t="s">
        <v>46</v>
      </c>
      <c r="I421" s="1" t="s">
        <v>308</v>
      </c>
      <c r="J421" s="1" t="s">
        <v>32</v>
      </c>
      <c r="K421" s="1" t="s">
        <v>309</v>
      </c>
      <c r="L421" s="1" t="s">
        <v>101</v>
      </c>
      <c r="M421" s="1">
        <v>310126.81818181818</v>
      </c>
      <c r="N421" s="2">
        <f>M421/ActivityCenter!$L$18</f>
        <v>6240.0000000076088</v>
      </c>
      <c r="Q421" s="1" t="s">
        <v>676</v>
      </c>
    </row>
    <row r="422" spans="1:17" x14ac:dyDescent="0.25">
      <c r="A422" s="1">
        <v>2018</v>
      </c>
      <c r="B422" s="1">
        <v>5</v>
      </c>
      <c r="C422" s="1" t="s">
        <v>63</v>
      </c>
      <c r="D422" s="1" t="s">
        <v>22</v>
      </c>
      <c r="E422" s="1" t="s">
        <v>23</v>
      </c>
      <c r="F422" s="1" t="s">
        <v>587</v>
      </c>
      <c r="G422" s="1" t="s">
        <v>588</v>
      </c>
      <c r="H422" s="1" t="s">
        <v>46</v>
      </c>
      <c r="I422" s="1" t="s">
        <v>308</v>
      </c>
      <c r="J422" s="1" t="s">
        <v>32</v>
      </c>
      <c r="K422" s="1" t="s">
        <v>309</v>
      </c>
      <c r="L422" s="1" t="s">
        <v>86</v>
      </c>
      <c r="M422" s="1">
        <v>23855.909090909099</v>
      </c>
      <c r="N422" s="2">
        <f>M422/ActivityCenter!$L$18</f>
        <v>480.00000000058549</v>
      </c>
      <c r="Q422" s="1" t="s">
        <v>957</v>
      </c>
    </row>
    <row r="423" spans="1:17" x14ac:dyDescent="0.25">
      <c r="A423" s="1">
        <v>2018</v>
      </c>
      <c r="B423" s="1">
        <v>5</v>
      </c>
      <c r="C423" s="1" t="s">
        <v>63</v>
      </c>
      <c r="D423" s="1" t="s">
        <v>22</v>
      </c>
      <c r="E423" s="1" t="s">
        <v>23</v>
      </c>
      <c r="F423" s="1" t="s">
        <v>589</v>
      </c>
      <c r="G423" s="1" t="s">
        <v>590</v>
      </c>
      <c r="H423" s="1" t="s">
        <v>46</v>
      </c>
      <c r="I423" s="1" t="s">
        <v>308</v>
      </c>
      <c r="J423" s="1" t="s">
        <v>32</v>
      </c>
      <c r="K423" s="1" t="s">
        <v>309</v>
      </c>
      <c r="L423" s="1" t="s">
        <v>86</v>
      </c>
      <c r="M423" s="1">
        <v>4075.384469697</v>
      </c>
      <c r="N423" s="2">
        <f>M423/ActivityCenter!$L$18</f>
        <v>82.000000000100599</v>
      </c>
      <c r="Q423" s="1" t="s">
        <v>958</v>
      </c>
    </row>
    <row r="424" spans="1:17" x14ac:dyDescent="0.25">
      <c r="A424" s="1">
        <v>2018</v>
      </c>
      <c r="B424" s="1">
        <v>5</v>
      </c>
      <c r="C424" s="1" t="s">
        <v>63</v>
      </c>
      <c r="D424" s="1" t="s">
        <v>22</v>
      </c>
      <c r="E424" s="1" t="s">
        <v>23</v>
      </c>
      <c r="F424" s="1" t="s">
        <v>317</v>
      </c>
      <c r="G424" s="1" t="s">
        <v>318</v>
      </c>
      <c r="H424" s="1" t="s">
        <v>46</v>
      </c>
      <c r="I424" s="1" t="s">
        <v>308</v>
      </c>
      <c r="J424" s="1" t="s">
        <v>34</v>
      </c>
      <c r="K424" s="1" t="s">
        <v>309</v>
      </c>
      <c r="L424" s="1" t="s">
        <v>82</v>
      </c>
      <c r="M424" s="1">
        <v>0</v>
      </c>
      <c r="N424" s="2">
        <f>M424/ActivityCenter!$K$22</f>
        <v>0</v>
      </c>
      <c r="Q424" s="1" t="s">
        <v>601</v>
      </c>
    </row>
    <row r="425" spans="1:17" x14ac:dyDescent="0.25">
      <c r="A425" s="1">
        <v>2018</v>
      </c>
      <c r="B425" s="1">
        <v>5</v>
      </c>
      <c r="C425" s="1" t="s">
        <v>63</v>
      </c>
      <c r="D425" s="1" t="s">
        <v>22</v>
      </c>
      <c r="E425" s="1" t="s">
        <v>23</v>
      </c>
      <c r="F425" s="1" t="s">
        <v>317</v>
      </c>
      <c r="G425" s="1" t="s">
        <v>318</v>
      </c>
      <c r="H425" s="1" t="s">
        <v>46</v>
      </c>
      <c r="I425" s="1" t="s">
        <v>308</v>
      </c>
      <c r="J425" s="1" t="s">
        <v>34</v>
      </c>
      <c r="K425" s="1" t="s">
        <v>309</v>
      </c>
      <c r="L425" s="1" t="s">
        <v>85</v>
      </c>
      <c r="M425" s="1">
        <v>0</v>
      </c>
      <c r="N425" s="2">
        <f>M425/ActivityCenter!$K$22</f>
        <v>0</v>
      </c>
      <c r="Q425" s="1" t="s">
        <v>601</v>
      </c>
    </row>
    <row r="426" spans="1:17" x14ac:dyDescent="0.25">
      <c r="A426" s="1">
        <v>2018</v>
      </c>
      <c r="B426" s="1">
        <v>5</v>
      </c>
      <c r="C426" s="1" t="s">
        <v>63</v>
      </c>
      <c r="D426" s="1" t="s">
        <v>22</v>
      </c>
      <c r="E426" s="1" t="s">
        <v>23</v>
      </c>
      <c r="F426" s="1" t="s">
        <v>479</v>
      </c>
      <c r="G426" s="1" t="s">
        <v>480</v>
      </c>
      <c r="H426" s="1" t="s">
        <v>46</v>
      </c>
      <c r="I426" s="1" t="s">
        <v>308</v>
      </c>
      <c r="J426" s="1" t="s">
        <v>34</v>
      </c>
      <c r="K426" s="1" t="s">
        <v>309</v>
      </c>
      <c r="L426" s="1" t="s">
        <v>86</v>
      </c>
      <c r="M426" s="1">
        <v>0</v>
      </c>
      <c r="N426" s="2">
        <f>M426/ActivityCenter!$K$22</f>
        <v>0</v>
      </c>
      <c r="Q426" s="1" t="s">
        <v>601</v>
      </c>
    </row>
    <row r="427" spans="1:17" x14ac:dyDescent="0.25">
      <c r="A427" s="1">
        <v>2018</v>
      </c>
      <c r="B427" s="1">
        <v>5</v>
      </c>
      <c r="C427" s="1" t="s">
        <v>63</v>
      </c>
      <c r="D427" s="1" t="s">
        <v>22</v>
      </c>
      <c r="E427" s="1" t="s">
        <v>23</v>
      </c>
      <c r="F427" s="1" t="s">
        <v>479</v>
      </c>
      <c r="G427" s="1" t="s">
        <v>480</v>
      </c>
      <c r="H427" s="1" t="s">
        <v>46</v>
      </c>
      <c r="I427" s="1" t="s">
        <v>308</v>
      </c>
      <c r="J427" s="1" t="s">
        <v>34</v>
      </c>
      <c r="K427" s="1" t="s">
        <v>309</v>
      </c>
      <c r="L427" s="1" t="s">
        <v>106</v>
      </c>
      <c r="M427" s="1">
        <v>0</v>
      </c>
      <c r="N427" s="2">
        <f>M427/ActivityCenter!$K$22</f>
        <v>0</v>
      </c>
      <c r="Q427" s="1" t="s">
        <v>601</v>
      </c>
    </row>
    <row r="428" spans="1:17" x14ac:dyDescent="0.25">
      <c r="A428" s="1">
        <v>2018</v>
      </c>
      <c r="B428" s="1">
        <v>5</v>
      </c>
      <c r="C428" s="1" t="s">
        <v>63</v>
      </c>
      <c r="D428" s="1" t="s">
        <v>22</v>
      </c>
      <c r="E428" s="1" t="s">
        <v>23</v>
      </c>
      <c r="F428" s="1" t="s">
        <v>367</v>
      </c>
      <c r="G428" s="1" t="s">
        <v>368</v>
      </c>
      <c r="H428" s="1" t="s">
        <v>46</v>
      </c>
      <c r="I428" s="1" t="s">
        <v>308</v>
      </c>
      <c r="J428" s="1" t="s">
        <v>34</v>
      </c>
      <c r="K428" s="1" t="s">
        <v>309</v>
      </c>
      <c r="L428" s="1" t="s">
        <v>86</v>
      </c>
      <c r="M428" s="1">
        <v>0</v>
      </c>
      <c r="N428" s="2">
        <f>M428/ActivityCenter!$K$22</f>
        <v>0</v>
      </c>
      <c r="Q428" s="1" t="s">
        <v>610</v>
      </c>
    </row>
    <row r="429" spans="1:17" x14ac:dyDescent="0.25">
      <c r="A429" s="1">
        <v>2018</v>
      </c>
      <c r="B429" s="1">
        <v>5</v>
      </c>
      <c r="C429" s="1" t="s">
        <v>63</v>
      </c>
      <c r="D429" s="1" t="s">
        <v>22</v>
      </c>
      <c r="E429" s="1" t="s">
        <v>23</v>
      </c>
      <c r="F429" s="1" t="s">
        <v>475</v>
      </c>
      <c r="G429" s="1" t="s">
        <v>476</v>
      </c>
      <c r="H429" s="1" t="s">
        <v>46</v>
      </c>
      <c r="I429" s="1" t="s">
        <v>308</v>
      </c>
      <c r="J429" s="1" t="s">
        <v>34</v>
      </c>
      <c r="K429" s="1" t="s">
        <v>309</v>
      </c>
      <c r="L429" s="1" t="s">
        <v>85</v>
      </c>
      <c r="M429" s="1">
        <v>1985.4512195121999</v>
      </c>
      <c r="N429" s="2">
        <f>M429/ActivityCenter!$K$22</f>
        <v>240.00000000099121</v>
      </c>
      <c r="Q429" s="1" t="s">
        <v>610</v>
      </c>
    </row>
    <row r="430" spans="1:17" x14ac:dyDescent="0.25">
      <c r="A430" s="1">
        <v>2018</v>
      </c>
      <c r="B430" s="1">
        <v>5</v>
      </c>
      <c r="C430" s="1" t="s">
        <v>63</v>
      </c>
      <c r="D430" s="1" t="s">
        <v>22</v>
      </c>
      <c r="E430" s="1" t="s">
        <v>23</v>
      </c>
      <c r="F430" s="1" t="s">
        <v>369</v>
      </c>
      <c r="G430" s="1" t="s">
        <v>370</v>
      </c>
      <c r="H430" s="1" t="s">
        <v>46</v>
      </c>
      <c r="I430" s="1" t="s">
        <v>308</v>
      </c>
      <c r="J430" s="1" t="s">
        <v>34</v>
      </c>
      <c r="K430" s="1" t="s">
        <v>309</v>
      </c>
      <c r="L430" s="1" t="s">
        <v>84</v>
      </c>
      <c r="M430" s="1">
        <v>0</v>
      </c>
      <c r="N430" s="2">
        <f>M430/ActivityCenter!$K$22</f>
        <v>0</v>
      </c>
      <c r="Q430" s="1" t="s">
        <v>610</v>
      </c>
    </row>
    <row r="431" spans="1:17" x14ac:dyDescent="0.25">
      <c r="A431" s="1">
        <v>2018</v>
      </c>
      <c r="B431" s="1">
        <v>5</v>
      </c>
      <c r="C431" s="1" t="s">
        <v>63</v>
      </c>
      <c r="D431" s="1" t="s">
        <v>22</v>
      </c>
      <c r="E431" s="1" t="s">
        <v>23</v>
      </c>
      <c r="F431" s="1" t="s">
        <v>369</v>
      </c>
      <c r="G431" s="1" t="s">
        <v>370</v>
      </c>
      <c r="H431" s="1" t="s">
        <v>46</v>
      </c>
      <c r="I431" s="1" t="s">
        <v>308</v>
      </c>
      <c r="J431" s="1" t="s">
        <v>34</v>
      </c>
      <c r="K431" s="1" t="s">
        <v>309</v>
      </c>
      <c r="L431" s="1" t="s">
        <v>85</v>
      </c>
      <c r="M431" s="1">
        <v>1985.4512195121999</v>
      </c>
      <c r="N431" s="2">
        <f>M431/ActivityCenter!$K$22</f>
        <v>240.00000000099121</v>
      </c>
      <c r="Q431" s="1" t="s">
        <v>610</v>
      </c>
    </row>
    <row r="432" spans="1:17" x14ac:dyDescent="0.25">
      <c r="A432" s="1">
        <v>2018</v>
      </c>
      <c r="B432" s="1">
        <v>5</v>
      </c>
      <c r="C432" s="1" t="s">
        <v>63</v>
      </c>
      <c r="D432" s="1" t="s">
        <v>22</v>
      </c>
      <c r="E432" s="1" t="s">
        <v>23</v>
      </c>
      <c r="F432" s="1" t="s">
        <v>369</v>
      </c>
      <c r="G432" s="1" t="s">
        <v>370</v>
      </c>
      <c r="H432" s="1" t="s">
        <v>46</v>
      </c>
      <c r="I432" s="1" t="s">
        <v>308</v>
      </c>
      <c r="J432" s="1" t="s">
        <v>34</v>
      </c>
      <c r="K432" s="1" t="s">
        <v>309</v>
      </c>
      <c r="L432" s="1" t="s">
        <v>92</v>
      </c>
      <c r="M432" s="1">
        <v>0</v>
      </c>
      <c r="N432" s="2">
        <f>M432/ActivityCenter!$K$22</f>
        <v>0</v>
      </c>
      <c r="Q432" s="1" t="s">
        <v>610</v>
      </c>
    </row>
    <row r="433" spans="1:17" x14ac:dyDescent="0.25">
      <c r="A433" s="1">
        <v>2018</v>
      </c>
      <c r="B433" s="1">
        <v>5</v>
      </c>
      <c r="C433" s="1" t="s">
        <v>63</v>
      </c>
      <c r="D433" s="1" t="s">
        <v>22</v>
      </c>
      <c r="E433" s="1" t="s">
        <v>23</v>
      </c>
      <c r="F433" s="1" t="s">
        <v>371</v>
      </c>
      <c r="G433" s="1" t="s">
        <v>372</v>
      </c>
      <c r="H433" s="1" t="s">
        <v>46</v>
      </c>
      <c r="I433" s="1" t="s">
        <v>308</v>
      </c>
      <c r="J433" s="1" t="s">
        <v>34</v>
      </c>
      <c r="K433" s="1" t="s">
        <v>309</v>
      </c>
      <c r="L433" s="1" t="s">
        <v>84</v>
      </c>
      <c r="M433" s="1">
        <v>2382.5414634143999</v>
      </c>
      <c r="N433" s="2">
        <f>M433/ActivityCenter!$K$22</f>
        <v>288.0000000011604</v>
      </c>
      <c r="Q433" s="1" t="s">
        <v>610</v>
      </c>
    </row>
    <row r="434" spans="1:17" x14ac:dyDescent="0.25">
      <c r="A434" s="1">
        <v>2018</v>
      </c>
      <c r="B434" s="1">
        <v>5</v>
      </c>
      <c r="C434" s="1" t="s">
        <v>63</v>
      </c>
      <c r="D434" s="1" t="s">
        <v>22</v>
      </c>
      <c r="E434" s="1" t="s">
        <v>23</v>
      </c>
      <c r="F434" s="1" t="s">
        <v>373</v>
      </c>
      <c r="G434" s="1" t="s">
        <v>374</v>
      </c>
      <c r="H434" s="1" t="s">
        <v>46</v>
      </c>
      <c r="I434" s="1" t="s">
        <v>308</v>
      </c>
      <c r="J434" s="1" t="s">
        <v>34</v>
      </c>
      <c r="K434" s="1" t="s">
        <v>309</v>
      </c>
      <c r="L434" s="1" t="s">
        <v>82</v>
      </c>
      <c r="M434" s="1">
        <v>0</v>
      </c>
      <c r="N434" s="2">
        <f>M434/ActivityCenter!$K$22</f>
        <v>0</v>
      </c>
      <c r="Q434" s="1" t="s">
        <v>610</v>
      </c>
    </row>
    <row r="435" spans="1:17" x14ac:dyDescent="0.25">
      <c r="A435" s="1">
        <v>2018</v>
      </c>
      <c r="B435" s="1">
        <v>5</v>
      </c>
      <c r="C435" s="1" t="s">
        <v>63</v>
      </c>
      <c r="D435" s="1" t="s">
        <v>22</v>
      </c>
      <c r="E435" s="1" t="s">
        <v>23</v>
      </c>
      <c r="F435" s="1" t="s">
        <v>373</v>
      </c>
      <c r="G435" s="1" t="s">
        <v>374</v>
      </c>
      <c r="H435" s="1" t="s">
        <v>46</v>
      </c>
      <c r="I435" s="1" t="s">
        <v>308</v>
      </c>
      <c r="J435" s="1" t="s">
        <v>34</v>
      </c>
      <c r="K435" s="1" t="s">
        <v>309</v>
      </c>
      <c r="L435" s="1" t="s">
        <v>86</v>
      </c>
      <c r="M435" s="1">
        <v>0</v>
      </c>
      <c r="N435" s="2">
        <f>M435/ActivityCenter!$K$22</f>
        <v>0</v>
      </c>
      <c r="Q435" s="1" t="s">
        <v>610</v>
      </c>
    </row>
    <row r="436" spans="1:17" x14ac:dyDescent="0.25">
      <c r="A436" s="1">
        <v>2018</v>
      </c>
      <c r="B436" s="1">
        <v>5</v>
      </c>
      <c r="C436" s="1" t="s">
        <v>63</v>
      </c>
      <c r="D436" s="1" t="s">
        <v>22</v>
      </c>
      <c r="E436" s="1" t="s">
        <v>23</v>
      </c>
      <c r="F436" s="1" t="s">
        <v>373</v>
      </c>
      <c r="G436" s="1" t="s">
        <v>374</v>
      </c>
      <c r="H436" s="1" t="s">
        <v>46</v>
      </c>
      <c r="I436" s="1" t="s">
        <v>308</v>
      </c>
      <c r="J436" s="1" t="s">
        <v>34</v>
      </c>
      <c r="K436" s="1" t="s">
        <v>309</v>
      </c>
      <c r="L436" s="1" t="s">
        <v>103</v>
      </c>
      <c r="M436" s="1">
        <v>2382.5414634146</v>
      </c>
      <c r="N436" s="2">
        <f>M436/ActivityCenter!$K$22</f>
        <v>288.00000000118462</v>
      </c>
      <c r="Q436" s="1" t="s">
        <v>610</v>
      </c>
    </row>
    <row r="437" spans="1:17" x14ac:dyDescent="0.25">
      <c r="A437" s="1">
        <v>2018</v>
      </c>
      <c r="B437" s="1">
        <v>5</v>
      </c>
      <c r="C437" s="1" t="s">
        <v>63</v>
      </c>
      <c r="D437" s="1" t="s">
        <v>22</v>
      </c>
      <c r="E437" s="1" t="s">
        <v>23</v>
      </c>
      <c r="F437" s="1" t="s">
        <v>515</v>
      </c>
      <c r="G437" s="1" t="s">
        <v>516</v>
      </c>
      <c r="H437" s="1" t="s">
        <v>46</v>
      </c>
      <c r="I437" s="1" t="s">
        <v>308</v>
      </c>
      <c r="J437" s="1" t="s">
        <v>34</v>
      </c>
      <c r="K437" s="1" t="s">
        <v>309</v>
      </c>
      <c r="L437" s="1" t="s">
        <v>84</v>
      </c>
      <c r="M437" s="1">
        <v>0</v>
      </c>
      <c r="N437" s="2">
        <f>M437/ActivityCenter!$K$22</f>
        <v>0</v>
      </c>
      <c r="Q437" s="1" t="s">
        <v>610</v>
      </c>
    </row>
    <row r="438" spans="1:17" x14ac:dyDescent="0.25">
      <c r="A438" s="1">
        <v>2018</v>
      </c>
      <c r="B438" s="1">
        <v>5</v>
      </c>
      <c r="C438" s="1" t="s">
        <v>63</v>
      </c>
      <c r="D438" s="1" t="s">
        <v>22</v>
      </c>
      <c r="E438" s="1" t="s">
        <v>23</v>
      </c>
      <c r="F438" s="1" t="s">
        <v>375</v>
      </c>
      <c r="G438" s="1" t="s">
        <v>376</v>
      </c>
      <c r="H438" s="1" t="s">
        <v>46</v>
      </c>
      <c r="I438" s="1" t="s">
        <v>308</v>
      </c>
      <c r="J438" s="1" t="s">
        <v>34</v>
      </c>
      <c r="K438" s="1" t="s">
        <v>309</v>
      </c>
      <c r="L438" s="1" t="s">
        <v>85</v>
      </c>
      <c r="M438" s="1">
        <v>0</v>
      </c>
      <c r="N438" s="2">
        <f>M438/ActivityCenter!$K$22</f>
        <v>0</v>
      </c>
      <c r="Q438" s="1" t="s">
        <v>610</v>
      </c>
    </row>
    <row r="439" spans="1:17" x14ac:dyDescent="0.25">
      <c r="A439" s="1">
        <v>2018</v>
      </c>
      <c r="B439" s="1">
        <v>5</v>
      </c>
      <c r="C439" s="1" t="s">
        <v>63</v>
      </c>
      <c r="D439" s="1" t="s">
        <v>22</v>
      </c>
      <c r="E439" s="1" t="s">
        <v>23</v>
      </c>
      <c r="F439" s="1" t="s">
        <v>375</v>
      </c>
      <c r="G439" s="1" t="s">
        <v>376</v>
      </c>
      <c r="H439" s="1" t="s">
        <v>46</v>
      </c>
      <c r="I439" s="1" t="s">
        <v>308</v>
      </c>
      <c r="J439" s="1" t="s">
        <v>34</v>
      </c>
      <c r="K439" s="1" t="s">
        <v>309</v>
      </c>
      <c r="L439" s="1" t="s">
        <v>87</v>
      </c>
      <c r="M439" s="1">
        <v>0</v>
      </c>
      <c r="N439" s="2">
        <f>M439/ActivityCenter!$K$22</f>
        <v>0</v>
      </c>
      <c r="Q439" s="1" t="s">
        <v>610</v>
      </c>
    </row>
    <row r="440" spans="1:17" x14ac:dyDescent="0.25">
      <c r="A440" s="1">
        <v>2018</v>
      </c>
      <c r="B440" s="1">
        <v>5</v>
      </c>
      <c r="C440" s="1" t="s">
        <v>63</v>
      </c>
      <c r="D440" s="1" t="s">
        <v>22</v>
      </c>
      <c r="E440" s="1" t="s">
        <v>23</v>
      </c>
      <c r="F440" s="1" t="s">
        <v>517</v>
      </c>
      <c r="G440" s="1" t="s">
        <v>518</v>
      </c>
      <c r="H440" s="1" t="s">
        <v>46</v>
      </c>
      <c r="I440" s="1" t="s">
        <v>308</v>
      </c>
      <c r="J440" s="1" t="s">
        <v>34</v>
      </c>
      <c r="K440" s="1" t="s">
        <v>309</v>
      </c>
      <c r="L440" s="1" t="s">
        <v>85</v>
      </c>
      <c r="M440" s="1">
        <v>0</v>
      </c>
      <c r="N440" s="2">
        <f>M440/ActivityCenter!$K$22</f>
        <v>0</v>
      </c>
      <c r="Q440" s="1" t="s">
        <v>610</v>
      </c>
    </row>
    <row r="441" spans="1:17" x14ac:dyDescent="0.25">
      <c r="A441" s="1">
        <v>2018</v>
      </c>
      <c r="B441" s="1">
        <v>5</v>
      </c>
      <c r="C441" s="1" t="s">
        <v>63</v>
      </c>
      <c r="D441" s="1" t="s">
        <v>22</v>
      </c>
      <c r="E441" s="1" t="s">
        <v>23</v>
      </c>
      <c r="F441" s="1" t="s">
        <v>377</v>
      </c>
      <c r="G441" s="1" t="s">
        <v>378</v>
      </c>
      <c r="H441" s="1" t="s">
        <v>46</v>
      </c>
      <c r="I441" s="1" t="s">
        <v>308</v>
      </c>
      <c r="J441" s="1" t="s">
        <v>34</v>
      </c>
      <c r="K441" s="1" t="s">
        <v>309</v>
      </c>
      <c r="L441" s="1" t="s">
        <v>85</v>
      </c>
      <c r="M441" s="1">
        <v>0</v>
      </c>
      <c r="N441" s="2">
        <f>M441/ActivityCenter!$K$22</f>
        <v>0</v>
      </c>
      <c r="Q441" s="1" t="s">
        <v>610</v>
      </c>
    </row>
    <row r="442" spans="1:17" x14ac:dyDescent="0.25">
      <c r="A442" s="1">
        <v>2018</v>
      </c>
      <c r="B442" s="1">
        <v>5</v>
      </c>
      <c r="C442" s="1" t="s">
        <v>63</v>
      </c>
      <c r="D442" s="1" t="s">
        <v>22</v>
      </c>
      <c r="E442" s="1" t="s">
        <v>23</v>
      </c>
      <c r="F442" s="1" t="s">
        <v>379</v>
      </c>
      <c r="G442" s="1" t="s">
        <v>380</v>
      </c>
      <c r="H442" s="1" t="s">
        <v>46</v>
      </c>
      <c r="I442" s="1" t="s">
        <v>308</v>
      </c>
      <c r="J442" s="1" t="s">
        <v>34</v>
      </c>
      <c r="K442" s="1" t="s">
        <v>309</v>
      </c>
      <c r="L442" s="1" t="s">
        <v>78</v>
      </c>
      <c r="M442" s="1">
        <v>0</v>
      </c>
      <c r="N442" s="2">
        <f>M442/ActivityCenter!$K$22</f>
        <v>0</v>
      </c>
      <c r="Q442" s="1" t="s">
        <v>610</v>
      </c>
    </row>
    <row r="443" spans="1:17" x14ac:dyDescent="0.25">
      <c r="A443" s="1">
        <v>2018</v>
      </c>
      <c r="B443" s="1">
        <v>5</v>
      </c>
      <c r="C443" s="1" t="s">
        <v>63</v>
      </c>
      <c r="D443" s="1" t="s">
        <v>22</v>
      </c>
      <c r="E443" s="1" t="s">
        <v>23</v>
      </c>
      <c r="F443" s="1" t="s">
        <v>379</v>
      </c>
      <c r="G443" s="1" t="s">
        <v>380</v>
      </c>
      <c r="H443" s="1" t="s">
        <v>46</v>
      </c>
      <c r="I443" s="1" t="s">
        <v>308</v>
      </c>
      <c r="J443" s="1" t="s">
        <v>34</v>
      </c>
      <c r="K443" s="1" t="s">
        <v>309</v>
      </c>
      <c r="L443" s="1" t="s">
        <v>92</v>
      </c>
      <c r="M443" s="1">
        <v>0</v>
      </c>
      <c r="N443" s="2">
        <f>M443/ActivityCenter!$K$22</f>
        <v>0</v>
      </c>
      <c r="Q443" s="1" t="s">
        <v>610</v>
      </c>
    </row>
    <row r="444" spans="1:17" x14ac:dyDescent="0.25">
      <c r="A444" s="1">
        <v>2018</v>
      </c>
      <c r="B444" s="1">
        <v>5</v>
      </c>
      <c r="C444" s="1" t="s">
        <v>63</v>
      </c>
      <c r="D444" s="1" t="s">
        <v>22</v>
      </c>
      <c r="E444" s="1" t="s">
        <v>23</v>
      </c>
      <c r="F444" s="1" t="s">
        <v>381</v>
      </c>
      <c r="G444" s="1" t="s">
        <v>382</v>
      </c>
      <c r="H444" s="1" t="s">
        <v>46</v>
      </c>
      <c r="I444" s="1" t="s">
        <v>308</v>
      </c>
      <c r="J444" s="1" t="s">
        <v>34</v>
      </c>
      <c r="K444" s="1" t="s">
        <v>309</v>
      </c>
      <c r="L444" s="1" t="s">
        <v>92</v>
      </c>
      <c r="M444" s="1">
        <v>0</v>
      </c>
      <c r="N444" s="2">
        <f>M444/ActivityCenter!$K$22</f>
        <v>0</v>
      </c>
      <c r="Q444" s="1" t="s">
        <v>610</v>
      </c>
    </row>
    <row r="445" spans="1:17" x14ac:dyDescent="0.25">
      <c r="A445" s="1">
        <v>2018</v>
      </c>
      <c r="B445" s="1">
        <v>5</v>
      </c>
      <c r="C445" s="1" t="s">
        <v>63</v>
      </c>
      <c r="D445" s="1" t="s">
        <v>22</v>
      </c>
      <c r="E445" s="1" t="s">
        <v>23</v>
      </c>
      <c r="F445" s="1" t="s">
        <v>383</v>
      </c>
      <c r="G445" s="1" t="s">
        <v>384</v>
      </c>
      <c r="H445" s="1" t="s">
        <v>46</v>
      </c>
      <c r="I445" s="1" t="s">
        <v>308</v>
      </c>
      <c r="J445" s="1" t="s">
        <v>34</v>
      </c>
      <c r="K445" s="1" t="s">
        <v>309</v>
      </c>
      <c r="L445" s="1" t="s">
        <v>84</v>
      </c>
      <c r="M445" s="1">
        <v>2647.2682926829002</v>
      </c>
      <c r="N445" s="2">
        <f>M445/ActivityCenter!$K$22</f>
        <v>320.00000000131763</v>
      </c>
      <c r="Q445" s="1" t="s">
        <v>610</v>
      </c>
    </row>
    <row r="446" spans="1:17" x14ac:dyDescent="0.25">
      <c r="A446" s="1">
        <v>2018</v>
      </c>
      <c r="B446" s="1">
        <v>5</v>
      </c>
      <c r="C446" s="1" t="s">
        <v>63</v>
      </c>
      <c r="D446" s="1" t="s">
        <v>22</v>
      </c>
      <c r="E446" s="1" t="s">
        <v>23</v>
      </c>
      <c r="F446" s="1" t="s">
        <v>383</v>
      </c>
      <c r="G446" s="1" t="s">
        <v>384</v>
      </c>
      <c r="H446" s="1" t="s">
        <v>46</v>
      </c>
      <c r="I446" s="1" t="s">
        <v>308</v>
      </c>
      <c r="J446" s="1" t="s">
        <v>34</v>
      </c>
      <c r="K446" s="1" t="s">
        <v>309</v>
      </c>
      <c r="L446" s="1" t="s">
        <v>90</v>
      </c>
      <c r="M446" s="1">
        <v>0</v>
      </c>
      <c r="N446" s="2">
        <f>M446/ActivityCenter!$K$22</f>
        <v>0</v>
      </c>
      <c r="Q446" s="1" t="s">
        <v>610</v>
      </c>
    </row>
    <row r="447" spans="1:17" x14ac:dyDescent="0.25">
      <c r="A447" s="1">
        <v>2018</v>
      </c>
      <c r="B447" s="1">
        <v>5</v>
      </c>
      <c r="C447" s="1" t="s">
        <v>63</v>
      </c>
      <c r="D447" s="1" t="s">
        <v>22</v>
      </c>
      <c r="E447" s="1" t="s">
        <v>23</v>
      </c>
      <c r="F447" s="1" t="s">
        <v>383</v>
      </c>
      <c r="G447" s="1" t="s">
        <v>384</v>
      </c>
      <c r="H447" s="1" t="s">
        <v>46</v>
      </c>
      <c r="I447" s="1" t="s">
        <v>308</v>
      </c>
      <c r="J447" s="1" t="s">
        <v>34</v>
      </c>
      <c r="K447" s="1" t="s">
        <v>309</v>
      </c>
      <c r="L447" s="1" t="s">
        <v>92</v>
      </c>
      <c r="M447" s="1">
        <v>0</v>
      </c>
      <c r="N447" s="2">
        <f>M447/ActivityCenter!$K$22</f>
        <v>0</v>
      </c>
      <c r="Q447" s="1" t="s">
        <v>610</v>
      </c>
    </row>
    <row r="448" spans="1:17" x14ac:dyDescent="0.25">
      <c r="A448" s="1">
        <v>2018</v>
      </c>
      <c r="B448" s="1">
        <v>5</v>
      </c>
      <c r="C448" s="1" t="s">
        <v>63</v>
      </c>
      <c r="D448" s="1" t="s">
        <v>22</v>
      </c>
      <c r="E448" s="1" t="s">
        <v>23</v>
      </c>
      <c r="F448" s="1" t="s">
        <v>383</v>
      </c>
      <c r="G448" s="1" t="s">
        <v>384</v>
      </c>
      <c r="H448" s="1" t="s">
        <v>46</v>
      </c>
      <c r="I448" s="1" t="s">
        <v>308</v>
      </c>
      <c r="J448" s="1" t="s">
        <v>34</v>
      </c>
      <c r="K448" s="1" t="s">
        <v>309</v>
      </c>
      <c r="L448" s="1" t="s">
        <v>94</v>
      </c>
      <c r="M448" s="1">
        <v>0</v>
      </c>
      <c r="N448" s="2">
        <f>M448/ActivityCenter!$K$22</f>
        <v>0</v>
      </c>
      <c r="Q448" s="1" t="s">
        <v>610</v>
      </c>
    </row>
    <row r="449" spans="1:17" x14ac:dyDescent="0.25">
      <c r="A449" s="1">
        <v>2018</v>
      </c>
      <c r="B449" s="1">
        <v>5</v>
      </c>
      <c r="C449" s="1" t="s">
        <v>63</v>
      </c>
      <c r="D449" s="1" t="s">
        <v>22</v>
      </c>
      <c r="E449" s="1" t="s">
        <v>23</v>
      </c>
      <c r="F449" s="1" t="s">
        <v>467</v>
      </c>
      <c r="G449" s="1" t="s">
        <v>468</v>
      </c>
      <c r="H449" s="1" t="s">
        <v>46</v>
      </c>
      <c r="I449" s="1" t="s">
        <v>308</v>
      </c>
      <c r="J449" s="1" t="s">
        <v>34</v>
      </c>
      <c r="K449" s="1" t="s">
        <v>309</v>
      </c>
      <c r="L449" s="1" t="s">
        <v>78</v>
      </c>
      <c r="M449" s="1">
        <v>0</v>
      </c>
      <c r="N449" s="2">
        <f>M449/ActivityCenter!$K$22</f>
        <v>0</v>
      </c>
      <c r="Q449" s="1" t="s">
        <v>610</v>
      </c>
    </row>
    <row r="450" spans="1:17" x14ac:dyDescent="0.25">
      <c r="A450" s="1">
        <v>2018</v>
      </c>
      <c r="B450" s="1">
        <v>5</v>
      </c>
      <c r="C450" s="1" t="s">
        <v>63</v>
      </c>
      <c r="D450" s="1" t="s">
        <v>22</v>
      </c>
      <c r="E450" s="1" t="s">
        <v>23</v>
      </c>
      <c r="F450" s="1" t="s">
        <v>385</v>
      </c>
      <c r="G450" s="1" t="s">
        <v>386</v>
      </c>
      <c r="H450" s="1" t="s">
        <v>46</v>
      </c>
      <c r="I450" s="1" t="s">
        <v>308</v>
      </c>
      <c r="J450" s="1" t="s">
        <v>34</v>
      </c>
      <c r="K450" s="1" t="s">
        <v>309</v>
      </c>
      <c r="L450" s="1" t="s">
        <v>84</v>
      </c>
      <c r="M450" s="1">
        <v>1985.4512195121999</v>
      </c>
      <c r="N450" s="2">
        <f>M450/ActivityCenter!$K$22</f>
        <v>240.00000000099121</v>
      </c>
      <c r="Q450" s="1" t="s">
        <v>610</v>
      </c>
    </row>
    <row r="451" spans="1:17" x14ac:dyDescent="0.25">
      <c r="A451" s="1">
        <v>2018</v>
      </c>
      <c r="B451" s="1">
        <v>5</v>
      </c>
      <c r="C451" s="1" t="s">
        <v>63</v>
      </c>
      <c r="D451" s="1" t="s">
        <v>22</v>
      </c>
      <c r="E451" s="1" t="s">
        <v>23</v>
      </c>
      <c r="F451" s="1" t="s">
        <v>385</v>
      </c>
      <c r="G451" s="1" t="s">
        <v>386</v>
      </c>
      <c r="H451" s="1" t="s">
        <v>46</v>
      </c>
      <c r="I451" s="1" t="s">
        <v>308</v>
      </c>
      <c r="J451" s="1" t="s">
        <v>34</v>
      </c>
      <c r="K451" s="1" t="s">
        <v>309</v>
      </c>
      <c r="L451" s="1" t="s">
        <v>85</v>
      </c>
      <c r="M451" s="1">
        <v>3970.9024390243999</v>
      </c>
      <c r="N451" s="2">
        <f>M451/ActivityCenter!$K$22</f>
        <v>480.00000000198241</v>
      </c>
      <c r="Q451" s="1" t="s">
        <v>610</v>
      </c>
    </row>
    <row r="452" spans="1:17" x14ac:dyDescent="0.25">
      <c r="A452" s="1">
        <v>2018</v>
      </c>
      <c r="B452" s="1">
        <v>5</v>
      </c>
      <c r="C452" s="1" t="s">
        <v>63</v>
      </c>
      <c r="D452" s="1" t="s">
        <v>22</v>
      </c>
      <c r="E452" s="1" t="s">
        <v>23</v>
      </c>
      <c r="F452" s="1" t="s">
        <v>385</v>
      </c>
      <c r="G452" s="1" t="s">
        <v>386</v>
      </c>
      <c r="H452" s="1" t="s">
        <v>46</v>
      </c>
      <c r="I452" s="1" t="s">
        <v>308</v>
      </c>
      <c r="J452" s="1" t="s">
        <v>34</v>
      </c>
      <c r="K452" s="1" t="s">
        <v>309</v>
      </c>
      <c r="L452" s="1" t="s">
        <v>87</v>
      </c>
      <c r="M452" s="1">
        <v>0</v>
      </c>
      <c r="N452" s="2">
        <f>M452/ActivityCenter!$K$22</f>
        <v>0</v>
      </c>
      <c r="Q452" s="1" t="s">
        <v>610</v>
      </c>
    </row>
    <row r="453" spans="1:17" x14ac:dyDescent="0.25">
      <c r="A453" s="1">
        <v>2018</v>
      </c>
      <c r="B453" s="1">
        <v>5</v>
      </c>
      <c r="C453" s="1" t="s">
        <v>63</v>
      </c>
      <c r="D453" s="1" t="s">
        <v>22</v>
      </c>
      <c r="E453" s="1" t="s">
        <v>23</v>
      </c>
      <c r="F453" s="1" t="s">
        <v>387</v>
      </c>
      <c r="G453" s="1" t="s">
        <v>388</v>
      </c>
      <c r="H453" s="1" t="s">
        <v>46</v>
      </c>
      <c r="I453" s="1" t="s">
        <v>308</v>
      </c>
      <c r="J453" s="1" t="s">
        <v>34</v>
      </c>
      <c r="K453" s="1" t="s">
        <v>309</v>
      </c>
      <c r="L453" s="1" t="s">
        <v>84</v>
      </c>
      <c r="M453" s="1">
        <v>1985.4512195121999</v>
      </c>
      <c r="N453" s="2">
        <f>M453/ActivityCenter!$K$22</f>
        <v>240.00000000099121</v>
      </c>
      <c r="Q453" s="1" t="s">
        <v>610</v>
      </c>
    </row>
    <row r="454" spans="1:17" x14ac:dyDescent="0.25">
      <c r="A454" s="1">
        <v>2018</v>
      </c>
      <c r="B454" s="1">
        <v>5</v>
      </c>
      <c r="C454" s="1" t="s">
        <v>63</v>
      </c>
      <c r="D454" s="1" t="s">
        <v>22</v>
      </c>
      <c r="E454" s="1" t="s">
        <v>23</v>
      </c>
      <c r="F454" s="1" t="s">
        <v>389</v>
      </c>
      <c r="G454" s="1" t="s">
        <v>390</v>
      </c>
      <c r="H454" s="1" t="s">
        <v>46</v>
      </c>
      <c r="I454" s="1" t="s">
        <v>308</v>
      </c>
      <c r="J454" s="1" t="s">
        <v>34</v>
      </c>
      <c r="K454" s="1" t="s">
        <v>309</v>
      </c>
      <c r="L454" s="1" t="s">
        <v>90</v>
      </c>
      <c r="M454" s="1">
        <v>0</v>
      </c>
      <c r="N454" s="2">
        <f>M454/ActivityCenter!$K$22</f>
        <v>0</v>
      </c>
      <c r="Q454" s="1" t="s">
        <v>610</v>
      </c>
    </row>
    <row r="455" spans="1:17" x14ac:dyDescent="0.25">
      <c r="A455" s="1">
        <v>2018</v>
      </c>
      <c r="B455" s="1">
        <v>5</v>
      </c>
      <c r="C455" s="1" t="s">
        <v>63</v>
      </c>
      <c r="D455" s="1" t="s">
        <v>22</v>
      </c>
      <c r="E455" s="1" t="s">
        <v>23</v>
      </c>
      <c r="F455" s="1" t="s">
        <v>389</v>
      </c>
      <c r="G455" s="1" t="s">
        <v>390</v>
      </c>
      <c r="H455" s="1" t="s">
        <v>46</v>
      </c>
      <c r="I455" s="1" t="s">
        <v>308</v>
      </c>
      <c r="J455" s="1" t="s">
        <v>34</v>
      </c>
      <c r="K455" s="1" t="s">
        <v>309</v>
      </c>
      <c r="L455" s="1" t="s">
        <v>92</v>
      </c>
      <c r="M455" s="1">
        <v>0</v>
      </c>
      <c r="N455" s="2">
        <f>M455/ActivityCenter!$K$22</f>
        <v>0</v>
      </c>
      <c r="Q455" s="1" t="s">
        <v>610</v>
      </c>
    </row>
    <row r="456" spans="1:17" x14ac:dyDescent="0.25">
      <c r="A456" s="1">
        <v>2018</v>
      </c>
      <c r="B456" s="1">
        <v>5</v>
      </c>
      <c r="C456" s="1" t="s">
        <v>63</v>
      </c>
      <c r="D456" s="1" t="s">
        <v>22</v>
      </c>
      <c r="E456" s="1" t="s">
        <v>23</v>
      </c>
      <c r="F456" s="1" t="s">
        <v>519</v>
      </c>
      <c r="G456" s="1" t="s">
        <v>520</v>
      </c>
      <c r="H456" s="1" t="s">
        <v>46</v>
      </c>
      <c r="I456" s="1" t="s">
        <v>308</v>
      </c>
      <c r="J456" s="1" t="s">
        <v>34</v>
      </c>
      <c r="K456" s="1" t="s">
        <v>309</v>
      </c>
      <c r="L456" s="1" t="s">
        <v>84</v>
      </c>
      <c r="M456" s="1">
        <v>0</v>
      </c>
      <c r="N456" s="2">
        <f>M456/ActivityCenter!$K$22</f>
        <v>0</v>
      </c>
      <c r="Q456" s="1" t="s">
        <v>610</v>
      </c>
    </row>
    <row r="457" spans="1:17" x14ac:dyDescent="0.25">
      <c r="A457" s="1">
        <v>2018</v>
      </c>
      <c r="B457" s="1">
        <v>5</v>
      </c>
      <c r="C457" s="1" t="s">
        <v>63</v>
      </c>
      <c r="D457" s="1" t="s">
        <v>22</v>
      </c>
      <c r="E457" s="1" t="s">
        <v>23</v>
      </c>
      <c r="F457" s="1" t="s">
        <v>391</v>
      </c>
      <c r="G457" s="1" t="s">
        <v>392</v>
      </c>
      <c r="H457" s="1" t="s">
        <v>46</v>
      </c>
      <c r="I457" s="1" t="s">
        <v>308</v>
      </c>
      <c r="J457" s="1" t="s">
        <v>34</v>
      </c>
      <c r="K457" s="1" t="s">
        <v>309</v>
      </c>
      <c r="L457" s="1" t="s">
        <v>85</v>
      </c>
      <c r="M457" s="1">
        <v>0</v>
      </c>
      <c r="N457" s="2">
        <f>M457/ActivityCenter!$K$22</f>
        <v>0</v>
      </c>
      <c r="Q457" s="1" t="s">
        <v>610</v>
      </c>
    </row>
    <row r="458" spans="1:17" x14ac:dyDescent="0.25">
      <c r="A458" s="1">
        <v>2018</v>
      </c>
      <c r="B458" s="1">
        <v>5</v>
      </c>
      <c r="C458" s="1" t="s">
        <v>63</v>
      </c>
      <c r="D458" s="1" t="s">
        <v>22</v>
      </c>
      <c r="E458" s="1" t="s">
        <v>23</v>
      </c>
      <c r="F458" s="1" t="s">
        <v>557</v>
      </c>
      <c r="G458" s="1" t="s">
        <v>558</v>
      </c>
      <c r="H458" s="1" t="s">
        <v>46</v>
      </c>
      <c r="I458" s="1" t="s">
        <v>308</v>
      </c>
      <c r="J458" s="1" t="s">
        <v>34</v>
      </c>
      <c r="K458" s="1" t="s">
        <v>309</v>
      </c>
      <c r="L458" s="1" t="s">
        <v>86</v>
      </c>
      <c r="M458" s="1">
        <v>3970.9024390243999</v>
      </c>
      <c r="N458" s="2">
        <f>M458/ActivityCenter!$K$22</f>
        <v>480.00000000198241</v>
      </c>
      <c r="Q458" s="1" t="s">
        <v>610</v>
      </c>
    </row>
    <row r="459" spans="1:17" x14ac:dyDescent="0.25">
      <c r="A459" s="1">
        <v>2018</v>
      </c>
      <c r="B459" s="1">
        <v>5</v>
      </c>
      <c r="C459" s="1" t="s">
        <v>63</v>
      </c>
      <c r="D459" s="1" t="s">
        <v>22</v>
      </c>
      <c r="E459" s="1" t="s">
        <v>23</v>
      </c>
      <c r="F459" s="1" t="s">
        <v>521</v>
      </c>
      <c r="G459" s="1" t="s">
        <v>522</v>
      </c>
      <c r="H459" s="1" t="s">
        <v>46</v>
      </c>
      <c r="I459" s="1" t="s">
        <v>308</v>
      </c>
      <c r="J459" s="1" t="s">
        <v>34</v>
      </c>
      <c r="K459" s="1" t="s">
        <v>309</v>
      </c>
      <c r="L459" s="1" t="s">
        <v>84</v>
      </c>
      <c r="M459" s="1">
        <v>0</v>
      </c>
      <c r="N459" s="2">
        <f>M459/ActivityCenter!$K$22</f>
        <v>0</v>
      </c>
      <c r="Q459" s="1" t="s">
        <v>610</v>
      </c>
    </row>
    <row r="460" spans="1:17" x14ac:dyDescent="0.25">
      <c r="A460" s="1">
        <v>2018</v>
      </c>
      <c r="B460" s="1">
        <v>5</v>
      </c>
      <c r="C460" s="1" t="s">
        <v>63</v>
      </c>
      <c r="D460" s="1" t="s">
        <v>22</v>
      </c>
      <c r="E460" s="1" t="s">
        <v>23</v>
      </c>
      <c r="F460" s="1" t="s">
        <v>521</v>
      </c>
      <c r="G460" s="1" t="s">
        <v>522</v>
      </c>
      <c r="H460" s="1" t="s">
        <v>46</v>
      </c>
      <c r="I460" s="1" t="s">
        <v>308</v>
      </c>
      <c r="J460" s="1" t="s">
        <v>34</v>
      </c>
      <c r="K460" s="1" t="s">
        <v>309</v>
      </c>
      <c r="L460" s="1" t="s">
        <v>85</v>
      </c>
      <c r="M460" s="1">
        <v>5956.3536585366001</v>
      </c>
      <c r="N460" s="2">
        <f>M460/ActivityCenter!$K$22</f>
        <v>720.00000000297359</v>
      </c>
      <c r="Q460" s="1" t="s">
        <v>610</v>
      </c>
    </row>
    <row r="461" spans="1:17" x14ac:dyDescent="0.25">
      <c r="A461" s="1">
        <v>2018</v>
      </c>
      <c r="B461" s="1">
        <v>5</v>
      </c>
      <c r="C461" s="1" t="s">
        <v>63</v>
      </c>
      <c r="D461" s="1" t="s">
        <v>22</v>
      </c>
      <c r="E461" s="1" t="s">
        <v>23</v>
      </c>
      <c r="F461" s="1" t="s">
        <v>559</v>
      </c>
      <c r="G461" s="1" t="s">
        <v>560</v>
      </c>
      <c r="H461" s="1" t="s">
        <v>46</v>
      </c>
      <c r="I461" s="1" t="s">
        <v>308</v>
      </c>
      <c r="J461" s="1" t="s">
        <v>34</v>
      </c>
      <c r="K461" s="1" t="s">
        <v>309</v>
      </c>
      <c r="L461" s="1" t="s">
        <v>85</v>
      </c>
      <c r="M461" s="1">
        <v>1323.6341463414999</v>
      </c>
      <c r="N461" s="2">
        <f>M461/ActivityCenter!$K$22</f>
        <v>160.00000000066481</v>
      </c>
      <c r="Q461" s="1" t="s">
        <v>610</v>
      </c>
    </row>
    <row r="462" spans="1:17" x14ac:dyDescent="0.25">
      <c r="A462" s="1">
        <v>2018</v>
      </c>
      <c r="B462" s="1">
        <v>5</v>
      </c>
      <c r="C462" s="1" t="s">
        <v>63</v>
      </c>
      <c r="D462" s="1" t="s">
        <v>22</v>
      </c>
      <c r="E462" s="1" t="s">
        <v>23</v>
      </c>
      <c r="F462" s="1" t="s">
        <v>523</v>
      </c>
      <c r="G462" s="1" t="s">
        <v>524</v>
      </c>
      <c r="H462" s="1" t="s">
        <v>46</v>
      </c>
      <c r="I462" s="1" t="s">
        <v>308</v>
      </c>
      <c r="J462" s="1" t="s">
        <v>34</v>
      </c>
      <c r="K462" s="1" t="s">
        <v>309</v>
      </c>
      <c r="L462" s="1" t="s">
        <v>84</v>
      </c>
      <c r="M462" s="1">
        <v>0</v>
      </c>
      <c r="N462" s="2">
        <f>M462/ActivityCenter!$K$22</f>
        <v>0</v>
      </c>
      <c r="Q462" s="1" t="s">
        <v>610</v>
      </c>
    </row>
    <row r="463" spans="1:17" x14ac:dyDescent="0.25">
      <c r="A463" s="1">
        <v>2018</v>
      </c>
      <c r="B463" s="1">
        <v>5</v>
      </c>
      <c r="C463" s="1" t="s">
        <v>63</v>
      </c>
      <c r="D463" s="1" t="s">
        <v>22</v>
      </c>
      <c r="E463" s="1" t="s">
        <v>23</v>
      </c>
      <c r="F463" s="1" t="s">
        <v>561</v>
      </c>
      <c r="G463" s="1" t="s">
        <v>562</v>
      </c>
      <c r="H463" s="1" t="s">
        <v>46</v>
      </c>
      <c r="I463" s="1" t="s">
        <v>308</v>
      </c>
      <c r="J463" s="1" t="s">
        <v>34</v>
      </c>
      <c r="K463" s="1" t="s">
        <v>309</v>
      </c>
      <c r="L463" s="1" t="s">
        <v>82</v>
      </c>
      <c r="M463" s="1">
        <v>3970.9024390243999</v>
      </c>
      <c r="N463" s="2">
        <f>M463/ActivityCenter!$K$22</f>
        <v>480.00000000198241</v>
      </c>
      <c r="Q463" s="1" t="s">
        <v>610</v>
      </c>
    </row>
    <row r="464" spans="1:17" x14ac:dyDescent="0.25">
      <c r="A464" s="1">
        <v>2018</v>
      </c>
      <c r="B464" s="1">
        <v>5</v>
      </c>
      <c r="C464" s="1" t="s">
        <v>63</v>
      </c>
      <c r="D464" s="1" t="s">
        <v>22</v>
      </c>
      <c r="E464" s="1" t="s">
        <v>23</v>
      </c>
      <c r="F464" s="1" t="s">
        <v>393</v>
      </c>
      <c r="G464" s="1" t="s">
        <v>394</v>
      </c>
      <c r="H464" s="1" t="s">
        <v>46</v>
      </c>
      <c r="I464" s="1" t="s">
        <v>308</v>
      </c>
      <c r="J464" s="1" t="s">
        <v>34</v>
      </c>
      <c r="K464" s="1" t="s">
        <v>309</v>
      </c>
      <c r="L464" s="1" t="s">
        <v>82</v>
      </c>
      <c r="M464" s="1">
        <v>0</v>
      </c>
      <c r="N464" s="2">
        <f>M464/ActivityCenter!$K$22</f>
        <v>0</v>
      </c>
      <c r="Q464" s="1" t="s">
        <v>610</v>
      </c>
    </row>
    <row r="465" spans="1:17" x14ac:dyDescent="0.25">
      <c r="A465" s="1">
        <v>2018</v>
      </c>
      <c r="B465" s="1">
        <v>5</v>
      </c>
      <c r="C465" s="1" t="s">
        <v>63</v>
      </c>
      <c r="D465" s="1" t="s">
        <v>22</v>
      </c>
      <c r="E465" s="1" t="s">
        <v>23</v>
      </c>
      <c r="F465" s="1" t="s">
        <v>395</v>
      </c>
      <c r="G465" s="1" t="s">
        <v>396</v>
      </c>
      <c r="H465" s="1" t="s">
        <v>46</v>
      </c>
      <c r="I465" s="1" t="s">
        <v>308</v>
      </c>
      <c r="J465" s="1" t="s">
        <v>34</v>
      </c>
      <c r="K465" s="1" t="s">
        <v>309</v>
      </c>
      <c r="L465" s="1" t="s">
        <v>78</v>
      </c>
      <c r="M465" s="1">
        <v>0</v>
      </c>
      <c r="N465" s="2">
        <f>M465/ActivityCenter!$K$22</f>
        <v>0</v>
      </c>
      <c r="Q465" s="1" t="s">
        <v>610</v>
      </c>
    </row>
    <row r="466" spans="1:17" x14ac:dyDescent="0.25">
      <c r="A466" s="1">
        <v>2018</v>
      </c>
      <c r="B466" s="1">
        <v>5</v>
      </c>
      <c r="C466" s="1" t="s">
        <v>63</v>
      </c>
      <c r="D466" s="1" t="s">
        <v>22</v>
      </c>
      <c r="E466" s="1" t="s">
        <v>23</v>
      </c>
      <c r="F466" s="1" t="s">
        <v>395</v>
      </c>
      <c r="G466" s="1" t="s">
        <v>396</v>
      </c>
      <c r="H466" s="1" t="s">
        <v>46</v>
      </c>
      <c r="I466" s="1" t="s">
        <v>308</v>
      </c>
      <c r="J466" s="1" t="s">
        <v>34</v>
      </c>
      <c r="K466" s="1" t="s">
        <v>309</v>
      </c>
      <c r="L466" s="1" t="s">
        <v>84</v>
      </c>
      <c r="M466" s="1">
        <v>1985.4512195121999</v>
      </c>
      <c r="N466" s="2">
        <f>M466/ActivityCenter!$K$22</f>
        <v>240.00000000099121</v>
      </c>
      <c r="Q466" s="1" t="s">
        <v>610</v>
      </c>
    </row>
    <row r="467" spans="1:17" x14ac:dyDescent="0.25">
      <c r="A467" s="1">
        <v>2018</v>
      </c>
      <c r="B467" s="1">
        <v>5</v>
      </c>
      <c r="C467" s="1" t="s">
        <v>63</v>
      </c>
      <c r="D467" s="1" t="s">
        <v>22</v>
      </c>
      <c r="E467" s="1" t="s">
        <v>23</v>
      </c>
      <c r="F467" s="1" t="s">
        <v>395</v>
      </c>
      <c r="G467" s="1" t="s">
        <v>396</v>
      </c>
      <c r="H467" s="1" t="s">
        <v>46</v>
      </c>
      <c r="I467" s="1" t="s">
        <v>308</v>
      </c>
      <c r="J467" s="1" t="s">
        <v>34</v>
      </c>
      <c r="K467" s="1" t="s">
        <v>309</v>
      </c>
      <c r="L467" s="1" t="s">
        <v>85</v>
      </c>
      <c r="M467" s="1">
        <v>1323.6341463414999</v>
      </c>
      <c r="N467" s="2">
        <f>M467/ActivityCenter!$K$22</f>
        <v>160.00000000066481</v>
      </c>
      <c r="Q467" s="1" t="s">
        <v>610</v>
      </c>
    </row>
    <row r="468" spans="1:17" x14ac:dyDescent="0.25">
      <c r="A468" s="1">
        <v>2018</v>
      </c>
      <c r="B468" s="1">
        <v>5</v>
      </c>
      <c r="C468" s="1" t="s">
        <v>63</v>
      </c>
      <c r="D468" s="1" t="s">
        <v>22</v>
      </c>
      <c r="E468" s="1" t="s">
        <v>23</v>
      </c>
      <c r="F468" s="1" t="s">
        <v>525</v>
      </c>
      <c r="G468" s="1" t="s">
        <v>526</v>
      </c>
      <c r="H468" s="1" t="s">
        <v>46</v>
      </c>
      <c r="I468" s="1" t="s">
        <v>308</v>
      </c>
      <c r="J468" s="1" t="s">
        <v>34</v>
      </c>
      <c r="K468" s="1" t="s">
        <v>309</v>
      </c>
      <c r="L468" s="1" t="s">
        <v>84</v>
      </c>
      <c r="M468" s="1">
        <v>0</v>
      </c>
      <c r="N468" s="2">
        <f>M468/ActivityCenter!$K$22</f>
        <v>0</v>
      </c>
      <c r="Q468" s="1" t="s">
        <v>610</v>
      </c>
    </row>
    <row r="469" spans="1:17" x14ac:dyDescent="0.25">
      <c r="A469" s="1">
        <v>2018</v>
      </c>
      <c r="B469" s="1">
        <v>5</v>
      </c>
      <c r="C469" s="1" t="s">
        <v>63</v>
      </c>
      <c r="D469" s="1" t="s">
        <v>22</v>
      </c>
      <c r="E469" s="1" t="s">
        <v>23</v>
      </c>
      <c r="F469" s="1" t="s">
        <v>397</v>
      </c>
      <c r="G469" s="1" t="s">
        <v>398</v>
      </c>
      <c r="H469" s="1" t="s">
        <v>46</v>
      </c>
      <c r="I469" s="1" t="s">
        <v>308</v>
      </c>
      <c r="J469" s="1" t="s">
        <v>34</v>
      </c>
      <c r="K469" s="1" t="s">
        <v>309</v>
      </c>
      <c r="L469" s="1" t="s">
        <v>82</v>
      </c>
      <c r="M469" s="1">
        <v>0</v>
      </c>
      <c r="N469" s="2">
        <f>M469/ActivityCenter!$K$22</f>
        <v>0</v>
      </c>
      <c r="Q469" s="1" t="s">
        <v>610</v>
      </c>
    </row>
    <row r="470" spans="1:17" x14ac:dyDescent="0.25">
      <c r="A470" s="1">
        <v>2018</v>
      </c>
      <c r="B470" s="1">
        <v>5</v>
      </c>
      <c r="C470" s="1" t="s">
        <v>63</v>
      </c>
      <c r="D470" s="1" t="s">
        <v>22</v>
      </c>
      <c r="E470" s="1" t="s">
        <v>23</v>
      </c>
      <c r="F470" s="1" t="s">
        <v>397</v>
      </c>
      <c r="G470" s="1" t="s">
        <v>398</v>
      </c>
      <c r="H470" s="1" t="s">
        <v>46</v>
      </c>
      <c r="I470" s="1" t="s">
        <v>308</v>
      </c>
      <c r="J470" s="1" t="s">
        <v>34</v>
      </c>
      <c r="K470" s="1" t="s">
        <v>309</v>
      </c>
      <c r="L470" s="1" t="s">
        <v>84</v>
      </c>
      <c r="M470" s="1">
        <v>0</v>
      </c>
      <c r="N470" s="2">
        <f>M470/ActivityCenter!$K$22</f>
        <v>0</v>
      </c>
      <c r="Q470" s="1" t="s">
        <v>610</v>
      </c>
    </row>
    <row r="471" spans="1:17" x14ac:dyDescent="0.25">
      <c r="A471" s="1">
        <v>2018</v>
      </c>
      <c r="B471" s="1">
        <v>5</v>
      </c>
      <c r="C471" s="1" t="s">
        <v>63</v>
      </c>
      <c r="D471" s="1" t="s">
        <v>22</v>
      </c>
      <c r="E471" s="1" t="s">
        <v>23</v>
      </c>
      <c r="F471" s="1" t="s">
        <v>399</v>
      </c>
      <c r="G471" s="1" t="s">
        <v>400</v>
      </c>
      <c r="H471" s="1" t="s">
        <v>46</v>
      </c>
      <c r="I471" s="1" t="s">
        <v>308</v>
      </c>
      <c r="J471" s="1" t="s">
        <v>34</v>
      </c>
      <c r="K471" s="1" t="s">
        <v>309</v>
      </c>
      <c r="L471" s="1" t="s">
        <v>78</v>
      </c>
      <c r="M471" s="1">
        <v>0</v>
      </c>
      <c r="N471" s="2">
        <f>M471/ActivityCenter!$K$22</f>
        <v>0</v>
      </c>
      <c r="Q471" s="1" t="s">
        <v>610</v>
      </c>
    </row>
    <row r="472" spans="1:17" x14ac:dyDescent="0.25">
      <c r="A472" s="1">
        <v>2018</v>
      </c>
      <c r="B472" s="1">
        <v>5</v>
      </c>
      <c r="C472" s="1" t="s">
        <v>63</v>
      </c>
      <c r="D472" s="1" t="s">
        <v>22</v>
      </c>
      <c r="E472" s="1" t="s">
        <v>23</v>
      </c>
      <c r="F472" s="1" t="s">
        <v>399</v>
      </c>
      <c r="G472" s="1" t="s">
        <v>400</v>
      </c>
      <c r="H472" s="1" t="s">
        <v>46</v>
      </c>
      <c r="I472" s="1" t="s">
        <v>308</v>
      </c>
      <c r="J472" s="1" t="s">
        <v>34</v>
      </c>
      <c r="K472" s="1" t="s">
        <v>309</v>
      </c>
      <c r="L472" s="1" t="s">
        <v>85</v>
      </c>
      <c r="M472" s="1">
        <v>0</v>
      </c>
      <c r="N472" s="2">
        <f>M472/ActivityCenter!$K$22</f>
        <v>0</v>
      </c>
      <c r="Q472" s="1" t="s">
        <v>610</v>
      </c>
    </row>
    <row r="473" spans="1:17" x14ac:dyDescent="0.25">
      <c r="A473" s="1">
        <v>2018</v>
      </c>
      <c r="B473" s="1">
        <v>5</v>
      </c>
      <c r="C473" s="1" t="s">
        <v>63</v>
      </c>
      <c r="D473" s="1" t="s">
        <v>22</v>
      </c>
      <c r="E473" s="1" t="s">
        <v>23</v>
      </c>
      <c r="F473" s="1" t="s">
        <v>401</v>
      </c>
      <c r="G473" s="1" t="s">
        <v>402</v>
      </c>
      <c r="H473" s="1" t="s">
        <v>46</v>
      </c>
      <c r="I473" s="1" t="s">
        <v>308</v>
      </c>
      <c r="J473" s="1" t="s">
        <v>34</v>
      </c>
      <c r="K473" s="1" t="s">
        <v>309</v>
      </c>
      <c r="L473" s="1" t="s">
        <v>85</v>
      </c>
      <c r="M473" s="1">
        <v>1323.6341463414999</v>
      </c>
      <c r="N473" s="2">
        <f>M473/ActivityCenter!$K$22</f>
        <v>160.00000000066481</v>
      </c>
      <c r="Q473" s="1" t="s">
        <v>610</v>
      </c>
    </row>
    <row r="474" spans="1:17" x14ac:dyDescent="0.25">
      <c r="A474" s="1">
        <v>2018</v>
      </c>
      <c r="B474" s="1">
        <v>5</v>
      </c>
      <c r="C474" s="1" t="s">
        <v>63</v>
      </c>
      <c r="D474" s="1" t="s">
        <v>22</v>
      </c>
      <c r="E474" s="1" t="s">
        <v>23</v>
      </c>
      <c r="F474" s="1" t="s">
        <v>527</v>
      </c>
      <c r="G474" s="1" t="s">
        <v>528</v>
      </c>
      <c r="H474" s="1" t="s">
        <v>46</v>
      </c>
      <c r="I474" s="1" t="s">
        <v>308</v>
      </c>
      <c r="J474" s="1" t="s">
        <v>34</v>
      </c>
      <c r="K474" s="1" t="s">
        <v>309</v>
      </c>
      <c r="L474" s="1" t="s">
        <v>84</v>
      </c>
      <c r="M474" s="1">
        <v>0</v>
      </c>
      <c r="N474" s="2">
        <f>M474/ActivityCenter!$K$22</f>
        <v>0</v>
      </c>
      <c r="Q474" s="1" t="s">
        <v>610</v>
      </c>
    </row>
    <row r="475" spans="1:17" x14ac:dyDescent="0.25">
      <c r="A475" s="1">
        <v>2018</v>
      </c>
      <c r="B475" s="1">
        <v>5</v>
      </c>
      <c r="C475" s="1" t="s">
        <v>63</v>
      </c>
      <c r="D475" s="1" t="s">
        <v>22</v>
      </c>
      <c r="E475" s="1" t="s">
        <v>23</v>
      </c>
      <c r="F475" s="1" t="s">
        <v>527</v>
      </c>
      <c r="G475" s="1" t="s">
        <v>528</v>
      </c>
      <c r="H475" s="1" t="s">
        <v>46</v>
      </c>
      <c r="I475" s="1" t="s">
        <v>308</v>
      </c>
      <c r="J475" s="1" t="s">
        <v>34</v>
      </c>
      <c r="K475" s="1" t="s">
        <v>309</v>
      </c>
      <c r="L475" s="1" t="s">
        <v>103</v>
      </c>
      <c r="M475" s="1">
        <v>0</v>
      </c>
      <c r="N475" s="2">
        <f>M475/ActivityCenter!$K$22</f>
        <v>0</v>
      </c>
      <c r="Q475" s="1" t="s">
        <v>610</v>
      </c>
    </row>
    <row r="476" spans="1:17" x14ac:dyDescent="0.25">
      <c r="A476" s="1">
        <v>2018</v>
      </c>
      <c r="B476" s="1">
        <v>5</v>
      </c>
      <c r="C476" s="1" t="s">
        <v>63</v>
      </c>
      <c r="D476" s="1" t="s">
        <v>22</v>
      </c>
      <c r="E476" s="1" t="s">
        <v>23</v>
      </c>
      <c r="F476" s="1" t="s">
        <v>403</v>
      </c>
      <c r="G476" s="1" t="s">
        <v>404</v>
      </c>
      <c r="H476" s="1" t="s">
        <v>46</v>
      </c>
      <c r="I476" s="1" t="s">
        <v>308</v>
      </c>
      <c r="J476" s="1" t="s">
        <v>34</v>
      </c>
      <c r="K476" s="1" t="s">
        <v>309</v>
      </c>
      <c r="L476" s="1" t="s">
        <v>78</v>
      </c>
      <c r="M476" s="1">
        <v>0</v>
      </c>
      <c r="N476" s="2">
        <f>M476/ActivityCenter!$K$22</f>
        <v>0</v>
      </c>
      <c r="Q476" s="1" t="s">
        <v>610</v>
      </c>
    </row>
    <row r="477" spans="1:17" x14ac:dyDescent="0.25">
      <c r="A477" s="1">
        <v>2018</v>
      </c>
      <c r="B477" s="1">
        <v>5</v>
      </c>
      <c r="C477" s="1" t="s">
        <v>63</v>
      </c>
      <c r="D477" s="1" t="s">
        <v>22</v>
      </c>
      <c r="E477" s="1" t="s">
        <v>23</v>
      </c>
      <c r="F477" s="1" t="s">
        <v>403</v>
      </c>
      <c r="G477" s="1" t="s">
        <v>404</v>
      </c>
      <c r="H477" s="1" t="s">
        <v>46</v>
      </c>
      <c r="I477" s="1" t="s">
        <v>308</v>
      </c>
      <c r="J477" s="1" t="s">
        <v>34</v>
      </c>
      <c r="K477" s="1" t="s">
        <v>309</v>
      </c>
      <c r="L477" s="1" t="s">
        <v>82</v>
      </c>
      <c r="M477" s="1">
        <v>0</v>
      </c>
      <c r="N477" s="2">
        <f>M477/ActivityCenter!$K$22</f>
        <v>0</v>
      </c>
      <c r="Q477" s="1" t="s">
        <v>610</v>
      </c>
    </row>
    <row r="478" spans="1:17" x14ac:dyDescent="0.25">
      <c r="A478" s="1">
        <v>2018</v>
      </c>
      <c r="B478" s="1">
        <v>5</v>
      </c>
      <c r="C478" s="1" t="s">
        <v>63</v>
      </c>
      <c r="D478" s="1" t="s">
        <v>22</v>
      </c>
      <c r="E478" s="1" t="s">
        <v>23</v>
      </c>
      <c r="F478" s="1" t="s">
        <v>403</v>
      </c>
      <c r="G478" s="1" t="s">
        <v>404</v>
      </c>
      <c r="H478" s="1" t="s">
        <v>46</v>
      </c>
      <c r="I478" s="1" t="s">
        <v>308</v>
      </c>
      <c r="J478" s="1" t="s">
        <v>34</v>
      </c>
      <c r="K478" s="1" t="s">
        <v>309</v>
      </c>
      <c r="L478" s="1" t="s">
        <v>84</v>
      </c>
      <c r="M478" s="1">
        <v>1786.906097561</v>
      </c>
      <c r="N478" s="2">
        <f>M478/ActivityCenter!$K$22</f>
        <v>216.00000000089452</v>
      </c>
      <c r="Q478" s="1" t="s">
        <v>610</v>
      </c>
    </row>
    <row r="479" spans="1:17" x14ac:dyDescent="0.25">
      <c r="A479" s="1">
        <v>2018</v>
      </c>
      <c r="B479" s="1">
        <v>5</v>
      </c>
      <c r="C479" s="1" t="s">
        <v>63</v>
      </c>
      <c r="D479" s="1" t="s">
        <v>22</v>
      </c>
      <c r="E479" s="1" t="s">
        <v>23</v>
      </c>
      <c r="F479" s="1" t="s">
        <v>403</v>
      </c>
      <c r="G479" s="1" t="s">
        <v>404</v>
      </c>
      <c r="H479" s="1" t="s">
        <v>46</v>
      </c>
      <c r="I479" s="1" t="s">
        <v>308</v>
      </c>
      <c r="J479" s="1" t="s">
        <v>34</v>
      </c>
      <c r="K479" s="1" t="s">
        <v>309</v>
      </c>
      <c r="L479" s="1" t="s">
        <v>86</v>
      </c>
      <c r="M479" s="1">
        <v>0</v>
      </c>
      <c r="N479" s="2">
        <f>M479/ActivityCenter!$K$22</f>
        <v>0</v>
      </c>
      <c r="Q479" s="1" t="s">
        <v>610</v>
      </c>
    </row>
    <row r="480" spans="1:17" x14ac:dyDescent="0.25">
      <c r="A480" s="1">
        <v>2018</v>
      </c>
      <c r="B480" s="1">
        <v>5</v>
      </c>
      <c r="C480" s="1" t="s">
        <v>63</v>
      </c>
      <c r="D480" s="1" t="s">
        <v>22</v>
      </c>
      <c r="E480" s="1" t="s">
        <v>23</v>
      </c>
      <c r="F480" s="1" t="s">
        <v>529</v>
      </c>
      <c r="G480" s="1" t="s">
        <v>530</v>
      </c>
      <c r="H480" s="1" t="s">
        <v>46</v>
      </c>
      <c r="I480" s="1" t="s">
        <v>308</v>
      </c>
      <c r="J480" s="1" t="s">
        <v>34</v>
      </c>
      <c r="K480" s="1" t="s">
        <v>309</v>
      </c>
      <c r="L480" s="1" t="s">
        <v>85</v>
      </c>
      <c r="M480" s="1">
        <v>0</v>
      </c>
      <c r="N480" s="2">
        <f>M480/ActivityCenter!$K$22</f>
        <v>0</v>
      </c>
      <c r="Q480" s="1" t="s">
        <v>610</v>
      </c>
    </row>
    <row r="481" spans="1:17" x14ac:dyDescent="0.25">
      <c r="A481" s="1">
        <v>2018</v>
      </c>
      <c r="B481" s="1">
        <v>5</v>
      </c>
      <c r="C481" s="1" t="s">
        <v>63</v>
      </c>
      <c r="D481" s="1" t="s">
        <v>22</v>
      </c>
      <c r="E481" s="1" t="s">
        <v>23</v>
      </c>
      <c r="F481" s="1" t="s">
        <v>405</v>
      </c>
      <c r="G481" s="1" t="s">
        <v>406</v>
      </c>
      <c r="H481" s="1" t="s">
        <v>46</v>
      </c>
      <c r="I481" s="1" t="s">
        <v>308</v>
      </c>
      <c r="J481" s="1" t="s">
        <v>34</v>
      </c>
      <c r="K481" s="1" t="s">
        <v>309</v>
      </c>
      <c r="L481" s="1" t="s">
        <v>78</v>
      </c>
      <c r="M481" s="1">
        <v>0</v>
      </c>
      <c r="N481" s="2">
        <f>M481/ActivityCenter!$K$22</f>
        <v>0</v>
      </c>
      <c r="Q481" s="1" t="s">
        <v>610</v>
      </c>
    </row>
    <row r="482" spans="1:17" x14ac:dyDescent="0.25">
      <c r="A482" s="1">
        <v>2018</v>
      </c>
      <c r="B482" s="1">
        <v>5</v>
      </c>
      <c r="C482" s="1" t="s">
        <v>63</v>
      </c>
      <c r="D482" s="1" t="s">
        <v>22</v>
      </c>
      <c r="E482" s="1" t="s">
        <v>23</v>
      </c>
      <c r="F482" s="1" t="s">
        <v>405</v>
      </c>
      <c r="G482" s="1" t="s">
        <v>406</v>
      </c>
      <c r="H482" s="1" t="s">
        <v>46</v>
      </c>
      <c r="I482" s="1" t="s">
        <v>308</v>
      </c>
      <c r="J482" s="1" t="s">
        <v>34</v>
      </c>
      <c r="K482" s="1" t="s">
        <v>309</v>
      </c>
      <c r="L482" s="1" t="s">
        <v>82</v>
      </c>
      <c r="M482" s="1">
        <v>0</v>
      </c>
      <c r="N482" s="2">
        <f>M482/ActivityCenter!$K$22</f>
        <v>0</v>
      </c>
      <c r="Q482" s="1" t="s">
        <v>610</v>
      </c>
    </row>
    <row r="483" spans="1:17" x14ac:dyDescent="0.25">
      <c r="A483" s="1">
        <v>2018</v>
      </c>
      <c r="B483" s="1">
        <v>5</v>
      </c>
      <c r="C483" s="1" t="s">
        <v>63</v>
      </c>
      <c r="D483" s="1" t="s">
        <v>22</v>
      </c>
      <c r="E483" s="1" t="s">
        <v>23</v>
      </c>
      <c r="F483" s="1" t="s">
        <v>563</v>
      </c>
      <c r="G483" s="1" t="s">
        <v>564</v>
      </c>
      <c r="H483" s="1" t="s">
        <v>46</v>
      </c>
      <c r="I483" s="1" t="s">
        <v>308</v>
      </c>
      <c r="J483" s="1" t="s">
        <v>34</v>
      </c>
      <c r="K483" s="1" t="s">
        <v>309</v>
      </c>
      <c r="L483" s="1" t="s">
        <v>84</v>
      </c>
      <c r="M483" s="1">
        <v>1323.6341463414999</v>
      </c>
      <c r="N483" s="2">
        <f>M483/ActivityCenter!$K$22</f>
        <v>160.00000000066481</v>
      </c>
      <c r="Q483" s="1" t="s">
        <v>610</v>
      </c>
    </row>
    <row r="484" spans="1:17" x14ac:dyDescent="0.25">
      <c r="A484" s="1">
        <v>2018</v>
      </c>
      <c r="B484" s="1">
        <v>5</v>
      </c>
      <c r="C484" s="1" t="s">
        <v>63</v>
      </c>
      <c r="D484" s="1" t="s">
        <v>22</v>
      </c>
      <c r="E484" s="1" t="s">
        <v>23</v>
      </c>
      <c r="F484" s="1" t="s">
        <v>407</v>
      </c>
      <c r="G484" s="1" t="s">
        <v>408</v>
      </c>
      <c r="H484" s="1" t="s">
        <v>46</v>
      </c>
      <c r="I484" s="1" t="s">
        <v>308</v>
      </c>
      <c r="J484" s="1" t="s">
        <v>34</v>
      </c>
      <c r="K484" s="1" t="s">
        <v>309</v>
      </c>
      <c r="L484" s="1" t="s">
        <v>84</v>
      </c>
      <c r="M484" s="1">
        <v>3970.9024390243999</v>
      </c>
      <c r="N484" s="2">
        <f>M484/ActivityCenter!$K$22</f>
        <v>480.00000000198241</v>
      </c>
      <c r="Q484" s="1" t="s">
        <v>610</v>
      </c>
    </row>
    <row r="485" spans="1:17" x14ac:dyDescent="0.25">
      <c r="A485" s="1">
        <v>2018</v>
      </c>
      <c r="B485" s="1">
        <v>5</v>
      </c>
      <c r="C485" s="1" t="s">
        <v>63</v>
      </c>
      <c r="D485" s="1" t="s">
        <v>22</v>
      </c>
      <c r="E485" s="1" t="s">
        <v>23</v>
      </c>
      <c r="F485" s="1" t="s">
        <v>407</v>
      </c>
      <c r="G485" s="1" t="s">
        <v>408</v>
      </c>
      <c r="H485" s="1" t="s">
        <v>46</v>
      </c>
      <c r="I485" s="1" t="s">
        <v>308</v>
      </c>
      <c r="J485" s="1" t="s">
        <v>34</v>
      </c>
      <c r="K485" s="1" t="s">
        <v>309</v>
      </c>
      <c r="L485" s="1" t="s">
        <v>85</v>
      </c>
      <c r="M485" s="1">
        <v>1323.6341463414999</v>
      </c>
      <c r="N485" s="2">
        <f>M485/ActivityCenter!$K$22</f>
        <v>160.00000000066481</v>
      </c>
      <c r="Q485" s="1" t="s">
        <v>610</v>
      </c>
    </row>
    <row r="486" spans="1:17" x14ac:dyDescent="0.25">
      <c r="A486" s="1">
        <v>2018</v>
      </c>
      <c r="B486" s="1">
        <v>5</v>
      </c>
      <c r="C486" s="1" t="s">
        <v>63</v>
      </c>
      <c r="D486" s="1" t="s">
        <v>22</v>
      </c>
      <c r="E486" s="1" t="s">
        <v>23</v>
      </c>
      <c r="F486" s="1" t="s">
        <v>531</v>
      </c>
      <c r="G486" s="1" t="s">
        <v>532</v>
      </c>
      <c r="H486" s="1" t="s">
        <v>46</v>
      </c>
      <c r="I486" s="1" t="s">
        <v>308</v>
      </c>
      <c r="J486" s="1" t="s">
        <v>34</v>
      </c>
      <c r="K486" s="1" t="s">
        <v>309</v>
      </c>
      <c r="L486" s="1" t="s">
        <v>84</v>
      </c>
      <c r="M486" s="1">
        <v>0</v>
      </c>
      <c r="N486" s="2">
        <f>M486/ActivityCenter!$K$22</f>
        <v>0</v>
      </c>
      <c r="Q486" s="1" t="s">
        <v>610</v>
      </c>
    </row>
    <row r="487" spans="1:17" x14ac:dyDescent="0.25">
      <c r="A487" s="1">
        <v>2018</v>
      </c>
      <c r="B487" s="1">
        <v>5</v>
      </c>
      <c r="C487" s="1" t="s">
        <v>63</v>
      </c>
      <c r="D487" s="1" t="s">
        <v>22</v>
      </c>
      <c r="E487" s="1" t="s">
        <v>23</v>
      </c>
      <c r="F487" s="1" t="s">
        <v>565</v>
      </c>
      <c r="G487" s="1" t="s">
        <v>566</v>
      </c>
      <c r="H487" s="1" t="s">
        <v>46</v>
      </c>
      <c r="I487" s="1" t="s">
        <v>308</v>
      </c>
      <c r="J487" s="1" t="s">
        <v>34</v>
      </c>
      <c r="K487" s="1" t="s">
        <v>309</v>
      </c>
      <c r="L487" s="1" t="s">
        <v>85</v>
      </c>
      <c r="M487" s="1">
        <v>1985.4512195120001</v>
      </c>
      <c r="N487" s="2">
        <f>M487/ActivityCenter!$K$22</f>
        <v>240.00000000096705</v>
      </c>
      <c r="Q487" s="1" t="s">
        <v>610</v>
      </c>
    </row>
    <row r="488" spans="1:17" x14ac:dyDescent="0.25">
      <c r="A488" s="1">
        <v>2018</v>
      </c>
      <c r="B488" s="1">
        <v>5</v>
      </c>
      <c r="C488" s="1" t="s">
        <v>63</v>
      </c>
      <c r="D488" s="1" t="s">
        <v>22</v>
      </c>
      <c r="E488" s="1" t="s">
        <v>23</v>
      </c>
      <c r="F488" s="1" t="s">
        <v>533</v>
      </c>
      <c r="G488" s="1" t="s">
        <v>534</v>
      </c>
      <c r="H488" s="1" t="s">
        <v>46</v>
      </c>
      <c r="I488" s="1" t="s">
        <v>308</v>
      </c>
      <c r="J488" s="1" t="s">
        <v>34</v>
      </c>
      <c r="K488" s="1" t="s">
        <v>309</v>
      </c>
      <c r="L488" s="1" t="s">
        <v>84</v>
      </c>
      <c r="M488" s="1">
        <v>0</v>
      </c>
      <c r="N488" s="2">
        <f>M488/ActivityCenter!$K$22</f>
        <v>0</v>
      </c>
      <c r="Q488" s="1" t="s">
        <v>610</v>
      </c>
    </row>
    <row r="489" spans="1:17" x14ac:dyDescent="0.25">
      <c r="A489" s="1">
        <v>2018</v>
      </c>
      <c r="B489" s="1">
        <v>5</v>
      </c>
      <c r="C489" s="1" t="s">
        <v>63</v>
      </c>
      <c r="D489" s="1" t="s">
        <v>22</v>
      </c>
      <c r="E489" s="1" t="s">
        <v>23</v>
      </c>
      <c r="F489" s="1" t="s">
        <v>469</v>
      </c>
      <c r="G489" s="1" t="s">
        <v>470</v>
      </c>
      <c r="H489" s="1" t="s">
        <v>46</v>
      </c>
      <c r="I489" s="1" t="s">
        <v>308</v>
      </c>
      <c r="J489" s="1" t="s">
        <v>34</v>
      </c>
      <c r="K489" s="1" t="s">
        <v>309</v>
      </c>
      <c r="L489" s="1" t="s">
        <v>78</v>
      </c>
      <c r="M489" s="1">
        <v>0</v>
      </c>
      <c r="N489" s="2">
        <f>M489/ActivityCenter!$K$22</f>
        <v>0</v>
      </c>
      <c r="Q489" s="1" t="s">
        <v>610</v>
      </c>
    </row>
    <row r="490" spans="1:17" x14ac:dyDescent="0.25">
      <c r="A490" s="1">
        <v>2018</v>
      </c>
      <c r="B490" s="1">
        <v>5</v>
      </c>
      <c r="C490" s="1" t="s">
        <v>63</v>
      </c>
      <c r="D490" s="1" t="s">
        <v>22</v>
      </c>
      <c r="E490" s="1" t="s">
        <v>23</v>
      </c>
      <c r="F490" s="1" t="s">
        <v>469</v>
      </c>
      <c r="G490" s="1" t="s">
        <v>470</v>
      </c>
      <c r="H490" s="1" t="s">
        <v>46</v>
      </c>
      <c r="I490" s="1" t="s">
        <v>308</v>
      </c>
      <c r="J490" s="1" t="s">
        <v>34</v>
      </c>
      <c r="K490" s="1" t="s">
        <v>309</v>
      </c>
      <c r="L490" s="1" t="s">
        <v>84</v>
      </c>
      <c r="M490" s="1">
        <v>0</v>
      </c>
      <c r="N490" s="2">
        <f>M490/ActivityCenter!$K$22</f>
        <v>0</v>
      </c>
      <c r="Q490" s="1" t="s">
        <v>610</v>
      </c>
    </row>
    <row r="491" spans="1:17" x14ac:dyDescent="0.25">
      <c r="A491" s="1">
        <v>2018</v>
      </c>
      <c r="B491" s="1">
        <v>5</v>
      </c>
      <c r="C491" s="1" t="s">
        <v>63</v>
      </c>
      <c r="D491" s="1" t="s">
        <v>22</v>
      </c>
      <c r="E491" s="1" t="s">
        <v>23</v>
      </c>
      <c r="F491" s="1" t="s">
        <v>409</v>
      </c>
      <c r="G491" s="1" t="s">
        <v>410</v>
      </c>
      <c r="H491" s="1" t="s">
        <v>46</v>
      </c>
      <c r="I491" s="1" t="s">
        <v>308</v>
      </c>
      <c r="J491" s="1" t="s">
        <v>34</v>
      </c>
      <c r="K491" s="1" t="s">
        <v>309</v>
      </c>
      <c r="L491" s="1" t="s">
        <v>87</v>
      </c>
      <c r="M491" s="1">
        <v>0</v>
      </c>
      <c r="N491" s="2">
        <f>M491/ActivityCenter!$K$22</f>
        <v>0</v>
      </c>
      <c r="Q491" s="1" t="s">
        <v>610</v>
      </c>
    </row>
    <row r="492" spans="1:17" x14ac:dyDescent="0.25">
      <c r="A492" s="1">
        <v>2018</v>
      </c>
      <c r="B492" s="1">
        <v>5</v>
      </c>
      <c r="C492" s="1" t="s">
        <v>63</v>
      </c>
      <c r="D492" s="1" t="s">
        <v>22</v>
      </c>
      <c r="E492" s="1" t="s">
        <v>23</v>
      </c>
      <c r="F492" s="1" t="s">
        <v>411</v>
      </c>
      <c r="G492" s="1" t="s">
        <v>412</v>
      </c>
      <c r="H492" s="1" t="s">
        <v>46</v>
      </c>
      <c r="I492" s="1" t="s">
        <v>308</v>
      </c>
      <c r="J492" s="1" t="s">
        <v>34</v>
      </c>
      <c r="K492" s="1" t="s">
        <v>309</v>
      </c>
      <c r="L492" s="1" t="s">
        <v>86</v>
      </c>
      <c r="M492" s="1">
        <v>992.72560975609997</v>
      </c>
      <c r="N492" s="2">
        <f>M492/ActivityCenter!$K$22</f>
        <v>120.0000000004956</v>
      </c>
      <c r="Q492" s="1" t="s">
        <v>601</v>
      </c>
    </row>
    <row r="493" spans="1:17" x14ac:dyDescent="0.25">
      <c r="A493" s="1">
        <v>2018</v>
      </c>
      <c r="B493" s="1">
        <v>5</v>
      </c>
      <c r="C493" s="1" t="s">
        <v>63</v>
      </c>
      <c r="D493" s="1" t="s">
        <v>22</v>
      </c>
      <c r="E493" s="1" t="s">
        <v>23</v>
      </c>
      <c r="F493" s="1" t="s">
        <v>413</v>
      </c>
      <c r="G493" s="1" t="s">
        <v>414</v>
      </c>
      <c r="H493" s="1" t="s">
        <v>46</v>
      </c>
      <c r="I493" s="1" t="s">
        <v>308</v>
      </c>
      <c r="J493" s="1" t="s">
        <v>34</v>
      </c>
      <c r="K493" s="1" t="s">
        <v>309</v>
      </c>
      <c r="L493" s="1" t="s">
        <v>84</v>
      </c>
      <c r="M493" s="1">
        <v>0</v>
      </c>
      <c r="N493" s="2">
        <f>M493/ActivityCenter!$K$22</f>
        <v>0</v>
      </c>
      <c r="Q493" s="1" t="s">
        <v>601</v>
      </c>
    </row>
    <row r="494" spans="1:17" x14ac:dyDescent="0.25">
      <c r="A494" s="1">
        <v>2018</v>
      </c>
      <c r="B494" s="1">
        <v>5</v>
      </c>
      <c r="C494" s="1" t="s">
        <v>63</v>
      </c>
      <c r="D494" s="1" t="s">
        <v>22</v>
      </c>
      <c r="E494" s="1" t="s">
        <v>23</v>
      </c>
      <c r="F494" s="1" t="s">
        <v>471</v>
      </c>
      <c r="G494" s="1" t="s">
        <v>472</v>
      </c>
      <c r="H494" s="1" t="s">
        <v>46</v>
      </c>
      <c r="I494" s="1" t="s">
        <v>308</v>
      </c>
      <c r="J494" s="1" t="s">
        <v>34</v>
      </c>
      <c r="K494" s="1" t="s">
        <v>309</v>
      </c>
      <c r="L494" s="1" t="s">
        <v>84</v>
      </c>
      <c r="M494" s="1">
        <v>3309.0853658536998</v>
      </c>
      <c r="N494" s="2">
        <f>M494/ActivityCenter!$K$22</f>
        <v>400.00000000165602</v>
      </c>
      <c r="Q494" s="1" t="s">
        <v>601</v>
      </c>
    </row>
    <row r="495" spans="1:17" x14ac:dyDescent="0.25">
      <c r="A495" s="1">
        <v>2018</v>
      </c>
      <c r="B495" s="1">
        <v>5</v>
      </c>
      <c r="C495" s="1" t="s">
        <v>63</v>
      </c>
      <c r="D495" s="1" t="s">
        <v>22</v>
      </c>
      <c r="E495" s="1" t="s">
        <v>23</v>
      </c>
      <c r="F495" s="1" t="s">
        <v>471</v>
      </c>
      <c r="G495" s="1" t="s">
        <v>472</v>
      </c>
      <c r="H495" s="1" t="s">
        <v>46</v>
      </c>
      <c r="I495" s="1" t="s">
        <v>308</v>
      </c>
      <c r="J495" s="1" t="s">
        <v>34</v>
      </c>
      <c r="K495" s="1" t="s">
        <v>309</v>
      </c>
      <c r="L495" s="1" t="s">
        <v>87</v>
      </c>
      <c r="M495" s="1">
        <v>0</v>
      </c>
      <c r="N495" s="2">
        <f>M495/ActivityCenter!$K$22</f>
        <v>0</v>
      </c>
      <c r="Q495" s="1" t="s">
        <v>601</v>
      </c>
    </row>
    <row r="496" spans="1:17" x14ac:dyDescent="0.25">
      <c r="A496" s="1">
        <v>2018</v>
      </c>
      <c r="B496" s="1">
        <v>5</v>
      </c>
      <c r="C496" s="1" t="s">
        <v>63</v>
      </c>
      <c r="D496" s="1" t="s">
        <v>22</v>
      </c>
      <c r="E496" s="1" t="s">
        <v>23</v>
      </c>
      <c r="F496" s="1" t="s">
        <v>415</v>
      </c>
      <c r="G496" s="1" t="s">
        <v>416</v>
      </c>
      <c r="H496" s="1" t="s">
        <v>46</v>
      </c>
      <c r="I496" s="1" t="s">
        <v>308</v>
      </c>
      <c r="J496" s="1" t="s">
        <v>34</v>
      </c>
      <c r="K496" s="1" t="s">
        <v>309</v>
      </c>
      <c r="L496" s="1" t="s">
        <v>85</v>
      </c>
      <c r="M496" s="1">
        <v>0</v>
      </c>
      <c r="N496" s="2">
        <f>M496/ActivityCenter!$K$22</f>
        <v>0</v>
      </c>
      <c r="Q496" s="1" t="s">
        <v>601</v>
      </c>
    </row>
    <row r="497" spans="1:17" x14ac:dyDescent="0.25">
      <c r="A497" s="1">
        <v>2018</v>
      </c>
      <c r="B497" s="1">
        <v>5</v>
      </c>
      <c r="C497" s="1" t="s">
        <v>63</v>
      </c>
      <c r="D497" s="1" t="s">
        <v>22</v>
      </c>
      <c r="E497" s="1" t="s">
        <v>23</v>
      </c>
      <c r="F497" s="1" t="s">
        <v>417</v>
      </c>
      <c r="G497" s="1" t="s">
        <v>418</v>
      </c>
      <c r="H497" s="1" t="s">
        <v>46</v>
      </c>
      <c r="I497" s="1" t="s">
        <v>308</v>
      </c>
      <c r="J497" s="1" t="s">
        <v>34</v>
      </c>
      <c r="K497" s="1" t="s">
        <v>309</v>
      </c>
      <c r="L497" s="1" t="s">
        <v>84</v>
      </c>
      <c r="M497" s="1">
        <v>0</v>
      </c>
      <c r="N497" s="2">
        <f>M497/ActivityCenter!$K$22</f>
        <v>0</v>
      </c>
      <c r="Q497" s="1" t="s">
        <v>601</v>
      </c>
    </row>
    <row r="498" spans="1:17" x14ac:dyDescent="0.25">
      <c r="A498" s="1">
        <v>2018</v>
      </c>
      <c r="B498" s="1">
        <v>5</v>
      </c>
      <c r="C498" s="1" t="s">
        <v>63</v>
      </c>
      <c r="D498" s="1" t="s">
        <v>22</v>
      </c>
      <c r="E498" s="1" t="s">
        <v>23</v>
      </c>
      <c r="F498" s="1" t="s">
        <v>567</v>
      </c>
      <c r="G498" s="1" t="s">
        <v>568</v>
      </c>
      <c r="H498" s="1" t="s">
        <v>46</v>
      </c>
      <c r="I498" s="1" t="s">
        <v>308</v>
      </c>
      <c r="J498" s="1" t="s">
        <v>34</v>
      </c>
      <c r="K498" s="1" t="s">
        <v>309</v>
      </c>
      <c r="L498" s="1" t="s">
        <v>86</v>
      </c>
      <c r="M498" s="1">
        <v>1489.0884146341</v>
      </c>
      <c r="N498" s="2">
        <f>M498/ActivityCenter!$K$22</f>
        <v>180.00000000073737</v>
      </c>
      <c r="Q498" s="1" t="s">
        <v>601</v>
      </c>
    </row>
    <row r="499" spans="1:17" x14ac:dyDescent="0.25">
      <c r="A499" s="1">
        <v>2018</v>
      </c>
      <c r="B499" s="1">
        <v>5</v>
      </c>
      <c r="C499" s="1" t="s">
        <v>63</v>
      </c>
      <c r="D499" s="1" t="s">
        <v>22</v>
      </c>
      <c r="E499" s="1" t="s">
        <v>23</v>
      </c>
      <c r="F499" s="1" t="s">
        <v>419</v>
      </c>
      <c r="G499" s="1" t="s">
        <v>420</v>
      </c>
      <c r="H499" s="1" t="s">
        <v>46</v>
      </c>
      <c r="I499" s="1" t="s">
        <v>308</v>
      </c>
      <c r="J499" s="1" t="s">
        <v>34</v>
      </c>
      <c r="K499" s="1" t="s">
        <v>309</v>
      </c>
      <c r="L499" s="1" t="s">
        <v>82</v>
      </c>
      <c r="M499" s="1">
        <v>0</v>
      </c>
      <c r="N499" s="2">
        <f>M499/ActivityCenter!$K$22</f>
        <v>0</v>
      </c>
      <c r="Q499" s="1" t="s">
        <v>601</v>
      </c>
    </row>
    <row r="500" spans="1:17" x14ac:dyDescent="0.25">
      <c r="A500" s="1">
        <v>2018</v>
      </c>
      <c r="B500" s="1">
        <v>5</v>
      </c>
      <c r="C500" s="1" t="s">
        <v>63</v>
      </c>
      <c r="D500" s="1" t="s">
        <v>22</v>
      </c>
      <c r="E500" s="1" t="s">
        <v>23</v>
      </c>
      <c r="F500" s="1" t="s">
        <v>419</v>
      </c>
      <c r="G500" s="1" t="s">
        <v>420</v>
      </c>
      <c r="H500" s="1" t="s">
        <v>46</v>
      </c>
      <c r="I500" s="1" t="s">
        <v>308</v>
      </c>
      <c r="J500" s="1" t="s">
        <v>34</v>
      </c>
      <c r="K500" s="1" t="s">
        <v>309</v>
      </c>
      <c r="L500" s="1" t="s">
        <v>84</v>
      </c>
      <c r="M500" s="1">
        <v>0</v>
      </c>
      <c r="N500" s="2">
        <f>M500/ActivityCenter!$K$22</f>
        <v>0</v>
      </c>
      <c r="Q500" s="1" t="s">
        <v>601</v>
      </c>
    </row>
    <row r="501" spans="1:17" x14ac:dyDescent="0.25">
      <c r="A501" s="1">
        <v>2018</v>
      </c>
      <c r="B501" s="1">
        <v>5</v>
      </c>
      <c r="C501" s="1" t="s">
        <v>63</v>
      </c>
      <c r="D501" s="1" t="s">
        <v>22</v>
      </c>
      <c r="E501" s="1" t="s">
        <v>23</v>
      </c>
      <c r="F501" s="1" t="s">
        <v>419</v>
      </c>
      <c r="G501" s="1" t="s">
        <v>420</v>
      </c>
      <c r="H501" s="1" t="s">
        <v>46</v>
      </c>
      <c r="I501" s="1" t="s">
        <v>308</v>
      </c>
      <c r="J501" s="1" t="s">
        <v>34</v>
      </c>
      <c r="K501" s="1" t="s">
        <v>309</v>
      </c>
      <c r="L501" s="1" t="s">
        <v>85</v>
      </c>
      <c r="M501" s="1">
        <v>0</v>
      </c>
      <c r="N501" s="2">
        <f>M501/ActivityCenter!$K$22</f>
        <v>0</v>
      </c>
      <c r="Q501" s="1" t="s">
        <v>601</v>
      </c>
    </row>
    <row r="502" spans="1:17" x14ac:dyDescent="0.25">
      <c r="A502" s="1">
        <v>2018</v>
      </c>
      <c r="B502" s="1">
        <v>5</v>
      </c>
      <c r="C502" s="1" t="s">
        <v>63</v>
      </c>
      <c r="D502" s="1" t="s">
        <v>22</v>
      </c>
      <c r="E502" s="1" t="s">
        <v>23</v>
      </c>
      <c r="F502" s="1" t="s">
        <v>535</v>
      </c>
      <c r="G502" s="1" t="s">
        <v>536</v>
      </c>
      <c r="H502" s="1" t="s">
        <v>46</v>
      </c>
      <c r="I502" s="1" t="s">
        <v>308</v>
      </c>
      <c r="J502" s="1" t="s">
        <v>34</v>
      </c>
      <c r="K502" s="1" t="s">
        <v>309</v>
      </c>
      <c r="L502" s="1" t="s">
        <v>85</v>
      </c>
      <c r="M502" s="1">
        <v>0</v>
      </c>
      <c r="N502" s="2">
        <f>M502/ActivityCenter!$K$22</f>
        <v>0</v>
      </c>
      <c r="Q502" s="1" t="s">
        <v>601</v>
      </c>
    </row>
    <row r="503" spans="1:17" x14ac:dyDescent="0.25">
      <c r="A503" s="1">
        <v>2018</v>
      </c>
      <c r="B503" s="1">
        <v>5</v>
      </c>
      <c r="C503" s="1" t="s">
        <v>63</v>
      </c>
      <c r="D503" s="1" t="s">
        <v>22</v>
      </c>
      <c r="E503" s="1" t="s">
        <v>23</v>
      </c>
      <c r="F503" s="1" t="s">
        <v>535</v>
      </c>
      <c r="G503" s="1" t="s">
        <v>536</v>
      </c>
      <c r="H503" s="1" t="s">
        <v>46</v>
      </c>
      <c r="I503" s="1" t="s">
        <v>308</v>
      </c>
      <c r="J503" s="1" t="s">
        <v>34</v>
      </c>
      <c r="K503" s="1" t="s">
        <v>309</v>
      </c>
      <c r="L503" s="1" t="s">
        <v>103</v>
      </c>
      <c r="M503" s="1">
        <v>0</v>
      </c>
      <c r="N503" s="2">
        <f>M503/ActivityCenter!$K$22</f>
        <v>0</v>
      </c>
      <c r="Q503" s="1" t="s">
        <v>601</v>
      </c>
    </row>
    <row r="504" spans="1:17" x14ac:dyDescent="0.25">
      <c r="A504" s="1">
        <v>2018</v>
      </c>
      <c r="B504" s="1">
        <v>5</v>
      </c>
      <c r="C504" s="1" t="s">
        <v>63</v>
      </c>
      <c r="D504" s="1" t="s">
        <v>22</v>
      </c>
      <c r="E504" s="1" t="s">
        <v>23</v>
      </c>
      <c r="F504" s="1" t="s">
        <v>421</v>
      </c>
      <c r="G504" s="1" t="s">
        <v>422</v>
      </c>
      <c r="H504" s="1" t="s">
        <v>46</v>
      </c>
      <c r="I504" s="1" t="s">
        <v>308</v>
      </c>
      <c r="J504" s="1" t="s">
        <v>34</v>
      </c>
      <c r="K504" s="1" t="s">
        <v>309</v>
      </c>
      <c r="L504" s="1" t="s">
        <v>84</v>
      </c>
      <c r="M504" s="1">
        <v>0</v>
      </c>
      <c r="N504" s="2">
        <f>M504/ActivityCenter!$K$22</f>
        <v>0</v>
      </c>
      <c r="Q504" s="1" t="s">
        <v>601</v>
      </c>
    </row>
    <row r="505" spans="1:17" x14ac:dyDescent="0.25">
      <c r="A505" s="1">
        <v>2018</v>
      </c>
      <c r="B505" s="1">
        <v>5</v>
      </c>
      <c r="C505" s="1" t="s">
        <v>63</v>
      </c>
      <c r="D505" s="1" t="s">
        <v>22</v>
      </c>
      <c r="E505" s="1" t="s">
        <v>23</v>
      </c>
      <c r="F505" s="1" t="s">
        <v>537</v>
      </c>
      <c r="G505" s="1" t="s">
        <v>538</v>
      </c>
      <c r="H505" s="1" t="s">
        <v>46</v>
      </c>
      <c r="I505" s="1" t="s">
        <v>308</v>
      </c>
      <c r="J505" s="1" t="s">
        <v>34</v>
      </c>
      <c r="K505" s="1" t="s">
        <v>309</v>
      </c>
      <c r="L505" s="1" t="s">
        <v>84</v>
      </c>
      <c r="M505" s="1">
        <v>0</v>
      </c>
      <c r="N505" s="2">
        <f>M505/ActivityCenter!$K$22</f>
        <v>0</v>
      </c>
      <c r="Q505" s="1" t="s">
        <v>601</v>
      </c>
    </row>
    <row r="506" spans="1:17" x14ac:dyDescent="0.25">
      <c r="A506" s="1">
        <v>2018</v>
      </c>
      <c r="B506" s="1">
        <v>5</v>
      </c>
      <c r="C506" s="1" t="s">
        <v>63</v>
      </c>
      <c r="D506" s="1" t="s">
        <v>22</v>
      </c>
      <c r="E506" s="1" t="s">
        <v>23</v>
      </c>
      <c r="F506" s="1" t="s">
        <v>423</v>
      </c>
      <c r="G506" s="1" t="s">
        <v>424</v>
      </c>
      <c r="H506" s="1" t="s">
        <v>46</v>
      </c>
      <c r="I506" s="1" t="s">
        <v>308</v>
      </c>
      <c r="J506" s="1" t="s">
        <v>34</v>
      </c>
      <c r="K506" s="1" t="s">
        <v>309</v>
      </c>
      <c r="L506" s="1" t="s">
        <v>84</v>
      </c>
      <c r="M506" s="1">
        <v>1323.6341463414999</v>
      </c>
      <c r="N506" s="2">
        <f>M506/ActivityCenter!$K$22</f>
        <v>160.00000000066481</v>
      </c>
      <c r="Q506" s="1" t="s">
        <v>601</v>
      </c>
    </row>
    <row r="507" spans="1:17" x14ac:dyDescent="0.25">
      <c r="A507" s="1">
        <v>2018</v>
      </c>
      <c r="B507" s="1">
        <v>5</v>
      </c>
      <c r="C507" s="1" t="s">
        <v>63</v>
      </c>
      <c r="D507" s="1" t="s">
        <v>22</v>
      </c>
      <c r="E507" s="1" t="s">
        <v>23</v>
      </c>
      <c r="F507" s="1" t="s">
        <v>425</v>
      </c>
      <c r="G507" s="1" t="s">
        <v>426</v>
      </c>
      <c r="H507" s="1" t="s">
        <v>46</v>
      </c>
      <c r="I507" s="1" t="s">
        <v>308</v>
      </c>
      <c r="J507" s="1" t="s">
        <v>34</v>
      </c>
      <c r="K507" s="1" t="s">
        <v>309</v>
      </c>
      <c r="L507" s="1" t="s">
        <v>84</v>
      </c>
      <c r="M507" s="1">
        <v>0</v>
      </c>
      <c r="N507" s="2">
        <f>M507/ActivityCenter!$K$22</f>
        <v>0</v>
      </c>
      <c r="Q507" s="1" t="s">
        <v>601</v>
      </c>
    </row>
    <row r="508" spans="1:17" x14ac:dyDescent="0.25">
      <c r="A508" s="1">
        <v>2018</v>
      </c>
      <c r="B508" s="1">
        <v>5</v>
      </c>
      <c r="C508" s="1" t="s">
        <v>63</v>
      </c>
      <c r="D508" s="1" t="s">
        <v>22</v>
      </c>
      <c r="E508" s="1" t="s">
        <v>23</v>
      </c>
      <c r="F508" s="1" t="s">
        <v>425</v>
      </c>
      <c r="G508" s="1" t="s">
        <v>426</v>
      </c>
      <c r="H508" s="1" t="s">
        <v>46</v>
      </c>
      <c r="I508" s="1" t="s">
        <v>308</v>
      </c>
      <c r="J508" s="1" t="s">
        <v>34</v>
      </c>
      <c r="K508" s="1" t="s">
        <v>309</v>
      </c>
      <c r="L508" s="1" t="s">
        <v>87</v>
      </c>
      <c r="M508" s="1">
        <v>0</v>
      </c>
      <c r="N508" s="2">
        <f>M508/ActivityCenter!$K$22</f>
        <v>0</v>
      </c>
      <c r="Q508" s="1" t="s">
        <v>601</v>
      </c>
    </row>
    <row r="509" spans="1:17" x14ac:dyDescent="0.25">
      <c r="A509" s="1">
        <v>2018</v>
      </c>
      <c r="B509" s="1">
        <v>5</v>
      </c>
      <c r="C509" s="1" t="s">
        <v>63</v>
      </c>
      <c r="D509" s="1" t="s">
        <v>22</v>
      </c>
      <c r="E509" s="1" t="s">
        <v>23</v>
      </c>
      <c r="F509" s="1" t="s">
        <v>427</v>
      </c>
      <c r="G509" s="1" t="s">
        <v>428</v>
      </c>
      <c r="H509" s="1" t="s">
        <v>46</v>
      </c>
      <c r="I509" s="1" t="s">
        <v>308</v>
      </c>
      <c r="J509" s="1" t="s">
        <v>34</v>
      </c>
      <c r="K509" s="1" t="s">
        <v>309</v>
      </c>
      <c r="L509" s="1" t="s">
        <v>78</v>
      </c>
      <c r="M509" s="1">
        <v>0</v>
      </c>
      <c r="N509" s="2">
        <f>M509/ActivityCenter!$K$22</f>
        <v>0</v>
      </c>
      <c r="Q509" s="1" t="s">
        <v>601</v>
      </c>
    </row>
    <row r="510" spans="1:17" x14ac:dyDescent="0.25">
      <c r="A510" s="1">
        <v>2018</v>
      </c>
      <c r="B510" s="1">
        <v>5</v>
      </c>
      <c r="C510" s="1" t="s">
        <v>63</v>
      </c>
      <c r="D510" s="1" t="s">
        <v>22</v>
      </c>
      <c r="E510" s="1" t="s">
        <v>23</v>
      </c>
      <c r="F510" s="1" t="s">
        <v>427</v>
      </c>
      <c r="G510" s="1" t="s">
        <v>428</v>
      </c>
      <c r="H510" s="1" t="s">
        <v>46</v>
      </c>
      <c r="I510" s="1" t="s">
        <v>308</v>
      </c>
      <c r="J510" s="1" t="s">
        <v>34</v>
      </c>
      <c r="K510" s="1" t="s">
        <v>309</v>
      </c>
      <c r="L510" s="1" t="s">
        <v>84</v>
      </c>
      <c r="M510" s="1">
        <v>0</v>
      </c>
      <c r="N510" s="2">
        <f>M510/ActivityCenter!$K$22</f>
        <v>0</v>
      </c>
      <c r="Q510" s="1" t="s">
        <v>601</v>
      </c>
    </row>
    <row r="511" spans="1:17" x14ac:dyDescent="0.25">
      <c r="A511" s="1">
        <v>2018</v>
      </c>
      <c r="B511" s="1">
        <v>5</v>
      </c>
      <c r="C511" s="1" t="s">
        <v>63</v>
      </c>
      <c r="D511" s="1" t="s">
        <v>22</v>
      </c>
      <c r="E511" s="1" t="s">
        <v>23</v>
      </c>
      <c r="F511" s="1" t="s">
        <v>539</v>
      </c>
      <c r="G511" s="1" t="s">
        <v>540</v>
      </c>
      <c r="H511" s="1" t="s">
        <v>46</v>
      </c>
      <c r="I511" s="1" t="s">
        <v>308</v>
      </c>
      <c r="J511" s="1" t="s">
        <v>34</v>
      </c>
      <c r="K511" s="1" t="s">
        <v>309</v>
      </c>
      <c r="L511" s="1" t="s">
        <v>85</v>
      </c>
      <c r="M511" s="1">
        <v>0</v>
      </c>
      <c r="N511" s="2">
        <f>M511/ActivityCenter!$K$22</f>
        <v>0</v>
      </c>
      <c r="Q511" s="1" t="s">
        <v>601</v>
      </c>
    </row>
    <row r="512" spans="1:17" x14ac:dyDescent="0.25">
      <c r="A512" s="1">
        <v>2018</v>
      </c>
      <c r="B512" s="1">
        <v>5</v>
      </c>
      <c r="C512" s="1" t="s">
        <v>63</v>
      </c>
      <c r="D512" s="1" t="s">
        <v>22</v>
      </c>
      <c r="E512" s="1" t="s">
        <v>23</v>
      </c>
      <c r="F512" s="1" t="s">
        <v>429</v>
      </c>
      <c r="G512" s="1" t="s">
        <v>430</v>
      </c>
      <c r="H512" s="1" t="s">
        <v>46</v>
      </c>
      <c r="I512" s="1" t="s">
        <v>308</v>
      </c>
      <c r="J512" s="1" t="s">
        <v>34</v>
      </c>
      <c r="K512" s="1" t="s">
        <v>309</v>
      </c>
      <c r="L512" s="1" t="s">
        <v>84</v>
      </c>
      <c r="M512" s="1">
        <v>1985.4512195121999</v>
      </c>
      <c r="N512" s="2">
        <f>M512/ActivityCenter!$K$22</f>
        <v>240.00000000099121</v>
      </c>
      <c r="Q512" s="1" t="s">
        <v>601</v>
      </c>
    </row>
    <row r="513" spans="1:17" x14ac:dyDescent="0.25">
      <c r="A513" s="1">
        <v>2018</v>
      </c>
      <c r="B513" s="1">
        <v>5</v>
      </c>
      <c r="C513" s="1" t="s">
        <v>63</v>
      </c>
      <c r="D513" s="1" t="s">
        <v>22</v>
      </c>
      <c r="E513" s="1" t="s">
        <v>23</v>
      </c>
      <c r="F513" s="1" t="s">
        <v>429</v>
      </c>
      <c r="G513" s="1" t="s">
        <v>430</v>
      </c>
      <c r="H513" s="1" t="s">
        <v>46</v>
      </c>
      <c r="I513" s="1" t="s">
        <v>308</v>
      </c>
      <c r="J513" s="1" t="s">
        <v>34</v>
      </c>
      <c r="K513" s="1" t="s">
        <v>309</v>
      </c>
      <c r="L513" s="1" t="s">
        <v>86</v>
      </c>
      <c r="M513" s="1">
        <v>1654.5426829267999</v>
      </c>
      <c r="N513" s="2">
        <f>M513/ActivityCenter!$K$22</f>
        <v>200.00000000082196</v>
      </c>
      <c r="Q513" s="1" t="s">
        <v>601</v>
      </c>
    </row>
    <row r="514" spans="1:17" x14ac:dyDescent="0.25">
      <c r="A514" s="1">
        <v>2018</v>
      </c>
      <c r="B514" s="1">
        <v>5</v>
      </c>
      <c r="C514" s="1" t="s">
        <v>63</v>
      </c>
      <c r="D514" s="1" t="s">
        <v>22</v>
      </c>
      <c r="E514" s="1" t="s">
        <v>23</v>
      </c>
      <c r="F514" s="1" t="s">
        <v>429</v>
      </c>
      <c r="G514" s="1" t="s">
        <v>430</v>
      </c>
      <c r="H514" s="1" t="s">
        <v>46</v>
      </c>
      <c r="I514" s="1" t="s">
        <v>308</v>
      </c>
      <c r="J514" s="1" t="s">
        <v>34</v>
      </c>
      <c r="K514" s="1" t="s">
        <v>309</v>
      </c>
      <c r="L514" s="1" t="s">
        <v>87</v>
      </c>
      <c r="M514" s="1">
        <v>0</v>
      </c>
      <c r="N514" s="2">
        <f>M514/ActivityCenter!$K$22</f>
        <v>0</v>
      </c>
      <c r="Q514" s="1" t="s">
        <v>601</v>
      </c>
    </row>
    <row r="515" spans="1:17" x14ac:dyDescent="0.25">
      <c r="A515" s="1">
        <v>2018</v>
      </c>
      <c r="B515" s="1">
        <v>5</v>
      </c>
      <c r="C515" s="1" t="s">
        <v>63</v>
      </c>
      <c r="D515" s="1" t="s">
        <v>22</v>
      </c>
      <c r="E515" s="1" t="s">
        <v>23</v>
      </c>
      <c r="F515" s="1" t="s">
        <v>431</v>
      </c>
      <c r="G515" s="1" t="s">
        <v>432</v>
      </c>
      <c r="H515" s="1" t="s">
        <v>46</v>
      </c>
      <c r="I515" s="1" t="s">
        <v>308</v>
      </c>
      <c r="J515" s="1" t="s">
        <v>34</v>
      </c>
      <c r="K515" s="1" t="s">
        <v>309</v>
      </c>
      <c r="L515" s="1" t="s">
        <v>84</v>
      </c>
      <c r="M515" s="1">
        <v>1489.0884146341</v>
      </c>
      <c r="N515" s="2">
        <f>M515/ActivityCenter!$K$22</f>
        <v>180.00000000073737</v>
      </c>
      <c r="Q515" s="1" t="s">
        <v>601</v>
      </c>
    </row>
    <row r="516" spans="1:17" x14ac:dyDescent="0.25">
      <c r="A516" s="1">
        <v>2018</v>
      </c>
      <c r="B516" s="1">
        <v>5</v>
      </c>
      <c r="C516" s="1" t="s">
        <v>63</v>
      </c>
      <c r="D516" s="1" t="s">
        <v>22</v>
      </c>
      <c r="E516" s="1" t="s">
        <v>23</v>
      </c>
      <c r="F516" s="1" t="s">
        <v>431</v>
      </c>
      <c r="G516" s="1" t="s">
        <v>432</v>
      </c>
      <c r="H516" s="1" t="s">
        <v>46</v>
      </c>
      <c r="I516" s="1" t="s">
        <v>308</v>
      </c>
      <c r="J516" s="1" t="s">
        <v>34</v>
      </c>
      <c r="K516" s="1" t="s">
        <v>309</v>
      </c>
      <c r="L516" s="1" t="s">
        <v>85</v>
      </c>
      <c r="M516" s="1">
        <v>0</v>
      </c>
      <c r="N516" s="2">
        <f>M516/ActivityCenter!$K$22</f>
        <v>0</v>
      </c>
      <c r="Q516" s="1" t="s">
        <v>601</v>
      </c>
    </row>
    <row r="517" spans="1:17" x14ac:dyDescent="0.25">
      <c r="A517" s="1">
        <v>2018</v>
      </c>
      <c r="B517" s="1">
        <v>5</v>
      </c>
      <c r="C517" s="1" t="s">
        <v>63</v>
      </c>
      <c r="D517" s="1" t="s">
        <v>22</v>
      </c>
      <c r="E517" s="1" t="s">
        <v>23</v>
      </c>
      <c r="F517" s="1" t="s">
        <v>433</v>
      </c>
      <c r="G517" s="1" t="s">
        <v>434</v>
      </c>
      <c r="H517" s="1" t="s">
        <v>46</v>
      </c>
      <c r="I517" s="1" t="s">
        <v>308</v>
      </c>
      <c r="J517" s="1" t="s">
        <v>34</v>
      </c>
      <c r="K517" s="1" t="s">
        <v>309</v>
      </c>
      <c r="L517" s="1" t="s">
        <v>85</v>
      </c>
      <c r="M517" s="1">
        <v>0</v>
      </c>
      <c r="N517" s="2">
        <f>M517/ActivityCenter!$K$22</f>
        <v>0</v>
      </c>
      <c r="Q517" s="1" t="s">
        <v>601</v>
      </c>
    </row>
    <row r="518" spans="1:17" x14ac:dyDescent="0.25">
      <c r="A518" s="1">
        <v>2018</v>
      </c>
      <c r="B518" s="1">
        <v>5</v>
      </c>
      <c r="C518" s="1" t="s">
        <v>63</v>
      </c>
      <c r="D518" s="1" t="s">
        <v>22</v>
      </c>
      <c r="E518" s="1" t="s">
        <v>23</v>
      </c>
      <c r="F518" s="1" t="s">
        <v>435</v>
      </c>
      <c r="G518" s="1" t="s">
        <v>436</v>
      </c>
      <c r="H518" s="1" t="s">
        <v>46</v>
      </c>
      <c r="I518" s="1" t="s">
        <v>308</v>
      </c>
      <c r="J518" s="1" t="s">
        <v>34</v>
      </c>
      <c r="K518" s="1" t="s">
        <v>309</v>
      </c>
      <c r="L518" s="1" t="s">
        <v>85</v>
      </c>
      <c r="M518" s="1">
        <v>0</v>
      </c>
      <c r="N518" s="2">
        <f>M518/ActivityCenter!$K$22</f>
        <v>0</v>
      </c>
      <c r="Q518" s="1" t="s">
        <v>601</v>
      </c>
    </row>
    <row r="519" spans="1:17" x14ac:dyDescent="0.25">
      <c r="A519" s="1">
        <v>2018</v>
      </c>
      <c r="B519" s="1">
        <v>5</v>
      </c>
      <c r="C519" s="1" t="s">
        <v>63</v>
      </c>
      <c r="D519" s="1" t="s">
        <v>22</v>
      </c>
      <c r="E519" s="1" t="s">
        <v>23</v>
      </c>
      <c r="F519" s="1" t="s">
        <v>435</v>
      </c>
      <c r="G519" s="1" t="s">
        <v>436</v>
      </c>
      <c r="H519" s="1" t="s">
        <v>46</v>
      </c>
      <c r="I519" s="1" t="s">
        <v>308</v>
      </c>
      <c r="J519" s="1" t="s">
        <v>34</v>
      </c>
      <c r="K519" s="1" t="s">
        <v>309</v>
      </c>
      <c r="L519" s="1" t="s">
        <v>86</v>
      </c>
      <c r="M519" s="1">
        <v>0</v>
      </c>
      <c r="N519" s="2">
        <f>M519/ActivityCenter!$K$22</f>
        <v>0</v>
      </c>
      <c r="Q519" s="1" t="s">
        <v>601</v>
      </c>
    </row>
    <row r="520" spans="1:17" x14ac:dyDescent="0.25">
      <c r="A520" s="1">
        <v>2018</v>
      </c>
      <c r="B520" s="1">
        <v>5</v>
      </c>
      <c r="C520" s="1" t="s">
        <v>63</v>
      </c>
      <c r="D520" s="1" t="s">
        <v>22</v>
      </c>
      <c r="E520" s="1" t="s">
        <v>23</v>
      </c>
      <c r="F520" s="1" t="s">
        <v>569</v>
      </c>
      <c r="G520" s="1" t="s">
        <v>570</v>
      </c>
      <c r="H520" s="1" t="s">
        <v>46</v>
      </c>
      <c r="I520" s="1" t="s">
        <v>308</v>
      </c>
      <c r="J520" s="1" t="s">
        <v>34</v>
      </c>
      <c r="K520" s="1" t="s">
        <v>309</v>
      </c>
      <c r="L520" s="1" t="s">
        <v>84</v>
      </c>
      <c r="M520" s="1">
        <v>41.363567073200002</v>
      </c>
      <c r="N520" s="2">
        <f>M520/ActivityCenter!$K$22</f>
        <v>5.0000000000241762</v>
      </c>
      <c r="Q520" s="1" t="s">
        <v>601</v>
      </c>
    </row>
    <row r="521" spans="1:17" x14ac:dyDescent="0.25">
      <c r="A521" s="1">
        <v>2018</v>
      </c>
      <c r="B521" s="1">
        <v>5</v>
      </c>
      <c r="C521" s="1" t="s">
        <v>63</v>
      </c>
      <c r="D521" s="1" t="s">
        <v>22</v>
      </c>
      <c r="E521" s="1" t="s">
        <v>23</v>
      </c>
      <c r="F521" s="1" t="s">
        <v>437</v>
      </c>
      <c r="G521" s="1" t="s">
        <v>438</v>
      </c>
      <c r="H521" s="1" t="s">
        <v>46</v>
      </c>
      <c r="I521" s="1" t="s">
        <v>308</v>
      </c>
      <c r="J521" s="1" t="s">
        <v>34</v>
      </c>
      <c r="K521" s="1" t="s">
        <v>309</v>
      </c>
      <c r="L521" s="1" t="s">
        <v>82</v>
      </c>
      <c r="M521" s="1">
        <v>0</v>
      </c>
      <c r="N521" s="2">
        <f>M521/ActivityCenter!$K$22</f>
        <v>0</v>
      </c>
      <c r="Q521" s="1" t="s">
        <v>601</v>
      </c>
    </row>
    <row r="522" spans="1:17" x14ac:dyDescent="0.25">
      <c r="A522" s="1">
        <v>2018</v>
      </c>
      <c r="B522" s="1">
        <v>5</v>
      </c>
      <c r="C522" s="1" t="s">
        <v>63</v>
      </c>
      <c r="D522" s="1" t="s">
        <v>22</v>
      </c>
      <c r="E522" s="1" t="s">
        <v>23</v>
      </c>
      <c r="F522" s="1" t="s">
        <v>437</v>
      </c>
      <c r="G522" s="1" t="s">
        <v>438</v>
      </c>
      <c r="H522" s="1" t="s">
        <v>46</v>
      </c>
      <c r="I522" s="1" t="s">
        <v>308</v>
      </c>
      <c r="J522" s="1" t="s">
        <v>34</v>
      </c>
      <c r="K522" s="1" t="s">
        <v>309</v>
      </c>
      <c r="L522" s="1" t="s">
        <v>86</v>
      </c>
      <c r="M522" s="1">
        <v>2142.6327743902002</v>
      </c>
      <c r="N522" s="2">
        <f>M522/ActivityCenter!$K$22</f>
        <v>259.00000000106377</v>
      </c>
      <c r="Q522" s="1" t="s">
        <v>601</v>
      </c>
    </row>
    <row r="523" spans="1:17" x14ac:dyDescent="0.25">
      <c r="A523" s="1">
        <v>2018</v>
      </c>
      <c r="B523" s="1">
        <v>5</v>
      </c>
      <c r="C523" s="1" t="s">
        <v>63</v>
      </c>
      <c r="D523" s="1" t="s">
        <v>22</v>
      </c>
      <c r="E523" s="1" t="s">
        <v>23</v>
      </c>
      <c r="F523" s="1" t="s">
        <v>541</v>
      </c>
      <c r="G523" s="1" t="s">
        <v>542</v>
      </c>
      <c r="H523" s="1" t="s">
        <v>46</v>
      </c>
      <c r="I523" s="1" t="s">
        <v>308</v>
      </c>
      <c r="J523" s="1" t="s">
        <v>34</v>
      </c>
      <c r="K523" s="1" t="s">
        <v>309</v>
      </c>
      <c r="L523" s="1" t="s">
        <v>84</v>
      </c>
      <c r="M523" s="1">
        <v>1588.3609756098001</v>
      </c>
      <c r="N523" s="2">
        <f>M523/ActivityCenter!$K$22</f>
        <v>192.00000000079783</v>
      </c>
      <c r="Q523" s="1" t="s">
        <v>601</v>
      </c>
    </row>
    <row r="524" spans="1:17" x14ac:dyDescent="0.25">
      <c r="A524" s="1">
        <v>2018</v>
      </c>
      <c r="B524" s="1">
        <v>5</v>
      </c>
      <c r="C524" s="1" t="s">
        <v>63</v>
      </c>
      <c r="D524" s="1" t="s">
        <v>22</v>
      </c>
      <c r="E524" s="1" t="s">
        <v>23</v>
      </c>
      <c r="F524" s="1" t="s">
        <v>439</v>
      </c>
      <c r="G524" s="1" t="s">
        <v>440</v>
      </c>
      <c r="H524" s="1" t="s">
        <v>46</v>
      </c>
      <c r="I524" s="1" t="s">
        <v>308</v>
      </c>
      <c r="J524" s="1" t="s">
        <v>34</v>
      </c>
      <c r="K524" s="1" t="s">
        <v>309</v>
      </c>
      <c r="L524" s="1" t="s">
        <v>82</v>
      </c>
      <c r="M524" s="1">
        <v>0</v>
      </c>
      <c r="N524" s="2">
        <f>M524/ActivityCenter!$K$22</f>
        <v>0</v>
      </c>
      <c r="Q524" s="1" t="s">
        <v>601</v>
      </c>
    </row>
    <row r="525" spans="1:17" x14ac:dyDescent="0.25">
      <c r="A525" s="1">
        <v>2018</v>
      </c>
      <c r="B525" s="1">
        <v>5</v>
      </c>
      <c r="C525" s="1" t="s">
        <v>63</v>
      </c>
      <c r="D525" s="1" t="s">
        <v>22</v>
      </c>
      <c r="E525" s="1" t="s">
        <v>23</v>
      </c>
      <c r="F525" s="1" t="s">
        <v>439</v>
      </c>
      <c r="G525" s="1" t="s">
        <v>440</v>
      </c>
      <c r="H525" s="1" t="s">
        <v>46</v>
      </c>
      <c r="I525" s="1" t="s">
        <v>308</v>
      </c>
      <c r="J525" s="1" t="s">
        <v>34</v>
      </c>
      <c r="K525" s="1" t="s">
        <v>309</v>
      </c>
      <c r="L525" s="1" t="s">
        <v>84</v>
      </c>
      <c r="M525" s="1">
        <v>1323.6341463414999</v>
      </c>
      <c r="N525" s="2">
        <f>M525/ActivityCenter!$K$22</f>
        <v>160.00000000066481</v>
      </c>
      <c r="Q525" s="1" t="s">
        <v>601</v>
      </c>
    </row>
    <row r="526" spans="1:17" x14ac:dyDescent="0.25">
      <c r="A526" s="1">
        <v>2018</v>
      </c>
      <c r="B526" s="1">
        <v>5</v>
      </c>
      <c r="C526" s="1" t="s">
        <v>63</v>
      </c>
      <c r="D526" s="1" t="s">
        <v>22</v>
      </c>
      <c r="E526" s="1" t="s">
        <v>23</v>
      </c>
      <c r="F526" s="1" t="s">
        <v>465</v>
      </c>
      <c r="G526" s="1" t="s">
        <v>466</v>
      </c>
      <c r="H526" s="1" t="s">
        <v>46</v>
      </c>
      <c r="I526" s="1" t="s">
        <v>308</v>
      </c>
      <c r="J526" s="1" t="s">
        <v>34</v>
      </c>
      <c r="K526" s="1" t="s">
        <v>309</v>
      </c>
      <c r="L526" s="1" t="s">
        <v>78</v>
      </c>
      <c r="M526" s="1">
        <v>0</v>
      </c>
      <c r="N526" s="2">
        <f>M526/ActivityCenter!$K$22</f>
        <v>0</v>
      </c>
      <c r="Q526" s="1" t="s">
        <v>601</v>
      </c>
    </row>
    <row r="527" spans="1:17" x14ac:dyDescent="0.25">
      <c r="A527" s="1">
        <v>2018</v>
      </c>
      <c r="B527" s="1">
        <v>5</v>
      </c>
      <c r="C527" s="1" t="s">
        <v>63</v>
      </c>
      <c r="D527" s="1" t="s">
        <v>22</v>
      </c>
      <c r="E527" s="1" t="s">
        <v>23</v>
      </c>
      <c r="F527" s="1" t="s">
        <v>441</v>
      </c>
      <c r="G527" s="1" t="s">
        <v>442</v>
      </c>
      <c r="H527" s="1" t="s">
        <v>46</v>
      </c>
      <c r="I527" s="1" t="s">
        <v>308</v>
      </c>
      <c r="J527" s="1" t="s">
        <v>34</v>
      </c>
      <c r="K527" s="1" t="s">
        <v>309</v>
      </c>
      <c r="L527" s="1" t="s">
        <v>85</v>
      </c>
      <c r="M527" s="1">
        <v>0</v>
      </c>
      <c r="N527" s="2">
        <f>M527/ActivityCenter!$K$22</f>
        <v>0</v>
      </c>
      <c r="Q527" s="1" t="s">
        <v>601</v>
      </c>
    </row>
    <row r="528" spans="1:17" x14ac:dyDescent="0.25">
      <c r="A528" s="1">
        <v>2018</v>
      </c>
      <c r="B528" s="1">
        <v>5</v>
      </c>
      <c r="C528" s="1" t="s">
        <v>63</v>
      </c>
      <c r="D528" s="1" t="s">
        <v>22</v>
      </c>
      <c r="E528" s="1" t="s">
        <v>23</v>
      </c>
      <c r="F528" s="1" t="s">
        <v>441</v>
      </c>
      <c r="G528" s="1" t="s">
        <v>442</v>
      </c>
      <c r="H528" s="1" t="s">
        <v>46</v>
      </c>
      <c r="I528" s="1" t="s">
        <v>308</v>
      </c>
      <c r="J528" s="1" t="s">
        <v>34</v>
      </c>
      <c r="K528" s="1" t="s">
        <v>309</v>
      </c>
      <c r="L528" s="1" t="s">
        <v>95</v>
      </c>
      <c r="M528" s="1">
        <v>0</v>
      </c>
      <c r="N528" s="2">
        <f>M528/ActivityCenter!$K$22</f>
        <v>0</v>
      </c>
      <c r="Q528" s="1" t="s">
        <v>601</v>
      </c>
    </row>
    <row r="529" spans="1:17" x14ac:dyDescent="0.25">
      <c r="A529" s="1">
        <v>2018</v>
      </c>
      <c r="B529" s="1">
        <v>5</v>
      </c>
      <c r="C529" s="1" t="s">
        <v>63</v>
      </c>
      <c r="D529" s="1" t="s">
        <v>22</v>
      </c>
      <c r="E529" s="1" t="s">
        <v>23</v>
      </c>
      <c r="F529" s="1" t="s">
        <v>443</v>
      </c>
      <c r="G529" s="1" t="s">
        <v>444</v>
      </c>
      <c r="H529" s="1" t="s">
        <v>46</v>
      </c>
      <c r="I529" s="1" t="s">
        <v>308</v>
      </c>
      <c r="J529" s="1" t="s">
        <v>34</v>
      </c>
      <c r="K529" s="1" t="s">
        <v>309</v>
      </c>
      <c r="L529" s="1" t="s">
        <v>78</v>
      </c>
      <c r="M529" s="1">
        <v>0</v>
      </c>
      <c r="N529" s="2">
        <f>M529/ActivityCenter!$K$22</f>
        <v>0</v>
      </c>
      <c r="Q529" s="1" t="s">
        <v>601</v>
      </c>
    </row>
    <row r="530" spans="1:17" x14ac:dyDescent="0.25">
      <c r="A530" s="1">
        <v>2018</v>
      </c>
      <c r="B530" s="1">
        <v>5</v>
      </c>
      <c r="C530" s="1" t="s">
        <v>63</v>
      </c>
      <c r="D530" s="1" t="s">
        <v>22</v>
      </c>
      <c r="E530" s="1" t="s">
        <v>23</v>
      </c>
      <c r="F530" s="1" t="s">
        <v>443</v>
      </c>
      <c r="G530" s="1" t="s">
        <v>444</v>
      </c>
      <c r="H530" s="1" t="s">
        <v>46</v>
      </c>
      <c r="I530" s="1" t="s">
        <v>308</v>
      </c>
      <c r="J530" s="1" t="s">
        <v>34</v>
      </c>
      <c r="K530" s="1" t="s">
        <v>309</v>
      </c>
      <c r="L530" s="1" t="s">
        <v>84</v>
      </c>
      <c r="M530" s="1">
        <v>0</v>
      </c>
      <c r="N530" s="2">
        <f>M530/ActivityCenter!$K$22</f>
        <v>0</v>
      </c>
      <c r="Q530" s="1" t="s">
        <v>601</v>
      </c>
    </row>
    <row r="531" spans="1:17" x14ac:dyDescent="0.25">
      <c r="A531" s="1">
        <v>2018</v>
      </c>
      <c r="B531" s="1">
        <v>5</v>
      </c>
      <c r="C531" s="1" t="s">
        <v>63</v>
      </c>
      <c r="D531" s="1" t="s">
        <v>22</v>
      </c>
      <c r="E531" s="1" t="s">
        <v>23</v>
      </c>
      <c r="F531" s="1" t="s">
        <v>543</v>
      </c>
      <c r="G531" s="1" t="s">
        <v>544</v>
      </c>
      <c r="H531" s="1" t="s">
        <v>46</v>
      </c>
      <c r="I531" s="1" t="s">
        <v>308</v>
      </c>
      <c r="J531" s="1" t="s">
        <v>34</v>
      </c>
      <c r="K531" s="1" t="s">
        <v>309</v>
      </c>
      <c r="L531" s="1" t="s">
        <v>78</v>
      </c>
      <c r="M531" s="1">
        <v>0</v>
      </c>
      <c r="N531" s="2">
        <f>M531/ActivityCenter!$K$22</f>
        <v>0</v>
      </c>
      <c r="Q531" s="1" t="s">
        <v>601</v>
      </c>
    </row>
    <row r="532" spans="1:17" x14ac:dyDescent="0.25">
      <c r="A532" s="1">
        <v>2018</v>
      </c>
      <c r="B532" s="1">
        <v>5</v>
      </c>
      <c r="C532" s="1" t="s">
        <v>63</v>
      </c>
      <c r="D532" s="1" t="s">
        <v>22</v>
      </c>
      <c r="E532" s="1" t="s">
        <v>23</v>
      </c>
      <c r="F532" s="1" t="s">
        <v>445</v>
      </c>
      <c r="G532" s="1" t="s">
        <v>446</v>
      </c>
      <c r="H532" s="1" t="s">
        <v>46</v>
      </c>
      <c r="I532" s="1" t="s">
        <v>308</v>
      </c>
      <c r="J532" s="1" t="s">
        <v>34</v>
      </c>
      <c r="K532" s="1" t="s">
        <v>309</v>
      </c>
      <c r="L532" s="1" t="s">
        <v>84</v>
      </c>
      <c r="M532" s="1">
        <v>1985.4512195121999</v>
      </c>
      <c r="N532" s="2">
        <f>M532/ActivityCenter!$K$22</f>
        <v>240.00000000099121</v>
      </c>
      <c r="Q532" s="1" t="s">
        <v>601</v>
      </c>
    </row>
    <row r="533" spans="1:17" x14ac:dyDescent="0.25">
      <c r="A533" s="1">
        <v>2018</v>
      </c>
      <c r="B533" s="1">
        <v>5</v>
      </c>
      <c r="C533" s="1" t="s">
        <v>63</v>
      </c>
      <c r="D533" s="1" t="s">
        <v>22</v>
      </c>
      <c r="E533" s="1" t="s">
        <v>23</v>
      </c>
      <c r="F533" s="1" t="s">
        <v>445</v>
      </c>
      <c r="G533" s="1" t="s">
        <v>446</v>
      </c>
      <c r="H533" s="1" t="s">
        <v>46</v>
      </c>
      <c r="I533" s="1" t="s">
        <v>308</v>
      </c>
      <c r="J533" s="1" t="s">
        <v>34</v>
      </c>
      <c r="K533" s="1" t="s">
        <v>309</v>
      </c>
      <c r="L533" s="1" t="s">
        <v>87</v>
      </c>
      <c r="M533" s="1">
        <v>0</v>
      </c>
      <c r="N533" s="2">
        <f>M533/ActivityCenter!$K$22</f>
        <v>0</v>
      </c>
      <c r="Q533" s="1" t="s">
        <v>601</v>
      </c>
    </row>
    <row r="534" spans="1:17" x14ac:dyDescent="0.25">
      <c r="A534" s="1">
        <v>2018</v>
      </c>
      <c r="B534" s="1">
        <v>5</v>
      </c>
      <c r="C534" s="1" t="s">
        <v>63</v>
      </c>
      <c r="D534" s="1" t="s">
        <v>22</v>
      </c>
      <c r="E534" s="1" t="s">
        <v>23</v>
      </c>
      <c r="F534" s="1" t="s">
        <v>445</v>
      </c>
      <c r="G534" s="1" t="s">
        <v>446</v>
      </c>
      <c r="H534" s="1" t="s">
        <v>46</v>
      </c>
      <c r="I534" s="1" t="s">
        <v>308</v>
      </c>
      <c r="J534" s="1" t="s">
        <v>34</v>
      </c>
      <c r="K534" s="1" t="s">
        <v>309</v>
      </c>
      <c r="L534" s="1" t="s">
        <v>88</v>
      </c>
      <c r="M534" s="1">
        <v>0</v>
      </c>
      <c r="N534" s="2">
        <f>M534/ActivityCenter!$K$22</f>
        <v>0</v>
      </c>
      <c r="Q534" s="1" t="s">
        <v>601</v>
      </c>
    </row>
    <row r="535" spans="1:17" x14ac:dyDescent="0.25">
      <c r="A535" s="1">
        <v>2018</v>
      </c>
      <c r="B535" s="1">
        <v>5</v>
      </c>
      <c r="C535" s="1" t="s">
        <v>63</v>
      </c>
      <c r="D535" s="1" t="s">
        <v>22</v>
      </c>
      <c r="E535" s="1" t="s">
        <v>23</v>
      </c>
      <c r="F535" s="1" t="s">
        <v>447</v>
      </c>
      <c r="G535" s="1" t="s">
        <v>448</v>
      </c>
      <c r="H535" s="1" t="s">
        <v>46</v>
      </c>
      <c r="I535" s="1" t="s">
        <v>308</v>
      </c>
      <c r="J535" s="1" t="s">
        <v>34</v>
      </c>
      <c r="K535" s="1" t="s">
        <v>309</v>
      </c>
      <c r="L535" s="1" t="s">
        <v>82</v>
      </c>
      <c r="M535" s="1">
        <v>0</v>
      </c>
      <c r="N535" s="2">
        <f>M535/ActivityCenter!$K$22</f>
        <v>0</v>
      </c>
      <c r="Q535" s="1" t="s">
        <v>601</v>
      </c>
    </row>
    <row r="536" spans="1:17" x14ac:dyDescent="0.25">
      <c r="A536" s="1">
        <v>2018</v>
      </c>
      <c r="B536" s="1">
        <v>5</v>
      </c>
      <c r="C536" s="1" t="s">
        <v>63</v>
      </c>
      <c r="D536" s="1" t="s">
        <v>22</v>
      </c>
      <c r="E536" s="1" t="s">
        <v>23</v>
      </c>
      <c r="F536" s="1" t="s">
        <v>447</v>
      </c>
      <c r="G536" s="1" t="s">
        <v>448</v>
      </c>
      <c r="H536" s="1" t="s">
        <v>46</v>
      </c>
      <c r="I536" s="1" t="s">
        <v>308</v>
      </c>
      <c r="J536" s="1" t="s">
        <v>34</v>
      </c>
      <c r="K536" s="1" t="s">
        <v>309</v>
      </c>
      <c r="L536" s="1" t="s">
        <v>84</v>
      </c>
      <c r="M536" s="1">
        <v>0</v>
      </c>
      <c r="N536" s="2">
        <f>M536/ActivityCenter!$K$22</f>
        <v>0</v>
      </c>
      <c r="Q536" s="1" t="s">
        <v>601</v>
      </c>
    </row>
    <row r="537" spans="1:17" x14ac:dyDescent="0.25">
      <c r="A537" s="1">
        <v>2018</v>
      </c>
      <c r="B537" s="1">
        <v>5</v>
      </c>
      <c r="C537" s="1" t="s">
        <v>63</v>
      </c>
      <c r="D537" s="1" t="s">
        <v>22</v>
      </c>
      <c r="E537" s="1" t="s">
        <v>23</v>
      </c>
      <c r="F537" s="1" t="s">
        <v>571</v>
      </c>
      <c r="G537" s="1" t="s">
        <v>572</v>
      </c>
      <c r="H537" s="1" t="s">
        <v>46</v>
      </c>
      <c r="I537" s="1" t="s">
        <v>308</v>
      </c>
      <c r="J537" s="1" t="s">
        <v>34</v>
      </c>
      <c r="K537" s="1" t="s">
        <v>309</v>
      </c>
      <c r="L537" s="1" t="s">
        <v>85</v>
      </c>
      <c r="M537" s="1">
        <v>5294.5365853658996</v>
      </c>
      <c r="N537" s="2">
        <f>M537/ActivityCenter!$K$22</f>
        <v>640.0000000026472</v>
      </c>
      <c r="Q537" s="1" t="s">
        <v>601</v>
      </c>
    </row>
    <row r="538" spans="1:17" x14ac:dyDescent="0.25">
      <c r="A538" s="1">
        <v>2018</v>
      </c>
      <c r="B538" s="1">
        <v>5</v>
      </c>
      <c r="C538" s="1" t="s">
        <v>63</v>
      </c>
      <c r="D538" s="1" t="s">
        <v>22</v>
      </c>
      <c r="E538" s="1" t="s">
        <v>23</v>
      </c>
      <c r="F538" s="1" t="s">
        <v>449</v>
      </c>
      <c r="G538" s="1" t="s">
        <v>450</v>
      </c>
      <c r="H538" s="1" t="s">
        <v>46</v>
      </c>
      <c r="I538" s="1" t="s">
        <v>308</v>
      </c>
      <c r="J538" s="1" t="s">
        <v>34</v>
      </c>
      <c r="K538" s="1" t="s">
        <v>309</v>
      </c>
      <c r="L538" s="1" t="s">
        <v>86</v>
      </c>
      <c r="M538" s="1">
        <v>0</v>
      </c>
      <c r="N538" s="2">
        <f>M538/ActivityCenter!$K$22</f>
        <v>0</v>
      </c>
      <c r="Q538" s="1" t="s">
        <v>601</v>
      </c>
    </row>
    <row r="539" spans="1:17" x14ac:dyDescent="0.25">
      <c r="A539" s="1">
        <v>2018</v>
      </c>
      <c r="B539" s="1">
        <v>5</v>
      </c>
      <c r="C539" s="1" t="s">
        <v>63</v>
      </c>
      <c r="D539" s="1" t="s">
        <v>22</v>
      </c>
      <c r="E539" s="1" t="s">
        <v>23</v>
      </c>
      <c r="F539" s="1" t="s">
        <v>451</v>
      </c>
      <c r="G539" s="1" t="s">
        <v>452</v>
      </c>
      <c r="H539" s="1" t="s">
        <v>46</v>
      </c>
      <c r="I539" s="1" t="s">
        <v>308</v>
      </c>
      <c r="J539" s="1" t="s">
        <v>34</v>
      </c>
      <c r="K539" s="1" t="s">
        <v>309</v>
      </c>
      <c r="L539" s="1" t="s">
        <v>93</v>
      </c>
      <c r="M539" s="1">
        <v>0</v>
      </c>
      <c r="N539" s="2">
        <f>M539/ActivityCenter!$K$22</f>
        <v>0</v>
      </c>
      <c r="Q539" s="1" t="s">
        <v>601</v>
      </c>
    </row>
    <row r="540" spans="1:17" x14ac:dyDescent="0.25">
      <c r="A540" s="1">
        <v>2018</v>
      </c>
      <c r="B540" s="1">
        <v>5</v>
      </c>
      <c r="C540" s="1" t="s">
        <v>63</v>
      </c>
      <c r="D540" s="1" t="s">
        <v>22</v>
      </c>
      <c r="E540" s="1" t="s">
        <v>23</v>
      </c>
      <c r="F540" s="1" t="s">
        <v>451</v>
      </c>
      <c r="G540" s="1" t="s">
        <v>452</v>
      </c>
      <c r="H540" s="1" t="s">
        <v>46</v>
      </c>
      <c r="I540" s="1" t="s">
        <v>308</v>
      </c>
      <c r="J540" s="1" t="s">
        <v>34</v>
      </c>
      <c r="K540" s="1" t="s">
        <v>309</v>
      </c>
      <c r="L540" s="1" t="s">
        <v>103</v>
      </c>
      <c r="M540" s="1">
        <v>1323.6341463414999</v>
      </c>
      <c r="N540" s="2">
        <f>M540/ActivityCenter!$K$22</f>
        <v>160.00000000066481</v>
      </c>
      <c r="Q540" s="1" t="s">
        <v>601</v>
      </c>
    </row>
    <row r="541" spans="1:17" x14ac:dyDescent="0.25">
      <c r="A541" s="1">
        <v>2018</v>
      </c>
      <c r="B541" s="1">
        <v>5</v>
      </c>
      <c r="C541" s="1" t="s">
        <v>63</v>
      </c>
      <c r="D541" s="1" t="s">
        <v>22</v>
      </c>
      <c r="E541" s="1" t="s">
        <v>23</v>
      </c>
      <c r="F541" s="1" t="s">
        <v>453</v>
      </c>
      <c r="G541" s="1" t="s">
        <v>454</v>
      </c>
      <c r="H541" s="1" t="s">
        <v>46</v>
      </c>
      <c r="I541" s="1" t="s">
        <v>308</v>
      </c>
      <c r="J541" s="1" t="s">
        <v>34</v>
      </c>
      <c r="K541" s="1" t="s">
        <v>309</v>
      </c>
      <c r="L541" s="1" t="s">
        <v>86</v>
      </c>
      <c r="M541" s="1">
        <v>0</v>
      </c>
      <c r="N541" s="2">
        <f>M541/ActivityCenter!$K$22</f>
        <v>0</v>
      </c>
      <c r="Q541" s="1" t="s">
        <v>601</v>
      </c>
    </row>
    <row r="542" spans="1:17" x14ac:dyDescent="0.25">
      <c r="A542" s="1">
        <v>2018</v>
      </c>
      <c r="B542" s="1">
        <v>5</v>
      </c>
      <c r="C542" s="1" t="s">
        <v>63</v>
      </c>
      <c r="D542" s="1" t="s">
        <v>22</v>
      </c>
      <c r="E542" s="1" t="s">
        <v>23</v>
      </c>
      <c r="F542" s="1" t="s">
        <v>455</v>
      </c>
      <c r="G542" s="1" t="s">
        <v>456</v>
      </c>
      <c r="H542" s="1" t="s">
        <v>46</v>
      </c>
      <c r="I542" s="1" t="s">
        <v>308</v>
      </c>
      <c r="J542" s="1" t="s">
        <v>34</v>
      </c>
      <c r="K542" s="1" t="s">
        <v>309</v>
      </c>
      <c r="L542" s="1" t="s">
        <v>84</v>
      </c>
      <c r="M542" s="1">
        <v>0</v>
      </c>
      <c r="N542" s="2">
        <f>M542/ActivityCenter!$K$22</f>
        <v>0</v>
      </c>
      <c r="Q542" s="1" t="s">
        <v>601</v>
      </c>
    </row>
    <row r="543" spans="1:17" x14ac:dyDescent="0.25">
      <c r="A543" s="1">
        <v>2018</v>
      </c>
      <c r="B543" s="1">
        <v>5</v>
      </c>
      <c r="C543" s="1" t="s">
        <v>63</v>
      </c>
      <c r="D543" s="1" t="s">
        <v>22</v>
      </c>
      <c r="E543" s="1" t="s">
        <v>23</v>
      </c>
      <c r="F543" s="1" t="s">
        <v>457</v>
      </c>
      <c r="G543" s="1" t="s">
        <v>458</v>
      </c>
      <c r="H543" s="1" t="s">
        <v>46</v>
      </c>
      <c r="I543" s="1" t="s">
        <v>308</v>
      </c>
      <c r="J543" s="1" t="s">
        <v>34</v>
      </c>
      <c r="K543" s="1" t="s">
        <v>309</v>
      </c>
      <c r="L543" s="1" t="s">
        <v>101</v>
      </c>
      <c r="M543" s="1">
        <v>79418.048780487807</v>
      </c>
      <c r="N543" s="2">
        <f>M543/ActivityCenter!$K$22</f>
        <v>9600.0000000396249</v>
      </c>
      <c r="Q543" s="1" t="s">
        <v>676</v>
      </c>
    </row>
    <row r="544" spans="1:17" x14ac:dyDescent="0.25">
      <c r="A544" s="1">
        <v>2018</v>
      </c>
      <c r="B544" s="1">
        <v>5</v>
      </c>
      <c r="C544" s="1" t="s">
        <v>63</v>
      </c>
      <c r="D544" s="1" t="s">
        <v>22</v>
      </c>
      <c r="E544" s="1" t="s">
        <v>23</v>
      </c>
      <c r="F544" s="1" t="s">
        <v>459</v>
      </c>
      <c r="G544" s="1" t="s">
        <v>460</v>
      </c>
      <c r="H544" s="1" t="s">
        <v>46</v>
      </c>
      <c r="I544" s="1" t="s">
        <v>308</v>
      </c>
      <c r="J544" s="1" t="s">
        <v>34</v>
      </c>
      <c r="K544" s="1" t="s">
        <v>309</v>
      </c>
      <c r="L544" s="1" t="s">
        <v>84</v>
      </c>
      <c r="M544" s="1">
        <v>0</v>
      </c>
      <c r="N544" s="2">
        <f>M544/ActivityCenter!$K$22</f>
        <v>0</v>
      </c>
      <c r="Q544" s="1" t="s">
        <v>601</v>
      </c>
    </row>
    <row r="545" spans="1:17" x14ac:dyDescent="0.25">
      <c r="A545" s="1">
        <v>2018</v>
      </c>
      <c r="B545" s="1">
        <v>5</v>
      </c>
      <c r="C545" s="1" t="s">
        <v>63</v>
      </c>
      <c r="D545" s="1" t="s">
        <v>22</v>
      </c>
      <c r="E545" s="1" t="s">
        <v>23</v>
      </c>
      <c r="F545" s="1" t="s">
        <v>547</v>
      </c>
      <c r="G545" s="1" t="s">
        <v>548</v>
      </c>
      <c r="H545" s="1" t="s">
        <v>46</v>
      </c>
      <c r="I545" s="1" t="s">
        <v>308</v>
      </c>
      <c r="J545" s="1" t="s">
        <v>34</v>
      </c>
      <c r="K545" s="1" t="s">
        <v>309</v>
      </c>
      <c r="L545" s="1" t="s">
        <v>86</v>
      </c>
      <c r="M545" s="1">
        <v>0</v>
      </c>
      <c r="N545" s="2">
        <f>M545/ActivityCenter!$K$22</f>
        <v>0</v>
      </c>
      <c r="Q545" s="1" t="s">
        <v>963</v>
      </c>
    </row>
    <row r="546" spans="1:17" x14ac:dyDescent="0.25">
      <c r="A546" s="1">
        <v>2018</v>
      </c>
      <c r="B546" s="1">
        <v>5</v>
      </c>
      <c r="C546" s="1" t="s">
        <v>63</v>
      </c>
      <c r="D546" s="1" t="s">
        <v>22</v>
      </c>
      <c r="E546" s="1" t="s">
        <v>23</v>
      </c>
      <c r="F546" s="1" t="s">
        <v>549</v>
      </c>
      <c r="G546" s="1" t="s">
        <v>550</v>
      </c>
      <c r="H546" s="1" t="s">
        <v>46</v>
      </c>
      <c r="I546" s="1" t="s">
        <v>308</v>
      </c>
      <c r="J546" s="1" t="s">
        <v>34</v>
      </c>
      <c r="K546" s="1" t="s">
        <v>309</v>
      </c>
      <c r="L546" s="1" t="s">
        <v>86</v>
      </c>
      <c r="M546" s="1">
        <v>0</v>
      </c>
      <c r="N546" s="2">
        <f>M546/ActivityCenter!$K$22</f>
        <v>0</v>
      </c>
      <c r="Q546" s="1" t="s">
        <v>963</v>
      </c>
    </row>
    <row r="547" spans="1:17" x14ac:dyDescent="0.25">
      <c r="A547" s="1">
        <v>2018</v>
      </c>
      <c r="B547" s="1">
        <v>5</v>
      </c>
      <c r="C547" s="1" t="s">
        <v>63</v>
      </c>
      <c r="D547" s="1" t="s">
        <v>22</v>
      </c>
      <c r="E547" s="1" t="s">
        <v>23</v>
      </c>
      <c r="F547" s="1" t="s">
        <v>573</v>
      </c>
      <c r="G547" s="1" t="s">
        <v>574</v>
      </c>
      <c r="H547" s="1" t="s">
        <v>46</v>
      </c>
      <c r="I547" s="1" t="s">
        <v>308</v>
      </c>
      <c r="J547" s="1" t="s">
        <v>34</v>
      </c>
      <c r="K547" s="1" t="s">
        <v>309</v>
      </c>
      <c r="L547" s="1" t="s">
        <v>84</v>
      </c>
      <c r="M547" s="1">
        <v>992.72560975609997</v>
      </c>
      <c r="N547" s="2">
        <f>M547/ActivityCenter!$K$22</f>
        <v>120.0000000004956</v>
      </c>
      <c r="Q547" s="1" t="s">
        <v>963</v>
      </c>
    </row>
    <row r="548" spans="1:17" x14ac:dyDescent="0.25">
      <c r="A548" s="1">
        <v>2018</v>
      </c>
      <c r="B548" s="1">
        <v>5</v>
      </c>
      <c r="C548" s="1" t="s">
        <v>63</v>
      </c>
      <c r="D548" s="1" t="s">
        <v>22</v>
      </c>
      <c r="E548" s="1" t="s">
        <v>23</v>
      </c>
      <c r="F548" s="1" t="s">
        <v>575</v>
      </c>
      <c r="G548" s="1" t="s">
        <v>576</v>
      </c>
      <c r="H548" s="1" t="s">
        <v>46</v>
      </c>
      <c r="I548" s="1" t="s">
        <v>308</v>
      </c>
      <c r="J548" s="1" t="s">
        <v>34</v>
      </c>
      <c r="K548" s="1" t="s">
        <v>309</v>
      </c>
      <c r="L548" s="1" t="s">
        <v>86</v>
      </c>
      <c r="M548" s="1">
        <v>1323.6341463414999</v>
      </c>
      <c r="N548" s="2">
        <f>M548/ActivityCenter!$K$22</f>
        <v>160.00000000066481</v>
      </c>
      <c r="Q548" s="1" t="s">
        <v>965</v>
      </c>
    </row>
    <row r="549" spans="1:17" x14ac:dyDescent="0.25">
      <c r="A549" s="1">
        <v>2018</v>
      </c>
      <c r="B549" s="1">
        <v>5</v>
      </c>
      <c r="C549" s="1" t="s">
        <v>63</v>
      </c>
      <c r="D549" s="1" t="s">
        <v>22</v>
      </c>
      <c r="E549" s="1" t="s">
        <v>23</v>
      </c>
      <c r="F549" s="1" t="s">
        <v>577</v>
      </c>
      <c r="G549" s="1" t="s">
        <v>578</v>
      </c>
      <c r="H549" s="1" t="s">
        <v>46</v>
      </c>
      <c r="I549" s="1" t="s">
        <v>308</v>
      </c>
      <c r="J549" s="1" t="s">
        <v>34</v>
      </c>
      <c r="K549" s="1" t="s">
        <v>309</v>
      </c>
      <c r="L549" s="1" t="s">
        <v>86</v>
      </c>
      <c r="M549" s="1">
        <v>794.18048780490005</v>
      </c>
      <c r="N549" s="2">
        <f>M549/ActivityCenter!$K$22</f>
        <v>96.000000000398913</v>
      </c>
      <c r="Q549" s="1" t="s">
        <v>964</v>
      </c>
    </row>
    <row r="550" spans="1:17" x14ac:dyDescent="0.25">
      <c r="A550" s="1">
        <v>2018</v>
      </c>
      <c r="B550" s="1">
        <v>5</v>
      </c>
      <c r="C550" s="1" t="s">
        <v>63</v>
      </c>
      <c r="D550" s="1" t="s">
        <v>22</v>
      </c>
      <c r="E550" s="1" t="s">
        <v>23</v>
      </c>
      <c r="F550" s="1" t="s">
        <v>579</v>
      </c>
      <c r="G550" s="1" t="s">
        <v>580</v>
      </c>
      <c r="H550" s="1" t="s">
        <v>46</v>
      </c>
      <c r="I550" s="1" t="s">
        <v>308</v>
      </c>
      <c r="J550" s="1" t="s">
        <v>34</v>
      </c>
      <c r="K550" s="1" t="s">
        <v>309</v>
      </c>
      <c r="L550" s="1" t="s">
        <v>86</v>
      </c>
      <c r="M550" s="1">
        <v>1588.3609756098001</v>
      </c>
      <c r="N550" s="2">
        <f>M550/ActivityCenter!$K$22</f>
        <v>192.00000000079783</v>
      </c>
      <c r="Q550" s="1" t="s">
        <v>963</v>
      </c>
    </row>
    <row r="551" spans="1:17" x14ac:dyDescent="0.25">
      <c r="A551" s="1">
        <v>2018</v>
      </c>
      <c r="B551" s="1">
        <v>5</v>
      </c>
      <c r="C551" s="1" t="s">
        <v>63</v>
      </c>
      <c r="D551" s="1" t="s">
        <v>22</v>
      </c>
      <c r="E551" s="1" t="s">
        <v>23</v>
      </c>
      <c r="F551" s="1" t="s">
        <v>581</v>
      </c>
      <c r="G551" s="1" t="s">
        <v>582</v>
      </c>
      <c r="H551" s="1" t="s">
        <v>46</v>
      </c>
      <c r="I551" s="1" t="s">
        <v>308</v>
      </c>
      <c r="J551" s="1" t="s">
        <v>34</v>
      </c>
      <c r="K551" s="1" t="s">
        <v>309</v>
      </c>
      <c r="L551" s="1" t="s">
        <v>86</v>
      </c>
      <c r="M551" s="1">
        <v>1588.3609756098001</v>
      </c>
      <c r="N551" s="2">
        <f>M551/ActivityCenter!$K$22</f>
        <v>192.00000000079783</v>
      </c>
      <c r="Q551" s="1" t="s">
        <v>962</v>
      </c>
    </row>
    <row r="552" spans="1:17" x14ac:dyDescent="0.25">
      <c r="A552" s="1">
        <v>2018</v>
      </c>
      <c r="B552" s="1">
        <v>5</v>
      </c>
      <c r="C552" s="1" t="s">
        <v>63</v>
      </c>
      <c r="D552" s="1" t="s">
        <v>22</v>
      </c>
      <c r="E552" s="1" t="s">
        <v>23</v>
      </c>
      <c r="F552" s="1" t="s">
        <v>585</v>
      </c>
      <c r="G552" s="1" t="s">
        <v>586</v>
      </c>
      <c r="H552" s="1" t="s">
        <v>46</v>
      </c>
      <c r="I552" s="1" t="s">
        <v>308</v>
      </c>
      <c r="J552" s="1" t="s">
        <v>34</v>
      </c>
      <c r="K552" s="1" t="s">
        <v>309</v>
      </c>
      <c r="L552" s="1" t="s">
        <v>86</v>
      </c>
      <c r="M552" s="1">
        <v>1588.3609756097001</v>
      </c>
      <c r="N552" s="2">
        <f>M552/ActivityCenter!$K$22</f>
        <v>192.00000000078572</v>
      </c>
      <c r="Q552" s="1" t="s">
        <v>961</v>
      </c>
    </row>
    <row r="553" spans="1:17" x14ac:dyDescent="0.25">
      <c r="A553" s="1">
        <v>2018</v>
      </c>
      <c r="B553" s="1">
        <v>5</v>
      </c>
      <c r="C553" s="1" t="s">
        <v>63</v>
      </c>
      <c r="D553" s="1" t="s">
        <v>22</v>
      </c>
      <c r="E553" s="1" t="s">
        <v>23</v>
      </c>
      <c r="F553" s="1" t="s">
        <v>473</v>
      </c>
      <c r="G553" s="1" t="s">
        <v>474</v>
      </c>
      <c r="H553" s="1" t="s">
        <v>46</v>
      </c>
      <c r="I553" s="1" t="s">
        <v>464</v>
      </c>
      <c r="J553" s="1" t="s">
        <v>32</v>
      </c>
      <c r="M553" s="1">
        <v>-3372.2693576872998</v>
      </c>
      <c r="O553" s="1" t="s">
        <v>255</v>
      </c>
      <c r="P553" s="1">
        <v>450</v>
      </c>
      <c r="Q553" s="1" t="s">
        <v>622</v>
      </c>
    </row>
    <row r="554" spans="1:17" x14ac:dyDescent="0.25">
      <c r="A554" s="1">
        <v>2018</v>
      </c>
      <c r="B554" s="1">
        <v>5</v>
      </c>
      <c r="C554" s="1" t="s">
        <v>63</v>
      </c>
      <c r="D554" s="1" t="s">
        <v>22</v>
      </c>
      <c r="E554" s="1" t="s">
        <v>23</v>
      </c>
      <c r="F554" s="1" t="s">
        <v>473</v>
      </c>
      <c r="G554" s="1" t="s">
        <v>474</v>
      </c>
      <c r="H554" s="1" t="s">
        <v>46</v>
      </c>
      <c r="I554" s="1" t="s">
        <v>464</v>
      </c>
      <c r="J554" s="1" t="s">
        <v>32</v>
      </c>
      <c r="M554" s="1">
        <v>-1686.1346788436999</v>
      </c>
      <c r="O554" s="1" t="s">
        <v>255</v>
      </c>
      <c r="P554" s="1">
        <v>450</v>
      </c>
      <c r="Q554" s="1" t="s">
        <v>622</v>
      </c>
    </row>
    <row r="555" spans="1:17" x14ac:dyDescent="0.25">
      <c r="A555" s="1">
        <v>2018</v>
      </c>
      <c r="B555" s="1">
        <v>5</v>
      </c>
      <c r="C555" s="1" t="s">
        <v>63</v>
      </c>
      <c r="D555" s="1" t="s">
        <v>22</v>
      </c>
      <c r="E555" s="1" t="s">
        <v>23</v>
      </c>
      <c r="F555" s="1" t="s">
        <v>473</v>
      </c>
      <c r="G555" s="1" t="s">
        <v>474</v>
      </c>
      <c r="H555" s="1" t="s">
        <v>46</v>
      </c>
      <c r="I555" s="1" t="s">
        <v>464</v>
      </c>
      <c r="J555" s="1" t="s">
        <v>32</v>
      </c>
      <c r="M555" s="1">
        <v>-1662.3519473880001</v>
      </c>
      <c r="O555" s="1" t="s">
        <v>253</v>
      </c>
      <c r="P555" s="1">
        <v>300</v>
      </c>
      <c r="Q555" s="1" t="s">
        <v>622</v>
      </c>
    </row>
    <row r="556" spans="1:17" x14ac:dyDescent="0.25">
      <c r="A556" s="1">
        <v>2018</v>
      </c>
      <c r="B556" s="1">
        <v>5</v>
      </c>
      <c r="C556" s="1" t="s">
        <v>63</v>
      </c>
      <c r="D556" s="1" t="s">
        <v>22</v>
      </c>
      <c r="E556" s="1" t="s">
        <v>23</v>
      </c>
      <c r="F556" s="1" t="s">
        <v>473</v>
      </c>
      <c r="G556" s="1" t="s">
        <v>474</v>
      </c>
      <c r="H556" s="1" t="s">
        <v>46</v>
      </c>
      <c r="I556" s="1" t="s">
        <v>464</v>
      </c>
      <c r="J556" s="1" t="s">
        <v>32</v>
      </c>
      <c r="M556" s="1">
        <v>-2006.2868330545</v>
      </c>
      <c r="O556" s="1" t="s">
        <v>255</v>
      </c>
      <c r="P556" s="1">
        <v>450</v>
      </c>
      <c r="Q556" s="1" t="s">
        <v>622</v>
      </c>
    </row>
    <row r="557" spans="1:17" x14ac:dyDescent="0.25">
      <c r="A557" s="1">
        <v>2018</v>
      </c>
      <c r="B557" s="1">
        <v>5</v>
      </c>
      <c r="C557" s="1" t="s">
        <v>63</v>
      </c>
      <c r="D557" s="1" t="s">
        <v>22</v>
      </c>
      <c r="E557" s="1" t="s">
        <v>23</v>
      </c>
      <c r="F557" s="1" t="s">
        <v>473</v>
      </c>
      <c r="G557" s="1" t="s">
        <v>474</v>
      </c>
      <c r="H557" s="1" t="s">
        <v>46</v>
      </c>
      <c r="I557" s="1" t="s">
        <v>464</v>
      </c>
      <c r="J557" s="1" t="s">
        <v>32</v>
      </c>
      <c r="M557" s="1">
        <v>-1003.1434165272</v>
      </c>
      <c r="O557" s="1" t="s">
        <v>255</v>
      </c>
      <c r="P557" s="1">
        <v>450</v>
      </c>
      <c r="Q557" s="1" t="s">
        <v>622</v>
      </c>
    </row>
    <row r="558" spans="1:17" x14ac:dyDescent="0.25">
      <c r="A558" s="1">
        <v>2018</v>
      </c>
      <c r="B558" s="1">
        <v>5</v>
      </c>
      <c r="C558" s="1" t="s">
        <v>63</v>
      </c>
      <c r="D558" s="1" t="s">
        <v>22</v>
      </c>
      <c r="E558" s="1" t="s">
        <v>23</v>
      </c>
      <c r="F558" s="1" t="s">
        <v>306</v>
      </c>
      <c r="G558" s="1" t="s">
        <v>307</v>
      </c>
      <c r="H558" s="1" t="s">
        <v>46</v>
      </c>
      <c r="I558" s="1" t="s">
        <v>464</v>
      </c>
      <c r="J558" s="1" t="s">
        <v>32</v>
      </c>
      <c r="M558" s="1">
        <v>-785.99637681160004</v>
      </c>
      <c r="O558" s="1" t="s">
        <v>292</v>
      </c>
      <c r="P558" s="1">
        <v>20</v>
      </c>
      <c r="Q558" s="1" t="s">
        <v>622</v>
      </c>
    </row>
    <row r="559" spans="1:17" x14ac:dyDescent="0.25">
      <c r="A559" s="1">
        <v>2018</v>
      </c>
      <c r="B559" s="1">
        <v>5</v>
      </c>
      <c r="C559" s="1" t="s">
        <v>63</v>
      </c>
      <c r="D559" s="1" t="s">
        <v>22</v>
      </c>
      <c r="E559" s="1" t="s">
        <v>23</v>
      </c>
      <c r="F559" s="1" t="s">
        <v>306</v>
      </c>
      <c r="G559" s="1" t="s">
        <v>307</v>
      </c>
      <c r="H559" s="1" t="s">
        <v>46</v>
      </c>
      <c r="I559" s="1" t="s">
        <v>464</v>
      </c>
      <c r="J559" s="1" t="s">
        <v>32</v>
      </c>
      <c r="M559" s="1">
        <v>-1100.3949275361999</v>
      </c>
      <c r="O559" s="1" t="s">
        <v>294</v>
      </c>
      <c r="P559" s="1">
        <v>20</v>
      </c>
      <c r="Q559" s="1" t="s">
        <v>622</v>
      </c>
    </row>
    <row r="560" spans="1:17" x14ac:dyDescent="0.25">
      <c r="A560" s="1">
        <v>2018</v>
      </c>
      <c r="B560" s="1">
        <v>5</v>
      </c>
      <c r="C560" s="1" t="s">
        <v>63</v>
      </c>
      <c r="D560" s="1" t="s">
        <v>22</v>
      </c>
      <c r="E560" s="1" t="s">
        <v>23</v>
      </c>
      <c r="F560" s="1" t="s">
        <v>306</v>
      </c>
      <c r="G560" s="1" t="s">
        <v>307</v>
      </c>
      <c r="H560" s="1" t="s">
        <v>46</v>
      </c>
      <c r="I560" s="1" t="s">
        <v>464</v>
      </c>
      <c r="J560" s="1" t="s">
        <v>32</v>
      </c>
      <c r="M560" s="1">
        <v>-1201.0787563131</v>
      </c>
      <c r="O560" s="1" t="s">
        <v>292</v>
      </c>
      <c r="P560" s="1">
        <v>20</v>
      </c>
      <c r="Q560" s="1" t="s">
        <v>622</v>
      </c>
    </row>
    <row r="561" spans="1:17" x14ac:dyDescent="0.25">
      <c r="A561" s="1">
        <v>2018</v>
      </c>
      <c r="B561" s="1">
        <v>5</v>
      </c>
      <c r="C561" s="1" t="s">
        <v>63</v>
      </c>
      <c r="D561" s="1" t="s">
        <v>22</v>
      </c>
      <c r="E561" s="1" t="s">
        <v>23</v>
      </c>
      <c r="F561" s="1" t="s">
        <v>306</v>
      </c>
      <c r="G561" s="1" t="s">
        <v>307</v>
      </c>
      <c r="H561" s="1" t="s">
        <v>46</v>
      </c>
      <c r="I561" s="1" t="s">
        <v>464</v>
      </c>
      <c r="J561" s="1" t="s">
        <v>32</v>
      </c>
      <c r="M561" s="1">
        <v>-1681.5102588384</v>
      </c>
      <c r="O561" s="1" t="s">
        <v>294</v>
      </c>
      <c r="P561" s="1">
        <v>20</v>
      </c>
      <c r="Q561" s="1" t="s">
        <v>622</v>
      </c>
    </row>
    <row r="562" spans="1:17" x14ac:dyDescent="0.25">
      <c r="A562" s="1">
        <v>2018</v>
      </c>
      <c r="B562" s="1">
        <v>5</v>
      </c>
      <c r="C562" s="1" t="s">
        <v>63</v>
      </c>
      <c r="D562" s="1" t="s">
        <v>22</v>
      </c>
      <c r="E562" s="1" t="s">
        <v>23</v>
      </c>
      <c r="F562" s="1" t="s">
        <v>473</v>
      </c>
      <c r="G562" s="1" t="s">
        <v>474</v>
      </c>
      <c r="H562" s="1" t="s">
        <v>46</v>
      </c>
      <c r="I562" s="1" t="s">
        <v>464</v>
      </c>
      <c r="J562" s="1" t="s">
        <v>32</v>
      </c>
      <c r="M562" s="1">
        <v>-2794.1660392265999</v>
      </c>
      <c r="O562" s="1" t="s">
        <v>253</v>
      </c>
      <c r="P562" s="1">
        <v>300</v>
      </c>
      <c r="Q562" s="1" t="s">
        <v>622</v>
      </c>
    </row>
    <row r="563" spans="1:17" x14ac:dyDescent="0.25">
      <c r="A563" s="1">
        <v>2018</v>
      </c>
      <c r="B563" s="1">
        <v>5</v>
      </c>
      <c r="C563" s="1" t="s">
        <v>63</v>
      </c>
      <c r="D563" s="1" t="s">
        <v>22</v>
      </c>
      <c r="E563" s="1" t="s">
        <v>23</v>
      </c>
      <c r="F563" s="1" t="s">
        <v>373</v>
      </c>
      <c r="G563" s="1" t="s">
        <v>374</v>
      </c>
      <c r="H563" s="1" t="s">
        <v>46</v>
      </c>
      <c r="I563" s="1" t="s">
        <v>464</v>
      </c>
      <c r="J563" s="1" t="s">
        <v>34</v>
      </c>
      <c r="M563" s="1">
        <v>-416.1859091947</v>
      </c>
      <c r="O563" s="1" t="s">
        <v>298</v>
      </c>
      <c r="P563" s="1">
        <v>18</v>
      </c>
      <c r="Q563" s="1" t="s">
        <v>610</v>
      </c>
    </row>
    <row r="564" spans="1:17" x14ac:dyDescent="0.25">
      <c r="A564" s="1">
        <v>2018</v>
      </c>
      <c r="B564" s="1">
        <v>5</v>
      </c>
      <c r="C564" s="1" t="s">
        <v>63</v>
      </c>
      <c r="D564" s="1" t="s">
        <v>22</v>
      </c>
      <c r="E564" s="1" t="s">
        <v>23</v>
      </c>
      <c r="F564" s="1" t="s">
        <v>373</v>
      </c>
      <c r="G564" s="1" t="s">
        <v>374</v>
      </c>
      <c r="H564" s="1" t="s">
        <v>46</v>
      </c>
      <c r="I564" s="1" t="s">
        <v>464</v>
      </c>
      <c r="J564" s="1" t="s">
        <v>34</v>
      </c>
      <c r="M564" s="1">
        <v>-1608.1731817144</v>
      </c>
      <c r="O564" s="1" t="s">
        <v>301</v>
      </c>
      <c r="P564" s="1">
        <v>5</v>
      </c>
      <c r="Q564" s="1" t="s">
        <v>610</v>
      </c>
    </row>
    <row r="565" spans="1:17" x14ac:dyDescent="0.25">
      <c r="A565" s="1">
        <v>2018</v>
      </c>
      <c r="B565" s="1">
        <v>5</v>
      </c>
      <c r="C565" s="1" t="s">
        <v>63</v>
      </c>
      <c r="D565" s="1" t="s">
        <v>22</v>
      </c>
      <c r="E565" s="1" t="s">
        <v>23</v>
      </c>
      <c r="F565" s="1" t="s">
        <v>373</v>
      </c>
      <c r="G565" s="1" t="s">
        <v>374</v>
      </c>
      <c r="H565" s="1" t="s">
        <v>46</v>
      </c>
      <c r="I565" s="1" t="s">
        <v>464</v>
      </c>
      <c r="J565" s="1" t="s">
        <v>34</v>
      </c>
      <c r="M565" s="1">
        <v>-276.3524279884</v>
      </c>
      <c r="O565" s="1" t="s">
        <v>298</v>
      </c>
      <c r="P565" s="1">
        <v>18</v>
      </c>
      <c r="Q565" s="1" t="s">
        <v>610</v>
      </c>
    </row>
    <row r="566" spans="1:17" x14ac:dyDescent="0.25">
      <c r="A566" s="1">
        <v>2018</v>
      </c>
      <c r="B566" s="1">
        <v>5</v>
      </c>
      <c r="C566" s="1" t="s">
        <v>63</v>
      </c>
      <c r="D566" s="1" t="s">
        <v>22</v>
      </c>
      <c r="E566" s="1" t="s">
        <v>23</v>
      </c>
      <c r="F566" s="1" t="s">
        <v>373</v>
      </c>
      <c r="G566" s="1" t="s">
        <v>374</v>
      </c>
      <c r="H566" s="1" t="s">
        <v>46</v>
      </c>
      <c r="I566" s="1" t="s">
        <v>464</v>
      </c>
      <c r="J566" s="1" t="s">
        <v>34</v>
      </c>
      <c r="M566" s="1">
        <v>-1067.8462522972</v>
      </c>
      <c r="O566" s="1" t="s">
        <v>301</v>
      </c>
      <c r="P566" s="1">
        <v>5</v>
      </c>
      <c r="Q566" s="1" t="s">
        <v>610</v>
      </c>
    </row>
    <row r="567" spans="1:17" x14ac:dyDescent="0.25">
      <c r="A567" s="1">
        <v>2018</v>
      </c>
      <c r="B567" s="1">
        <v>5</v>
      </c>
      <c r="C567" s="1" t="s">
        <v>63</v>
      </c>
      <c r="D567" s="1" t="s">
        <v>22</v>
      </c>
      <c r="E567" s="1" t="s">
        <v>23</v>
      </c>
      <c r="F567" s="1" t="s">
        <v>373</v>
      </c>
      <c r="G567" s="1" t="s">
        <v>374</v>
      </c>
      <c r="H567" s="1" t="s">
        <v>46</v>
      </c>
      <c r="I567" s="1" t="s">
        <v>464</v>
      </c>
      <c r="J567" s="1" t="s">
        <v>34</v>
      </c>
      <c r="M567" s="1">
        <v>-489.82425578459998</v>
      </c>
      <c r="O567" s="1" t="s">
        <v>298</v>
      </c>
      <c r="P567" s="1">
        <v>18</v>
      </c>
      <c r="Q567" s="1" t="s">
        <v>610</v>
      </c>
    </row>
    <row r="568" spans="1:17" x14ac:dyDescent="0.25">
      <c r="A568" s="1">
        <v>2018</v>
      </c>
      <c r="B568" s="1">
        <v>5</v>
      </c>
      <c r="C568" s="1" t="s">
        <v>63</v>
      </c>
      <c r="D568" s="1" t="s">
        <v>22</v>
      </c>
      <c r="E568" s="1" t="s">
        <v>23</v>
      </c>
      <c r="F568" s="1" t="s">
        <v>373</v>
      </c>
      <c r="G568" s="1" t="s">
        <v>374</v>
      </c>
      <c r="H568" s="1" t="s">
        <v>46</v>
      </c>
      <c r="I568" s="1" t="s">
        <v>464</v>
      </c>
      <c r="J568" s="1" t="s">
        <v>34</v>
      </c>
      <c r="M568" s="1">
        <v>-1892.7172076300001</v>
      </c>
      <c r="O568" s="1" t="s">
        <v>301</v>
      </c>
      <c r="P568" s="1">
        <v>5</v>
      </c>
      <c r="Q568" s="1" t="s">
        <v>610</v>
      </c>
    </row>
    <row r="569" spans="1:17" x14ac:dyDescent="0.25">
      <c r="A569" s="1">
        <v>2018</v>
      </c>
      <c r="B569" s="1">
        <v>5</v>
      </c>
      <c r="C569" s="1" t="s">
        <v>63</v>
      </c>
      <c r="D569" s="1" t="s">
        <v>22</v>
      </c>
      <c r="E569" s="1" t="s">
        <v>23</v>
      </c>
      <c r="F569" s="1" t="s">
        <v>371</v>
      </c>
      <c r="G569" s="1" t="s">
        <v>372</v>
      </c>
      <c r="H569" s="1" t="s">
        <v>46</v>
      </c>
      <c r="I569" s="1" t="s">
        <v>464</v>
      </c>
      <c r="J569" s="1" t="s">
        <v>34</v>
      </c>
      <c r="M569" s="1">
        <v>-5454.9955897815998</v>
      </c>
      <c r="O569" s="1" t="s">
        <v>296</v>
      </c>
      <c r="P569" s="1">
        <v>18</v>
      </c>
      <c r="Q569" s="1" t="s">
        <v>610</v>
      </c>
    </row>
  </sheetData>
  <sortState ref="A2:Q569">
    <sortCondition ref="B1"/>
  </sortState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3:K145"/>
  <sheetViews>
    <sheetView zoomScale="55" zoomScaleNormal="55" workbookViewId="0">
      <selection activeCell="K12" sqref="K12"/>
    </sheetView>
  </sheetViews>
  <sheetFormatPr defaultRowHeight="12.75" x14ac:dyDescent="0.2"/>
  <cols>
    <col min="1" max="1" width="32.7109375" bestFit="1" customWidth="1"/>
    <col min="2" max="2" width="21.5703125" bestFit="1" customWidth="1"/>
    <col min="3" max="3" width="11.42578125" bestFit="1" customWidth="1"/>
    <col min="4" max="4" width="21.5703125" bestFit="1" customWidth="1"/>
    <col min="5" max="5" width="11.42578125" bestFit="1" customWidth="1"/>
    <col min="6" max="6" width="21.5703125" bestFit="1" customWidth="1"/>
    <col min="7" max="7" width="11.42578125" bestFit="1" customWidth="1"/>
    <col min="8" max="8" width="27.28515625" bestFit="1" customWidth="1"/>
    <col min="9" max="9" width="17.28515625" bestFit="1" customWidth="1"/>
  </cols>
  <sheetData>
    <row r="3" spans="1:11" x14ac:dyDescent="0.2">
      <c r="A3" s="44"/>
      <c r="B3" s="45" t="s">
        <v>988</v>
      </c>
      <c r="C3" s="46"/>
      <c r="D3" s="46"/>
      <c r="E3" s="46"/>
      <c r="F3" s="46"/>
      <c r="G3" s="46"/>
      <c r="H3" s="46"/>
      <c r="I3" s="47"/>
    </row>
    <row r="4" spans="1:11" x14ac:dyDescent="0.2">
      <c r="A4" s="48"/>
      <c r="B4" s="44">
        <v>3</v>
      </c>
      <c r="C4" s="46"/>
      <c r="D4" s="44">
        <v>5</v>
      </c>
      <c r="E4" s="46"/>
      <c r="F4" s="44">
        <v>4</v>
      </c>
      <c r="G4" s="46"/>
      <c r="H4" s="44" t="s">
        <v>989</v>
      </c>
      <c r="I4" s="49" t="s">
        <v>990</v>
      </c>
    </row>
    <row r="5" spans="1:11" x14ac:dyDescent="0.2">
      <c r="A5" s="45" t="s">
        <v>991</v>
      </c>
      <c r="B5" s="44" t="s">
        <v>970</v>
      </c>
      <c r="C5" s="50" t="s">
        <v>967</v>
      </c>
      <c r="D5" s="44" t="s">
        <v>970</v>
      </c>
      <c r="E5" s="50" t="s">
        <v>967</v>
      </c>
      <c r="F5" s="44" t="s">
        <v>970</v>
      </c>
      <c r="G5" s="50" t="s">
        <v>967</v>
      </c>
      <c r="H5" s="48"/>
      <c r="I5" s="51"/>
    </row>
    <row r="6" spans="1:11" x14ac:dyDescent="0.2">
      <c r="A6" s="55" t="s">
        <v>34</v>
      </c>
      <c r="B6" s="56">
        <v>13486.000000136815</v>
      </c>
      <c r="C6" s="57">
        <v>98299.329205459595</v>
      </c>
      <c r="D6" s="56">
        <v>10080.000000041608</v>
      </c>
      <c r="E6" s="57">
        <v>72182.8563951213</v>
      </c>
      <c r="F6" s="56">
        <v>8160.000000011657</v>
      </c>
      <c r="G6" s="57">
        <v>84526.804545454463</v>
      </c>
      <c r="H6" s="56">
        <v>31726.000000190063</v>
      </c>
      <c r="I6" s="58">
        <v>255008.99014603542</v>
      </c>
    </row>
    <row r="7" spans="1:11" x14ac:dyDescent="0.2">
      <c r="A7" s="111" t="s">
        <v>601</v>
      </c>
      <c r="B7" s="114">
        <v>6219.0000000631053</v>
      </c>
      <c r="C7" s="115">
        <v>59711.225662117096</v>
      </c>
      <c r="D7" s="114">
        <v>3928.0000000162336</v>
      </c>
      <c r="E7" s="115">
        <v>32495.218292683101</v>
      </c>
      <c r="F7" s="114">
        <v>4017.0000000057335</v>
      </c>
      <c r="G7" s="115">
        <v>43377.304545454506</v>
      </c>
      <c r="H7" s="114">
        <v>14164.000000085076</v>
      </c>
      <c r="I7" s="116">
        <v>135583.7485002547</v>
      </c>
    </row>
    <row r="8" spans="1:11" x14ac:dyDescent="0.2">
      <c r="A8" s="113" t="s">
        <v>480</v>
      </c>
      <c r="B8" s="59"/>
      <c r="C8" s="60"/>
      <c r="D8" s="59">
        <v>0</v>
      </c>
      <c r="E8" s="60">
        <v>0</v>
      </c>
      <c r="F8" s="59">
        <v>159.00000000021993</v>
      </c>
      <c r="G8" s="60">
        <v>-1.1368683772161603E-13</v>
      </c>
      <c r="H8" s="59">
        <v>159.00000000021993</v>
      </c>
      <c r="I8" s="61">
        <v>-1.1368683772161603E-13</v>
      </c>
    </row>
    <row r="9" spans="1:11" ht="14.25" x14ac:dyDescent="0.25">
      <c r="A9" s="113" t="s">
        <v>548</v>
      </c>
      <c r="B9" s="59"/>
      <c r="C9" s="60"/>
      <c r="D9" s="59">
        <v>0</v>
      </c>
      <c r="E9" s="60">
        <v>0</v>
      </c>
      <c r="F9" s="59">
        <v>82.000000000117822</v>
      </c>
      <c r="G9" s="60">
        <v>1044.0090909091</v>
      </c>
      <c r="H9" s="59">
        <v>82.000000000117822</v>
      </c>
      <c r="I9" s="61">
        <v>1044.0090909091</v>
      </c>
      <c r="K9" s="101" t="s">
        <v>1001</v>
      </c>
    </row>
    <row r="10" spans="1:11" ht="14.25" x14ac:dyDescent="0.25">
      <c r="A10" s="113" t="s">
        <v>432</v>
      </c>
      <c r="B10" s="59">
        <v>194.00000000196849</v>
      </c>
      <c r="C10" s="60">
        <v>1862.6753141101001</v>
      </c>
      <c r="D10" s="59">
        <v>180.00000000073737</v>
      </c>
      <c r="E10" s="60">
        <v>1489.0884146341</v>
      </c>
      <c r="F10" s="59">
        <v>0</v>
      </c>
      <c r="G10" s="60">
        <v>0</v>
      </c>
      <c r="H10" s="59">
        <v>374.00000000270586</v>
      </c>
      <c r="I10" s="61">
        <v>3351.7637287442003</v>
      </c>
      <c r="K10" s="101" t="s">
        <v>1002</v>
      </c>
    </row>
    <row r="11" spans="1:11" ht="14.25" x14ac:dyDescent="0.25">
      <c r="A11" s="113" t="s">
        <v>444</v>
      </c>
      <c r="B11" s="59">
        <v>580.000000005895</v>
      </c>
      <c r="C11" s="60">
        <v>5568.8231040405999</v>
      </c>
      <c r="D11" s="59">
        <v>0</v>
      </c>
      <c r="E11" s="60">
        <v>0</v>
      </c>
      <c r="F11" s="59">
        <v>0</v>
      </c>
      <c r="G11" s="60">
        <v>0</v>
      </c>
      <c r="H11" s="59">
        <v>580.000000005895</v>
      </c>
      <c r="I11" s="61">
        <v>5568.8231040405999</v>
      </c>
      <c r="K11" s="101" t="s">
        <v>1003</v>
      </c>
    </row>
    <row r="12" spans="1:11" x14ac:dyDescent="0.2">
      <c r="A12" s="113" t="s">
        <v>434</v>
      </c>
      <c r="B12" s="59">
        <v>230.000000002333</v>
      </c>
      <c r="C12" s="60">
        <v>2208.3264033263999</v>
      </c>
      <c r="D12" s="59">
        <v>0</v>
      </c>
      <c r="E12" s="60">
        <v>0</v>
      </c>
      <c r="F12" s="59">
        <v>0</v>
      </c>
      <c r="G12" s="60">
        <v>0</v>
      </c>
      <c r="H12" s="59">
        <v>230.000000002333</v>
      </c>
      <c r="I12" s="61">
        <v>2208.3264033263999</v>
      </c>
    </row>
    <row r="13" spans="1:11" x14ac:dyDescent="0.2">
      <c r="A13" s="113" t="s">
        <v>318</v>
      </c>
      <c r="B13" s="59">
        <v>133.00000000135398</v>
      </c>
      <c r="C13" s="60">
        <v>1276.9887462714</v>
      </c>
      <c r="D13" s="59">
        <v>0</v>
      </c>
      <c r="E13" s="60">
        <v>0</v>
      </c>
      <c r="F13" s="59">
        <v>384.00000000055769</v>
      </c>
      <c r="G13" s="60">
        <v>4889.0181818183</v>
      </c>
      <c r="H13" s="59">
        <v>517.00000000191164</v>
      </c>
      <c r="I13" s="61">
        <v>6166.0069280897005</v>
      </c>
    </row>
    <row r="14" spans="1:11" x14ac:dyDescent="0.2">
      <c r="A14" s="113" t="s">
        <v>422</v>
      </c>
      <c r="B14" s="59">
        <v>480.00000000487432</v>
      </c>
      <c r="C14" s="60">
        <v>4608.6811895507999</v>
      </c>
      <c r="D14" s="59">
        <v>0</v>
      </c>
      <c r="E14" s="60">
        <v>0</v>
      </c>
      <c r="F14" s="59">
        <v>0</v>
      </c>
      <c r="G14" s="60">
        <v>0</v>
      </c>
      <c r="H14" s="59">
        <v>480.00000000487432</v>
      </c>
      <c r="I14" s="61">
        <v>4608.6811895507999</v>
      </c>
    </row>
    <row r="15" spans="1:11" x14ac:dyDescent="0.2">
      <c r="A15" s="113" t="s">
        <v>418</v>
      </c>
      <c r="B15" s="59">
        <v>160.00000000162476</v>
      </c>
      <c r="C15" s="60">
        <v>1536.2270631836</v>
      </c>
      <c r="D15" s="59">
        <v>0</v>
      </c>
      <c r="E15" s="60">
        <v>0</v>
      </c>
      <c r="F15" s="59">
        <v>0</v>
      </c>
      <c r="G15" s="60">
        <v>0</v>
      </c>
      <c r="H15" s="59">
        <v>160.00000000162476</v>
      </c>
      <c r="I15" s="61">
        <v>1536.2270631836</v>
      </c>
    </row>
    <row r="16" spans="1:11" x14ac:dyDescent="0.2">
      <c r="A16" s="113" t="s">
        <v>466</v>
      </c>
      <c r="B16" s="59"/>
      <c r="C16" s="60"/>
      <c r="D16" s="59">
        <v>0</v>
      </c>
      <c r="E16" s="60">
        <v>0</v>
      </c>
      <c r="F16" s="59">
        <v>82.000000000117822</v>
      </c>
      <c r="G16" s="60">
        <v>0</v>
      </c>
      <c r="H16" s="59">
        <v>82.000000000117822</v>
      </c>
      <c r="I16" s="61">
        <v>0</v>
      </c>
    </row>
    <row r="17" spans="1:9" x14ac:dyDescent="0.2">
      <c r="A17" s="113" t="s">
        <v>456</v>
      </c>
      <c r="B17" s="59">
        <v>465.00000000471806</v>
      </c>
      <c r="C17" s="60">
        <v>4464.6599023772997</v>
      </c>
      <c r="D17" s="59">
        <v>0</v>
      </c>
      <c r="E17" s="60">
        <v>0</v>
      </c>
      <c r="F17" s="59">
        <v>0</v>
      </c>
      <c r="G17" s="60">
        <v>0</v>
      </c>
      <c r="H17" s="59">
        <v>465.00000000471806</v>
      </c>
      <c r="I17" s="61">
        <v>4464.6599023772997</v>
      </c>
    </row>
    <row r="18" spans="1:9" x14ac:dyDescent="0.2">
      <c r="A18" s="113" t="s">
        <v>570</v>
      </c>
      <c r="B18" s="59"/>
      <c r="C18" s="60"/>
      <c r="D18" s="59">
        <v>5.0000000000241762</v>
      </c>
      <c r="E18" s="60">
        <v>41.363567073200002</v>
      </c>
      <c r="F18" s="59"/>
      <c r="G18" s="60"/>
      <c r="H18" s="59">
        <v>5.0000000000241762</v>
      </c>
      <c r="I18" s="61">
        <v>41.363567073200002</v>
      </c>
    </row>
    <row r="19" spans="1:9" x14ac:dyDescent="0.2">
      <c r="A19" s="113" t="s">
        <v>586</v>
      </c>
      <c r="B19" s="59"/>
      <c r="C19" s="60"/>
      <c r="D19" s="59">
        <v>192.00000000078572</v>
      </c>
      <c r="E19" s="60">
        <v>1588.3609756097001</v>
      </c>
      <c r="F19" s="59"/>
      <c r="G19" s="60"/>
      <c r="H19" s="59">
        <v>192.00000000078572</v>
      </c>
      <c r="I19" s="61">
        <v>1588.3609756097001</v>
      </c>
    </row>
    <row r="20" spans="1:9" x14ac:dyDescent="0.2">
      <c r="A20" s="113" t="s">
        <v>460</v>
      </c>
      <c r="B20" s="59">
        <v>96.000000000979028</v>
      </c>
      <c r="C20" s="60">
        <v>921.73623791019997</v>
      </c>
      <c r="D20" s="59">
        <v>0</v>
      </c>
      <c r="E20" s="60">
        <v>0</v>
      </c>
      <c r="F20" s="59">
        <v>0</v>
      </c>
      <c r="G20" s="60">
        <v>0</v>
      </c>
      <c r="H20" s="59">
        <v>96.000000000979028</v>
      </c>
      <c r="I20" s="61">
        <v>921.73623791019997</v>
      </c>
    </row>
    <row r="21" spans="1:9" x14ac:dyDescent="0.2">
      <c r="A21" s="113" t="s">
        <v>414</v>
      </c>
      <c r="B21" s="59">
        <v>192.00000000194763</v>
      </c>
      <c r="C21" s="60">
        <v>1843.4724758202999</v>
      </c>
      <c r="D21" s="59">
        <v>0</v>
      </c>
      <c r="E21" s="60">
        <v>0</v>
      </c>
      <c r="F21" s="59">
        <v>0</v>
      </c>
      <c r="G21" s="60">
        <v>0</v>
      </c>
      <c r="H21" s="59">
        <v>192.00000000194763</v>
      </c>
      <c r="I21" s="61">
        <v>1843.4724758202999</v>
      </c>
    </row>
    <row r="22" spans="1:9" x14ac:dyDescent="0.2">
      <c r="A22" s="113" t="s">
        <v>472</v>
      </c>
      <c r="B22" s="59"/>
      <c r="C22" s="60"/>
      <c r="D22" s="59">
        <v>400.00000000165602</v>
      </c>
      <c r="E22" s="60">
        <v>3309.0853658536998</v>
      </c>
      <c r="F22" s="59">
        <v>369.0000000005341</v>
      </c>
      <c r="G22" s="60">
        <v>0</v>
      </c>
      <c r="H22" s="59">
        <v>769.00000000219006</v>
      </c>
      <c r="I22" s="61">
        <v>3309.0853658536998</v>
      </c>
    </row>
    <row r="23" spans="1:9" x14ac:dyDescent="0.2">
      <c r="A23" s="113" t="s">
        <v>538</v>
      </c>
      <c r="B23" s="59"/>
      <c r="C23" s="60"/>
      <c r="D23" s="59">
        <v>0</v>
      </c>
      <c r="E23" s="60">
        <v>0</v>
      </c>
      <c r="F23" s="59">
        <v>125.00000000018066</v>
      </c>
      <c r="G23" s="60">
        <v>1591.4772727273</v>
      </c>
      <c r="H23" s="59">
        <v>125.00000000018066</v>
      </c>
      <c r="I23" s="61">
        <v>1591.4772727273</v>
      </c>
    </row>
    <row r="24" spans="1:9" x14ac:dyDescent="0.2">
      <c r="A24" s="113" t="s">
        <v>442</v>
      </c>
      <c r="B24" s="59">
        <v>160.00000000162476</v>
      </c>
      <c r="C24" s="60">
        <v>1536.2270631836</v>
      </c>
      <c r="D24" s="59">
        <v>0</v>
      </c>
      <c r="E24" s="60">
        <v>0</v>
      </c>
      <c r="F24" s="59">
        <v>288.00000000040848</v>
      </c>
      <c r="G24" s="60">
        <v>3666.7636363636002</v>
      </c>
      <c r="H24" s="59">
        <v>448.00000000203323</v>
      </c>
      <c r="I24" s="61">
        <v>5202.9906995472002</v>
      </c>
    </row>
    <row r="25" spans="1:9" x14ac:dyDescent="0.2">
      <c r="A25" s="113" t="s">
        <v>580</v>
      </c>
      <c r="B25" s="59"/>
      <c r="C25" s="60"/>
      <c r="D25" s="59">
        <v>192.00000000079783</v>
      </c>
      <c r="E25" s="60">
        <v>1588.3609756098001</v>
      </c>
      <c r="F25" s="59"/>
      <c r="G25" s="60"/>
      <c r="H25" s="59">
        <v>192.00000000079783</v>
      </c>
      <c r="I25" s="61">
        <v>1588.3609756098001</v>
      </c>
    </row>
    <row r="26" spans="1:9" x14ac:dyDescent="0.2">
      <c r="A26" s="113" t="s">
        <v>578</v>
      </c>
      <c r="B26" s="59"/>
      <c r="C26" s="60"/>
      <c r="D26" s="59">
        <v>96.000000000398913</v>
      </c>
      <c r="E26" s="60">
        <v>794.18048780490005</v>
      </c>
      <c r="F26" s="59"/>
      <c r="G26" s="60"/>
      <c r="H26" s="59">
        <v>96.000000000398913</v>
      </c>
      <c r="I26" s="61">
        <v>794.18048780490005</v>
      </c>
    </row>
    <row r="27" spans="1:9" x14ac:dyDescent="0.2">
      <c r="A27" s="113" t="s">
        <v>450</v>
      </c>
      <c r="B27" s="59">
        <v>141.00000000142688</v>
      </c>
      <c r="C27" s="60">
        <v>1353.8000994305</v>
      </c>
      <c r="D27" s="59">
        <v>0</v>
      </c>
      <c r="E27" s="60">
        <v>0</v>
      </c>
      <c r="F27" s="59">
        <v>0</v>
      </c>
      <c r="G27" s="60">
        <v>0</v>
      </c>
      <c r="H27" s="59">
        <v>141.00000000142688</v>
      </c>
      <c r="I27" s="61">
        <v>1353.8000994305</v>
      </c>
    </row>
    <row r="28" spans="1:9" x14ac:dyDescent="0.2">
      <c r="A28" s="113" t="s">
        <v>452</v>
      </c>
      <c r="B28" s="59">
        <v>45.000000000458265</v>
      </c>
      <c r="C28" s="60">
        <v>432.0638615204</v>
      </c>
      <c r="D28" s="59">
        <v>160.00000000066481</v>
      </c>
      <c r="E28" s="60">
        <v>1323.6341463414999</v>
      </c>
      <c r="F28" s="59">
        <v>0</v>
      </c>
      <c r="G28" s="60">
        <v>0</v>
      </c>
      <c r="H28" s="59">
        <v>205.00000000112308</v>
      </c>
      <c r="I28" s="61">
        <v>1755.6980078618999</v>
      </c>
    </row>
    <row r="29" spans="1:9" x14ac:dyDescent="0.2">
      <c r="A29" s="113" t="s">
        <v>420</v>
      </c>
      <c r="B29" s="59">
        <v>190.00000000192679</v>
      </c>
      <c r="C29" s="60">
        <v>1824.2696375304999</v>
      </c>
      <c r="D29" s="59">
        <v>0</v>
      </c>
      <c r="E29" s="60">
        <v>0</v>
      </c>
      <c r="F29" s="59">
        <v>214.00000000029846</v>
      </c>
      <c r="G29" s="60">
        <v>2724.6090909089999</v>
      </c>
      <c r="H29" s="59">
        <v>404.00000000222525</v>
      </c>
      <c r="I29" s="61">
        <v>4548.8787284395003</v>
      </c>
    </row>
    <row r="30" spans="1:9" x14ac:dyDescent="0.2">
      <c r="A30" s="113" t="s">
        <v>536</v>
      </c>
      <c r="B30" s="59"/>
      <c r="C30" s="60"/>
      <c r="D30" s="59">
        <v>0</v>
      </c>
      <c r="E30" s="60">
        <v>0</v>
      </c>
      <c r="F30" s="59">
        <v>221.00000000031417</v>
      </c>
      <c r="G30" s="60">
        <v>2813.7318181818</v>
      </c>
      <c r="H30" s="59">
        <v>221.00000000031417</v>
      </c>
      <c r="I30" s="61">
        <v>2813.7318181818</v>
      </c>
    </row>
    <row r="31" spans="1:9" x14ac:dyDescent="0.2">
      <c r="A31" s="113" t="s">
        <v>574</v>
      </c>
      <c r="B31" s="59"/>
      <c r="C31" s="60"/>
      <c r="D31" s="59">
        <v>120.0000000004956</v>
      </c>
      <c r="E31" s="60">
        <v>992.72560975609997</v>
      </c>
      <c r="F31" s="59"/>
      <c r="G31" s="60"/>
      <c r="H31" s="59">
        <v>120.0000000004956</v>
      </c>
      <c r="I31" s="61">
        <v>992.72560975609997</v>
      </c>
    </row>
    <row r="32" spans="1:9" x14ac:dyDescent="0.2">
      <c r="A32" s="113" t="s">
        <v>430</v>
      </c>
      <c r="B32" s="59">
        <v>78.000000000791559</v>
      </c>
      <c r="C32" s="60">
        <v>748.91069330200003</v>
      </c>
      <c r="D32" s="59">
        <v>440.00000000181319</v>
      </c>
      <c r="E32" s="60">
        <v>3639.9939024389996</v>
      </c>
      <c r="F32" s="59">
        <v>258.0000000003692</v>
      </c>
      <c r="G32" s="60">
        <v>3284.8090909091002</v>
      </c>
      <c r="H32" s="59">
        <v>776.00000000297393</v>
      </c>
      <c r="I32" s="61">
        <v>7673.7136866500996</v>
      </c>
    </row>
    <row r="33" spans="1:9" x14ac:dyDescent="0.2">
      <c r="A33" s="113" t="s">
        <v>436</v>
      </c>
      <c r="B33" s="59">
        <v>246.00000000247883</v>
      </c>
      <c r="C33" s="60">
        <v>2361.9491096446</v>
      </c>
      <c r="D33" s="59">
        <v>0</v>
      </c>
      <c r="E33" s="60">
        <v>0</v>
      </c>
      <c r="F33" s="59">
        <v>0</v>
      </c>
      <c r="G33" s="60">
        <v>0</v>
      </c>
      <c r="H33" s="59">
        <v>246.00000000247883</v>
      </c>
      <c r="I33" s="61">
        <v>2361.9491096446</v>
      </c>
    </row>
    <row r="34" spans="1:9" x14ac:dyDescent="0.2">
      <c r="A34" s="113" t="s">
        <v>440</v>
      </c>
      <c r="B34" s="59">
        <v>206.00000000210389</v>
      </c>
      <c r="C34" s="60">
        <v>1977.8923438490001</v>
      </c>
      <c r="D34" s="59">
        <v>160.00000000066481</v>
      </c>
      <c r="E34" s="60">
        <v>1323.6341463414999</v>
      </c>
      <c r="F34" s="59">
        <v>0</v>
      </c>
      <c r="G34" s="60">
        <v>0</v>
      </c>
      <c r="H34" s="59">
        <v>366.00000000276873</v>
      </c>
      <c r="I34" s="61">
        <v>3301.5264901905002</v>
      </c>
    </row>
    <row r="35" spans="1:9" x14ac:dyDescent="0.2">
      <c r="A35" s="113" t="s">
        <v>454</v>
      </c>
      <c r="B35" s="59">
        <v>281.00000000285377</v>
      </c>
      <c r="C35" s="60">
        <v>2697.9987797161998</v>
      </c>
      <c r="D35" s="59">
        <v>0</v>
      </c>
      <c r="E35" s="60">
        <v>0</v>
      </c>
      <c r="F35" s="59">
        <v>0</v>
      </c>
      <c r="G35" s="60">
        <v>0</v>
      </c>
      <c r="H35" s="59">
        <v>281.00000000285377</v>
      </c>
      <c r="I35" s="61">
        <v>2697.9987797161998</v>
      </c>
    </row>
    <row r="36" spans="1:9" x14ac:dyDescent="0.2">
      <c r="A36" s="113" t="s">
        <v>582</v>
      </c>
      <c r="B36" s="59"/>
      <c r="C36" s="60"/>
      <c r="D36" s="59">
        <v>192.00000000079783</v>
      </c>
      <c r="E36" s="60">
        <v>1588.3609756098001</v>
      </c>
      <c r="F36" s="59"/>
      <c r="G36" s="60"/>
      <c r="H36" s="59">
        <v>192.00000000079783</v>
      </c>
      <c r="I36" s="61">
        <v>1588.3609756098001</v>
      </c>
    </row>
    <row r="37" spans="1:9" x14ac:dyDescent="0.2">
      <c r="A37" s="113" t="s">
        <v>550</v>
      </c>
      <c r="B37" s="59"/>
      <c r="C37" s="60"/>
      <c r="D37" s="59">
        <v>0</v>
      </c>
      <c r="E37" s="60">
        <v>0</v>
      </c>
      <c r="F37" s="59">
        <v>123.0000000001728</v>
      </c>
      <c r="G37" s="60">
        <v>1566.0136363636</v>
      </c>
      <c r="H37" s="59">
        <v>123.0000000001728</v>
      </c>
      <c r="I37" s="61">
        <v>1566.0136363636</v>
      </c>
    </row>
    <row r="38" spans="1:9" x14ac:dyDescent="0.2">
      <c r="A38" s="113" t="s">
        <v>416</v>
      </c>
      <c r="B38" s="59">
        <v>15.000000000156229</v>
      </c>
      <c r="C38" s="60">
        <v>144.02128717350001</v>
      </c>
      <c r="D38" s="59">
        <v>0</v>
      </c>
      <c r="E38" s="60">
        <v>0</v>
      </c>
      <c r="F38" s="59">
        <v>0</v>
      </c>
      <c r="G38" s="60">
        <v>0</v>
      </c>
      <c r="H38" s="59">
        <v>15.000000000156229</v>
      </c>
      <c r="I38" s="61">
        <v>144.02128717350001</v>
      </c>
    </row>
    <row r="39" spans="1:9" x14ac:dyDescent="0.2">
      <c r="A39" s="113" t="s">
        <v>542</v>
      </c>
      <c r="B39" s="59"/>
      <c r="C39" s="60"/>
      <c r="D39" s="59">
        <v>192.00000000079783</v>
      </c>
      <c r="E39" s="60">
        <v>1588.3609756098001</v>
      </c>
      <c r="F39" s="59">
        <v>165.00000000023564</v>
      </c>
      <c r="G39" s="60">
        <v>2100.75</v>
      </c>
      <c r="H39" s="59">
        <v>357.00000000103347</v>
      </c>
      <c r="I39" s="61">
        <v>3689.1109756098003</v>
      </c>
    </row>
    <row r="40" spans="1:9" x14ac:dyDescent="0.2">
      <c r="A40" s="113" t="s">
        <v>438</v>
      </c>
      <c r="B40" s="59">
        <v>214.00000000217676</v>
      </c>
      <c r="C40" s="60">
        <v>2054.7036970080999</v>
      </c>
      <c r="D40" s="59">
        <v>259.00000000106377</v>
      </c>
      <c r="E40" s="60">
        <v>2142.6327743902002</v>
      </c>
      <c r="F40" s="59">
        <v>0</v>
      </c>
      <c r="G40" s="60">
        <v>0</v>
      </c>
      <c r="H40" s="59">
        <v>473.00000000324053</v>
      </c>
      <c r="I40" s="61">
        <v>4197.3364713983001</v>
      </c>
    </row>
    <row r="41" spans="1:9" x14ac:dyDescent="0.2">
      <c r="A41" s="113" t="s">
        <v>446</v>
      </c>
      <c r="B41" s="59">
        <v>133.00000000132272</v>
      </c>
      <c r="C41" s="60">
        <v>1276.9887462710999</v>
      </c>
      <c r="D41" s="59">
        <v>240.00000000099121</v>
      </c>
      <c r="E41" s="60">
        <v>1985.4512195121999</v>
      </c>
      <c r="F41" s="59">
        <v>222.00000000031417</v>
      </c>
      <c r="G41" s="60">
        <v>2826.4636363636</v>
      </c>
      <c r="H41" s="59">
        <v>595.0000000026281</v>
      </c>
      <c r="I41" s="61">
        <v>6088.9036021468992</v>
      </c>
    </row>
    <row r="42" spans="1:9" x14ac:dyDescent="0.2">
      <c r="A42" s="113" t="s">
        <v>426</v>
      </c>
      <c r="B42" s="59">
        <v>95.000000000968612</v>
      </c>
      <c r="C42" s="60">
        <v>912.1348187653</v>
      </c>
      <c r="D42" s="59">
        <v>0</v>
      </c>
      <c r="E42" s="60">
        <v>0</v>
      </c>
      <c r="F42" s="59">
        <v>0</v>
      </c>
      <c r="G42" s="60">
        <v>0</v>
      </c>
      <c r="H42" s="59">
        <v>95.000000000968612</v>
      </c>
      <c r="I42" s="61">
        <v>912.1348187653</v>
      </c>
    </row>
    <row r="43" spans="1:9" x14ac:dyDescent="0.2">
      <c r="A43" s="113" t="s">
        <v>544</v>
      </c>
      <c r="B43" s="59"/>
      <c r="C43" s="60"/>
      <c r="D43" s="59">
        <v>0</v>
      </c>
      <c r="E43" s="60">
        <v>0</v>
      </c>
      <c r="F43" s="59">
        <v>142.00000000020421</v>
      </c>
      <c r="G43" s="60">
        <v>1807.9181818182001</v>
      </c>
      <c r="H43" s="59">
        <v>142.00000000020421</v>
      </c>
      <c r="I43" s="61">
        <v>1807.9181818182001</v>
      </c>
    </row>
    <row r="44" spans="1:9" x14ac:dyDescent="0.2">
      <c r="A44" s="113" t="s">
        <v>572</v>
      </c>
      <c r="B44" s="59"/>
      <c r="C44" s="60"/>
      <c r="D44" s="59">
        <v>640.0000000026472</v>
      </c>
      <c r="E44" s="60">
        <v>5294.5365853658996</v>
      </c>
      <c r="F44" s="59"/>
      <c r="G44" s="60"/>
      <c r="H44" s="59">
        <v>640.0000000026472</v>
      </c>
      <c r="I44" s="61">
        <v>5294.5365853658996</v>
      </c>
    </row>
    <row r="45" spans="1:9" x14ac:dyDescent="0.2">
      <c r="A45" s="113" t="s">
        <v>428</v>
      </c>
      <c r="B45" s="59">
        <v>480.00000000487432</v>
      </c>
      <c r="C45" s="60">
        <v>4608.6811895507999</v>
      </c>
      <c r="D45" s="59">
        <v>0</v>
      </c>
      <c r="E45" s="60">
        <v>0</v>
      </c>
      <c r="F45" s="59">
        <v>386.00000000054979</v>
      </c>
      <c r="G45" s="60">
        <v>4914.4818181818</v>
      </c>
      <c r="H45" s="59">
        <v>866.00000000542411</v>
      </c>
      <c r="I45" s="61">
        <v>9523.1630077326008</v>
      </c>
    </row>
    <row r="46" spans="1:9" x14ac:dyDescent="0.2">
      <c r="A46" s="113" t="s">
        <v>424</v>
      </c>
      <c r="B46" s="59">
        <v>640.00000000647822</v>
      </c>
      <c r="C46" s="60">
        <v>6144.9082527341998</v>
      </c>
      <c r="D46" s="59">
        <v>160.00000000066481</v>
      </c>
      <c r="E46" s="60">
        <v>1323.6341463414999</v>
      </c>
      <c r="F46" s="59">
        <v>0</v>
      </c>
      <c r="G46" s="60">
        <v>0</v>
      </c>
      <c r="H46" s="59">
        <v>800.00000000714306</v>
      </c>
      <c r="I46" s="61">
        <v>7468.5423990756999</v>
      </c>
    </row>
    <row r="47" spans="1:9" x14ac:dyDescent="0.2">
      <c r="A47" s="113" t="s">
        <v>540</v>
      </c>
      <c r="B47" s="59"/>
      <c r="C47" s="60"/>
      <c r="D47" s="59">
        <v>0</v>
      </c>
      <c r="E47" s="60">
        <v>0</v>
      </c>
      <c r="F47" s="59">
        <v>491.00000000069906</v>
      </c>
      <c r="G47" s="60">
        <v>6251.3227272726999</v>
      </c>
      <c r="H47" s="59">
        <v>491.00000000069906</v>
      </c>
      <c r="I47" s="61">
        <v>6251.3227272726999</v>
      </c>
    </row>
    <row r="48" spans="1:9" x14ac:dyDescent="0.2">
      <c r="A48" s="113" t="s">
        <v>568</v>
      </c>
      <c r="B48" s="59"/>
      <c r="C48" s="60"/>
      <c r="D48" s="59">
        <v>180.00000000073737</v>
      </c>
      <c r="E48" s="60">
        <v>1489.0884146341</v>
      </c>
      <c r="F48" s="59"/>
      <c r="G48" s="60"/>
      <c r="H48" s="59">
        <v>180.00000000073737</v>
      </c>
      <c r="I48" s="61">
        <v>1489.0884146341</v>
      </c>
    </row>
    <row r="49" spans="1:9" x14ac:dyDescent="0.2">
      <c r="A49" s="113" t="s">
        <v>412</v>
      </c>
      <c r="B49" s="59">
        <v>480.00000000487432</v>
      </c>
      <c r="C49" s="60">
        <v>4608.6811895507999</v>
      </c>
      <c r="D49" s="59">
        <v>120.0000000004956</v>
      </c>
      <c r="E49" s="60">
        <v>992.72560975609997</v>
      </c>
      <c r="F49" s="59">
        <v>199.00000000029064</v>
      </c>
      <c r="G49" s="60">
        <v>2533.6318181819001</v>
      </c>
      <c r="H49" s="59">
        <v>799.00000000566058</v>
      </c>
      <c r="I49" s="61">
        <v>8135.0386174888008</v>
      </c>
    </row>
    <row r="50" spans="1:9" x14ac:dyDescent="0.2">
      <c r="A50" s="113" t="s">
        <v>448</v>
      </c>
      <c r="B50" s="59">
        <v>285.00000000289543</v>
      </c>
      <c r="C50" s="60">
        <v>2736.4044562958002</v>
      </c>
      <c r="D50" s="59">
        <v>0</v>
      </c>
      <c r="E50" s="60">
        <v>0</v>
      </c>
      <c r="F50" s="59">
        <v>107.00000000014923</v>
      </c>
      <c r="G50" s="60">
        <v>1362.3045454544999</v>
      </c>
      <c r="H50" s="59">
        <v>392.00000000304465</v>
      </c>
      <c r="I50" s="61">
        <v>4098.7090017502996</v>
      </c>
    </row>
    <row r="51" spans="1:9" x14ac:dyDescent="0.2">
      <c r="A51" s="53" t="s">
        <v>610</v>
      </c>
      <c r="B51" s="59">
        <v>7267.0000000737073</v>
      </c>
      <c r="C51" s="60">
        <v>38588.103543342499</v>
      </c>
      <c r="D51" s="59">
        <v>6152.0000000253731</v>
      </c>
      <c r="E51" s="60">
        <v>39687.638102438199</v>
      </c>
      <c r="F51" s="59">
        <v>4143.0000000059226</v>
      </c>
      <c r="G51" s="60">
        <v>41149.499999999993</v>
      </c>
      <c r="H51" s="59">
        <v>17562.000000105003</v>
      </c>
      <c r="I51" s="61">
        <v>119425.24164578067</v>
      </c>
    </row>
    <row r="52" spans="1:9" x14ac:dyDescent="0.2">
      <c r="A52" s="113" t="s">
        <v>470</v>
      </c>
      <c r="B52" s="59"/>
      <c r="C52" s="60"/>
      <c r="D52" s="59">
        <v>0</v>
      </c>
      <c r="E52" s="60">
        <v>0</v>
      </c>
      <c r="F52" s="59">
        <v>432.0000000006205</v>
      </c>
      <c r="G52" s="60">
        <v>0</v>
      </c>
      <c r="H52" s="59">
        <v>432.0000000006205</v>
      </c>
      <c r="I52" s="61">
        <v>0</v>
      </c>
    </row>
    <row r="53" spans="1:9" x14ac:dyDescent="0.2">
      <c r="A53" s="113" t="s">
        <v>576</v>
      </c>
      <c r="B53" s="59"/>
      <c r="C53" s="60"/>
      <c r="D53" s="59">
        <v>160.00000000066481</v>
      </c>
      <c r="E53" s="60">
        <v>1323.6341463414999</v>
      </c>
      <c r="F53" s="59"/>
      <c r="G53" s="60"/>
      <c r="H53" s="59">
        <v>160.00000000066481</v>
      </c>
      <c r="I53" s="61">
        <v>1323.6341463414999</v>
      </c>
    </row>
    <row r="54" spans="1:9" x14ac:dyDescent="0.2">
      <c r="A54" s="113" t="s">
        <v>410</v>
      </c>
      <c r="B54" s="59">
        <v>71.000000000718643</v>
      </c>
      <c r="C54" s="60">
        <v>681.70075928769995</v>
      </c>
      <c r="D54" s="59">
        <v>0</v>
      </c>
      <c r="E54" s="60">
        <v>0</v>
      </c>
      <c r="F54" s="59">
        <v>0</v>
      </c>
      <c r="G54" s="60">
        <v>0</v>
      </c>
      <c r="H54" s="59">
        <v>71.000000000718643</v>
      </c>
      <c r="I54" s="61">
        <v>681.70075928769995</v>
      </c>
    </row>
    <row r="55" spans="1:9" x14ac:dyDescent="0.2">
      <c r="A55" s="113" t="s">
        <v>522</v>
      </c>
      <c r="B55" s="59"/>
      <c r="C55" s="60"/>
      <c r="D55" s="59">
        <v>720.00000000297359</v>
      </c>
      <c r="E55" s="60">
        <v>5956.3536585366001</v>
      </c>
      <c r="F55" s="59">
        <v>160.00000000022777</v>
      </c>
      <c r="G55" s="60">
        <v>2037.0909090908999</v>
      </c>
      <c r="H55" s="59">
        <v>880.00000000320142</v>
      </c>
      <c r="I55" s="61">
        <v>7993.4445676275</v>
      </c>
    </row>
    <row r="56" spans="1:9" x14ac:dyDescent="0.2">
      <c r="A56" s="113" t="s">
        <v>402</v>
      </c>
      <c r="B56" s="59">
        <v>160.00000000162476</v>
      </c>
      <c r="C56" s="60">
        <v>0</v>
      </c>
      <c r="D56" s="59">
        <v>160.00000000066481</v>
      </c>
      <c r="E56" s="60">
        <v>1323.6341463414999</v>
      </c>
      <c r="F56" s="59">
        <v>240.00000000034558</v>
      </c>
      <c r="G56" s="60">
        <v>3055.6363636363999</v>
      </c>
      <c r="H56" s="59">
        <v>560.00000000263515</v>
      </c>
      <c r="I56" s="61">
        <v>4379.2705099778996</v>
      </c>
    </row>
    <row r="57" spans="1:9" x14ac:dyDescent="0.2">
      <c r="A57" s="113" t="s">
        <v>394</v>
      </c>
      <c r="B57" s="59">
        <v>137.00000000138522</v>
      </c>
      <c r="C57" s="60">
        <v>1315.3944228508999</v>
      </c>
      <c r="D57" s="59">
        <v>0</v>
      </c>
      <c r="E57" s="60">
        <v>0</v>
      </c>
      <c r="F57" s="59">
        <v>0</v>
      </c>
      <c r="G57" s="60">
        <v>0</v>
      </c>
      <c r="H57" s="59">
        <v>137.00000000138522</v>
      </c>
      <c r="I57" s="61">
        <v>1315.3944228508999</v>
      </c>
    </row>
    <row r="58" spans="1:9" x14ac:dyDescent="0.2">
      <c r="A58" s="113" t="s">
        <v>526</v>
      </c>
      <c r="B58" s="59"/>
      <c r="C58" s="60"/>
      <c r="D58" s="59">
        <v>0</v>
      </c>
      <c r="E58" s="60">
        <v>0</v>
      </c>
      <c r="F58" s="59">
        <v>173.00000000024349</v>
      </c>
      <c r="G58" s="60">
        <v>2202.6045454545001</v>
      </c>
      <c r="H58" s="59">
        <v>173.00000000024349</v>
      </c>
      <c r="I58" s="61">
        <v>2202.6045454545001</v>
      </c>
    </row>
    <row r="59" spans="1:9" x14ac:dyDescent="0.2">
      <c r="A59" s="113" t="s">
        <v>396</v>
      </c>
      <c r="B59" s="59">
        <v>928.00000000941532</v>
      </c>
      <c r="C59" s="60">
        <v>0</v>
      </c>
      <c r="D59" s="59">
        <v>400.00000000165602</v>
      </c>
      <c r="E59" s="60">
        <v>3309.0853658536998</v>
      </c>
      <c r="F59" s="59">
        <v>0</v>
      </c>
      <c r="G59" s="60">
        <v>0</v>
      </c>
      <c r="H59" s="59">
        <v>1328.0000000110713</v>
      </c>
      <c r="I59" s="61">
        <v>3309.0853658536998</v>
      </c>
    </row>
    <row r="60" spans="1:9" x14ac:dyDescent="0.2">
      <c r="A60" s="113" t="s">
        <v>520</v>
      </c>
      <c r="B60" s="59"/>
      <c r="C60" s="60"/>
      <c r="D60" s="59">
        <v>0</v>
      </c>
      <c r="E60" s="60">
        <v>0</v>
      </c>
      <c r="F60" s="59">
        <v>199.00000000028277</v>
      </c>
      <c r="G60" s="60">
        <v>2533.6318181818001</v>
      </c>
      <c r="H60" s="59">
        <v>199.00000000028277</v>
      </c>
      <c r="I60" s="61">
        <v>2533.6318181818001</v>
      </c>
    </row>
    <row r="61" spans="1:9" x14ac:dyDescent="0.2">
      <c r="A61" s="113" t="s">
        <v>558</v>
      </c>
      <c r="B61" s="59"/>
      <c r="C61" s="60"/>
      <c r="D61" s="59">
        <v>480.00000000198241</v>
      </c>
      <c r="E61" s="60">
        <v>3970.9024390243999</v>
      </c>
      <c r="F61" s="59"/>
      <c r="G61" s="60"/>
      <c r="H61" s="59">
        <v>480.00000000198241</v>
      </c>
      <c r="I61" s="61">
        <v>3970.9024390243999</v>
      </c>
    </row>
    <row r="62" spans="1:9" x14ac:dyDescent="0.2">
      <c r="A62" s="113" t="s">
        <v>562</v>
      </c>
      <c r="B62" s="59"/>
      <c r="C62" s="60"/>
      <c r="D62" s="59">
        <v>480.00000000198241</v>
      </c>
      <c r="E62" s="60">
        <v>3970.9024390243999</v>
      </c>
      <c r="F62" s="59"/>
      <c r="G62" s="60"/>
      <c r="H62" s="59">
        <v>480.00000000198241</v>
      </c>
      <c r="I62" s="61">
        <v>3970.9024390243999</v>
      </c>
    </row>
    <row r="63" spans="1:9" x14ac:dyDescent="0.2">
      <c r="A63" s="113" t="s">
        <v>560</v>
      </c>
      <c r="B63" s="59"/>
      <c r="C63" s="60"/>
      <c r="D63" s="59">
        <v>160.00000000066481</v>
      </c>
      <c r="E63" s="60">
        <v>1323.6341463414999</v>
      </c>
      <c r="F63" s="59"/>
      <c r="G63" s="60"/>
      <c r="H63" s="59">
        <v>160.00000000066481</v>
      </c>
      <c r="I63" s="61">
        <v>1323.6341463414999</v>
      </c>
    </row>
    <row r="64" spans="1:9" x14ac:dyDescent="0.2">
      <c r="A64" s="113" t="s">
        <v>388</v>
      </c>
      <c r="B64" s="59">
        <v>240.00000000243716</v>
      </c>
      <c r="C64" s="60">
        <v>2304.3405947753999</v>
      </c>
      <c r="D64" s="59">
        <v>240.00000000099121</v>
      </c>
      <c r="E64" s="60">
        <v>1985.4512195121999</v>
      </c>
      <c r="F64" s="59">
        <v>0</v>
      </c>
      <c r="G64" s="60">
        <v>0</v>
      </c>
      <c r="H64" s="59">
        <v>480.00000000342834</v>
      </c>
      <c r="I64" s="61">
        <v>4289.7918142875997</v>
      </c>
    </row>
    <row r="65" spans="1:9" x14ac:dyDescent="0.2">
      <c r="A65" s="113" t="s">
        <v>372</v>
      </c>
      <c r="B65" s="59">
        <v>320.00000000324951</v>
      </c>
      <c r="C65" s="60">
        <v>3072.4541263671999</v>
      </c>
      <c r="D65" s="59">
        <v>288.0000000011604</v>
      </c>
      <c r="E65" s="60">
        <v>-3072.4541263671999</v>
      </c>
      <c r="F65" s="59">
        <v>0</v>
      </c>
      <c r="G65" s="60">
        <v>0</v>
      </c>
      <c r="H65" s="59">
        <v>608.00000000440991</v>
      </c>
      <c r="I65" s="61">
        <v>0</v>
      </c>
    </row>
    <row r="66" spans="1:9" x14ac:dyDescent="0.2">
      <c r="A66" s="113" t="s">
        <v>404</v>
      </c>
      <c r="B66" s="59">
        <v>529.00000000536386</v>
      </c>
      <c r="C66" s="60">
        <v>5079.1507276507</v>
      </c>
      <c r="D66" s="59">
        <v>216.00000000089452</v>
      </c>
      <c r="E66" s="60">
        <v>1786.906097561</v>
      </c>
      <c r="F66" s="59">
        <v>0</v>
      </c>
      <c r="G66" s="60">
        <v>0</v>
      </c>
      <c r="H66" s="59">
        <v>745.00000000625835</v>
      </c>
      <c r="I66" s="61">
        <v>6866.0568252117</v>
      </c>
    </row>
    <row r="67" spans="1:9" x14ac:dyDescent="0.2">
      <c r="A67" s="113" t="s">
        <v>378</v>
      </c>
      <c r="B67" s="59">
        <v>240.00000000243716</v>
      </c>
      <c r="C67" s="60">
        <v>2304.3405947753999</v>
      </c>
      <c r="D67" s="59">
        <v>0</v>
      </c>
      <c r="E67" s="60">
        <v>0</v>
      </c>
      <c r="F67" s="59">
        <v>0</v>
      </c>
      <c r="G67" s="60">
        <v>0</v>
      </c>
      <c r="H67" s="59">
        <v>240.00000000243716</v>
      </c>
      <c r="I67" s="61">
        <v>2304.3405947753999</v>
      </c>
    </row>
    <row r="68" spans="1:9" x14ac:dyDescent="0.2">
      <c r="A68" s="113" t="s">
        <v>516</v>
      </c>
      <c r="B68" s="59"/>
      <c r="C68" s="60"/>
      <c r="D68" s="59">
        <v>0</v>
      </c>
      <c r="E68" s="60">
        <v>0</v>
      </c>
      <c r="F68" s="59">
        <v>307.00000000043985</v>
      </c>
      <c r="G68" s="60">
        <v>3908.6681818182001</v>
      </c>
      <c r="H68" s="59">
        <v>307.00000000043985</v>
      </c>
      <c r="I68" s="61">
        <v>3908.6681818182001</v>
      </c>
    </row>
    <row r="69" spans="1:9" x14ac:dyDescent="0.2">
      <c r="A69" s="113" t="s">
        <v>518</v>
      </c>
      <c r="B69" s="59"/>
      <c r="C69" s="60"/>
      <c r="D69" s="59">
        <v>0</v>
      </c>
      <c r="E69" s="60">
        <v>0</v>
      </c>
      <c r="F69" s="59">
        <v>160.00000000022777</v>
      </c>
      <c r="G69" s="60">
        <v>2037.0909090908999</v>
      </c>
      <c r="H69" s="59">
        <v>160.00000000022777</v>
      </c>
      <c r="I69" s="61">
        <v>2037.0909090908999</v>
      </c>
    </row>
    <row r="70" spans="1:9" x14ac:dyDescent="0.2">
      <c r="A70" s="113" t="s">
        <v>564</v>
      </c>
      <c r="B70" s="59"/>
      <c r="C70" s="60"/>
      <c r="D70" s="59">
        <v>160.00000000066481</v>
      </c>
      <c r="E70" s="60">
        <v>1323.6341463414999</v>
      </c>
      <c r="F70" s="59"/>
      <c r="G70" s="60"/>
      <c r="H70" s="59">
        <v>160.00000000066481</v>
      </c>
      <c r="I70" s="61">
        <v>1323.6341463414999</v>
      </c>
    </row>
    <row r="71" spans="1:9" x14ac:dyDescent="0.2">
      <c r="A71" s="113" t="s">
        <v>368</v>
      </c>
      <c r="B71" s="59">
        <v>240.00000000243716</v>
      </c>
      <c r="C71" s="60">
        <v>2304.3405947753999</v>
      </c>
      <c r="D71" s="59">
        <v>0</v>
      </c>
      <c r="E71" s="60">
        <v>0</v>
      </c>
      <c r="F71" s="59">
        <v>0</v>
      </c>
      <c r="G71" s="60">
        <v>0</v>
      </c>
      <c r="H71" s="59">
        <v>240.00000000243716</v>
      </c>
      <c r="I71" s="61">
        <v>2304.3405947753999</v>
      </c>
    </row>
    <row r="72" spans="1:9" x14ac:dyDescent="0.2">
      <c r="A72" s="113" t="s">
        <v>392</v>
      </c>
      <c r="B72" s="59">
        <v>240.00000000243716</v>
      </c>
      <c r="C72" s="60">
        <v>2304.3405947753999</v>
      </c>
      <c r="D72" s="59">
        <v>0</v>
      </c>
      <c r="E72" s="60">
        <v>0</v>
      </c>
      <c r="F72" s="59">
        <v>0</v>
      </c>
      <c r="G72" s="60">
        <v>0</v>
      </c>
      <c r="H72" s="59">
        <v>240.00000000243716</v>
      </c>
      <c r="I72" s="61">
        <v>2304.3405947753999</v>
      </c>
    </row>
    <row r="73" spans="1:9" x14ac:dyDescent="0.2">
      <c r="A73" s="113" t="s">
        <v>528</v>
      </c>
      <c r="B73" s="59"/>
      <c r="C73" s="60"/>
      <c r="D73" s="59">
        <v>0</v>
      </c>
      <c r="E73" s="60">
        <v>0</v>
      </c>
      <c r="F73" s="59">
        <v>400.00000000057332</v>
      </c>
      <c r="G73" s="60">
        <v>5627.7272727272994</v>
      </c>
      <c r="H73" s="59">
        <v>400.00000000057332</v>
      </c>
      <c r="I73" s="61">
        <v>5627.7272727272994</v>
      </c>
    </row>
    <row r="74" spans="1:9" x14ac:dyDescent="0.2">
      <c r="A74" s="113" t="s">
        <v>390</v>
      </c>
      <c r="B74" s="59">
        <v>507.00000000514513</v>
      </c>
      <c r="C74" s="60">
        <v>0</v>
      </c>
      <c r="D74" s="59">
        <v>0</v>
      </c>
      <c r="E74" s="60">
        <v>0</v>
      </c>
      <c r="F74" s="59">
        <v>0</v>
      </c>
      <c r="G74" s="60">
        <v>0</v>
      </c>
      <c r="H74" s="59">
        <v>507.00000000514513</v>
      </c>
      <c r="I74" s="61">
        <v>0</v>
      </c>
    </row>
    <row r="75" spans="1:9" x14ac:dyDescent="0.2">
      <c r="A75" s="113" t="s">
        <v>408</v>
      </c>
      <c r="B75" s="59">
        <v>137.00000000138522</v>
      </c>
      <c r="C75" s="60">
        <v>1315.3944228508999</v>
      </c>
      <c r="D75" s="59">
        <v>640.0000000026472</v>
      </c>
      <c r="E75" s="60">
        <v>5294.5365853658996</v>
      </c>
      <c r="F75" s="59">
        <v>0</v>
      </c>
      <c r="G75" s="60">
        <v>0</v>
      </c>
      <c r="H75" s="59">
        <v>777.00000000403247</v>
      </c>
      <c r="I75" s="61">
        <v>6609.9310082167995</v>
      </c>
    </row>
    <row r="76" spans="1:9" x14ac:dyDescent="0.2">
      <c r="A76" s="113" t="s">
        <v>376</v>
      </c>
      <c r="B76" s="59">
        <v>160.00000000162476</v>
      </c>
      <c r="C76" s="60">
        <v>1536.2270631836</v>
      </c>
      <c r="D76" s="59">
        <v>0</v>
      </c>
      <c r="E76" s="60">
        <v>0</v>
      </c>
      <c r="F76" s="59">
        <v>192.00000000027489</v>
      </c>
      <c r="G76" s="60">
        <v>2444.5090909091</v>
      </c>
      <c r="H76" s="59">
        <v>352.00000000189965</v>
      </c>
      <c r="I76" s="61">
        <v>3980.7361540927</v>
      </c>
    </row>
    <row r="77" spans="1:9" x14ac:dyDescent="0.2">
      <c r="A77" s="113" t="s">
        <v>384</v>
      </c>
      <c r="B77" s="59">
        <v>933.00000000947784</v>
      </c>
      <c r="C77" s="60">
        <v>1.5916157281026244E-12</v>
      </c>
      <c r="D77" s="59">
        <v>320.00000000131763</v>
      </c>
      <c r="E77" s="60">
        <v>2647.2682926829002</v>
      </c>
      <c r="F77" s="59">
        <v>0</v>
      </c>
      <c r="G77" s="60">
        <v>1.1368683772161603E-13</v>
      </c>
      <c r="H77" s="59">
        <v>1253.0000000107955</v>
      </c>
      <c r="I77" s="61">
        <v>2647.268292682902</v>
      </c>
    </row>
    <row r="78" spans="1:9" x14ac:dyDescent="0.2">
      <c r="A78" s="113" t="s">
        <v>530</v>
      </c>
      <c r="B78" s="59"/>
      <c r="C78" s="60"/>
      <c r="D78" s="59">
        <v>0</v>
      </c>
      <c r="E78" s="60">
        <v>0</v>
      </c>
      <c r="F78" s="59">
        <v>160.00000000022777</v>
      </c>
      <c r="G78" s="60">
        <v>2037.0909090908999</v>
      </c>
      <c r="H78" s="59">
        <v>160.00000000022777</v>
      </c>
      <c r="I78" s="61">
        <v>2037.0909090908999</v>
      </c>
    </row>
    <row r="79" spans="1:9" x14ac:dyDescent="0.2">
      <c r="A79" s="113" t="s">
        <v>566</v>
      </c>
      <c r="B79" s="59"/>
      <c r="C79" s="60"/>
      <c r="D79" s="59">
        <v>240.00000000096705</v>
      </c>
      <c r="E79" s="60">
        <v>1985.4512195120001</v>
      </c>
      <c r="F79" s="59"/>
      <c r="G79" s="60"/>
      <c r="H79" s="59">
        <v>240.00000000096705</v>
      </c>
      <c r="I79" s="61">
        <v>1985.4512195120001</v>
      </c>
    </row>
    <row r="80" spans="1:9" x14ac:dyDescent="0.2">
      <c r="A80" s="113" t="s">
        <v>380</v>
      </c>
      <c r="B80" s="59">
        <v>240.00000000242673</v>
      </c>
      <c r="C80" s="60">
        <v>0</v>
      </c>
      <c r="D80" s="59">
        <v>0</v>
      </c>
      <c r="E80" s="60">
        <v>0</v>
      </c>
      <c r="F80" s="59">
        <v>193.00000000027489</v>
      </c>
      <c r="G80" s="60">
        <v>2457.2409090909</v>
      </c>
      <c r="H80" s="59">
        <v>433.00000000270165</v>
      </c>
      <c r="I80" s="61">
        <v>2457.2409090909</v>
      </c>
    </row>
    <row r="81" spans="1:9" x14ac:dyDescent="0.2">
      <c r="A81" s="113" t="s">
        <v>400</v>
      </c>
      <c r="B81" s="59">
        <v>421.00000000427019</v>
      </c>
      <c r="C81" s="60">
        <v>4042.1974600018002</v>
      </c>
      <c r="D81" s="59">
        <v>0</v>
      </c>
      <c r="E81" s="60">
        <v>0</v>
      </c>
      <c r="F81" s="59">
        <v>0</v>
      </c>
      <c r="G81" s="60">
        <v>0</v>
      </c>
      <c r="H81" s="59">
        <v>421.00000000427019</v>
      </c>
      <c r="I81" s="61">
        <v>4042.1974600018002</v>
      </c>
    </row>
    <row r="82" spans="1:9" x14ac:dyDescent="0.2">
      <c r="A82" s="113" t="s">
        <v>398</v>
      </c>
      <c r="B82" s="59">
        <v>298.00000000300997</v>
      </c>
      <c r="C82" s="60">
        <v>2861.2229051793001</v>
      </c>
      <c r="D82" s="59">
        <v>0</v>
      </c>
      <c r="E82" s="60">
        <v>0</v>
      </c>
      <c r="F82" s="59">
        <v>0</v>
      </c>
      <c r="G82" s="60">
        <v>0</v>
      </c>
      <c r="H82" s="59">
        <v>298.00000000300997</v>
      </c>
      <c r="I82" s="61">
        <v>2861.2229051793001</v>
      </c>
    </row>
    <row r="83" spans="1:9" x14ac:dyDescent="0.2">
      <c r="A83" s="113" t="s">
        <v>374</v>
      </c>
      <c r="B83" s="59">
        <v>140.00000000141645</v>
      </c>
      <c r="C83" s="60">
        <v>1344.1986802855999</v>
      </c>
      <c r="D83" s="59">
        <v>288.00000000118462</v>
      </c>
      <c r="E83" s="60">
        <v>-3368.5577711946999</v>
      </c>
      <c r="F83" s="59">
        <v>159.00000000022777</v>
      </c>
      <c r="G83" s="60">
        <v>2024.3590909090999</v>
      </c>
      <c r="H83" s="59">
        <v>587.00000000282887</v>
      </c>
      <c r="I83" s="61">
        <v>0</v>
      </c>
    </row>
    <row r="84" spans="1:9" x14ac:dyDescent="0.2">
      <c r="A84" s="113" t="s">
        <v>382</v>
      </c>
      <c r="B84" s="59">
        <v>240.00000000243716</v>
      </c>
      <c r="C84" s="60">
        <v>2304.3405947753999</v>
      </c>
      <c r="D84" s="59">
        <v>0</v>
      </c>
      <c r="E84" s="60">
        <v>0</v>
      </c>
      <c r="F84" s="59">
        <v>0</v>
      </c>
      <c r="G84" s="60">
        <v>0</v>
      </c>
      <c r="H84" s="59">
        <v>240.00000000243716</v>
      </c>
      <c r="I84" s="61">
        <v>2304.3405947753999</v>
      </c>
    </row>
    <row r="85" spans="1:9" x14ac:dyDescent="0.2">
      <c r="A85" s="113" t="s">
        <v>468</v>
      </c>
      <c r="B85" s="59"/>
      <c r="C85" s="60"/>
      <c r="D85" s="59">
        <v>0</v>
      </c>
      <c r="E85" s="60">
        <v>0</v>
      </c>
      <c r="F85" s="59">
        <v>281.00000000040058</v>
      </c>
      <c r="G85" s="60">
        <v>0</v>
      </c>
      <c r="H85" s="59">
        <v>281.00000000040058</v>
      </c>
      <c r="I85" s="61">
        <v>0</v>
      </c>
    </row>
    <row r="86" spans="1:9" x14ac:dyDescent="0.2">
      <c r="A86" s="113" t="s">
        <v>524</v>
      </c>
      <c r="B86" s="59"/>
      <c r="C86" s="60"/>
      <c r="D86" s="59">
        <v>0</v>
      </c>
      <c r="E86" s="60">
        <v>0</v>
      </c>
      <c r="F86" s="59">
        <v>160.00000000022777</v>
      </c>
      <c r="G86" s="60">
        <v>2037.0909090908999</v>
      </c>
      <c r="H86" s="59">
        <v>160.00000000022777</v>
      </c>
      <c r="I86" s="61">
        <v>2037.0909090908999</v>
      </c>
    </row>
    <row r="87" spans="1:9" x14ac:dyDescent="0.2">
      <c r="A87" s="113" t="s">
        <v>532</v>
      </c>
      <c r="B87" s="59"/>
      <c r="C87" s="60"/>
      <c r="D87" s="59">
        <v>0</v>
      </c>
      <c r="E87" s="60">
        <v>0</v>
      </c>
      <c r="F87" s="59">
        <v>160.00000000022777</v>
      </c>
      <c r="G87" s="60">
        <v>2037.0909090908999</v>
      </c>
      <c r="H87" s="59">
        <v>160.00000000022777</v>
      </c>
      <c r="I87" s="61">
        <v>2037.0909090908999</v>
      </c>
    </row>
    <row r="88" spans="1:9" x14ac:dyDescent="0.2">
      <c r="A88" s="113" t="s">
        <v>370</v>
      </c>
      <c r="B88" s="59">
        <v>480.00000000486386</v>
      </c>
      <c r="C88" s="60">
        <v>0</v>
      </c>
      <c r="D88" s="59">
        <v>240.00000000099121</v>
      </c>
      <c r="E88" s="60">
        <v>1985.4512195121999</v>
      </c>
      <c r="F88" s="59">
        <v>287.00000000040848</v>
      </c>
      <c r="G88" s="60">
        <v>3654.0318181818002</v>
      </c>
      <c r="H88" s="59">
        <v>1007.0000000062636</v>
      </c>
      <c r="I88" s="61">
        <v>5639.4830376939999</v>
      </c>
    </row>
    <row r="89" spans="1:9" x14ac:dyDescent="0.2">
      <c r="A89" s="113" t="s">
        <v>386</v>
      </c>
      <c r="B89" s="59">
        <v>447.00000000454099</v>
      </c>
      <c r="C89" s="60">
        <v>4291.8343577691994</v>
      </c>
      <c r="D89" s="59">
        <v>720.00000000297359</v>
      </c>
      <c r="E89" s="60">
        <v>5956.3536585366001</v>
      </c>
      <c r="F89" s="59">
        <v>0</v>
      </c>
      <c r="G89" s="60">
        <v>0</v>
      </c>
      <c r="H89" s="59">
        <v>1167.0000000075147</v>
      </c>
      <c r="I89" s="61">
        <v>10248.188016305799</v>
      </c>
    </row>
    <row r="90" spans="1:9" x14ac:dyDescent="0.2">
      <c r="A90" s="113" t="s">
        <v>406</v>
      </c>
      <c r="B90" s="59">
        <v>159.00000000160395</v>
      </c>
      <c r="C90" s="60">
        <v>1526.6256440386001</v>
      </c>
      <c r="D90" s="59">
        <v>0</v>
      </c>
      <c r="E90" s="60">
        <v>0</v>
      </c>
      <c r="F90" s="59">
        <v>0</v>
      </c>
      <c r="G90" s="60">
        <v>0</v>
      </c>
      <c r="H90" s="59">
        <v>159.00000000160395</v>
      </c>
      <c r="I90" s="61">
        <v>1526.6256440386001</v>
      </c>
    </row>
    <row r="91" spans="1:9" x14ac:dyDescent="0.2">
      <c r="A91" s="113" t="s">
        <v>476</v>
      </c>
      <c r="B91" s="59"/>
      <c r="C91" s="60"/>
      <c r="D91" s="59">
        <v>240.00000000099121</v>
      </c>
      <c r="E91" s="60">
        <v>1985.4512195121999</v>
      </c>
      <c r="F91" s="59">
        <v>240.00000000034558</v>
      </c>
      <c r="G91" s="60">
        <v>0</v>
      </c>
      <c r="H91" s="59">
        <v>480.00000000133679</v>
      </c>
      <c r="I91" s="61">
        <v>1985.4512195121999</v>
      </c>
    </row>
    <row r="92" spans="1:9" x14ac:dyDescent="0.2">
      <c r="A92" s="113" t="s">
        <v>534</v>
      </c>
      <c r="B92" s="59"/>
      <c r="C92" s="60"/>
      <c r="D92" s="59">
        <v>0</v>
      </c>
      <c r="E92" s="60">
        <v>0</v>
      </c>
      <c r="F92" s="59">
        <v>240.00000000034558</v>
      </c>
      <c r="G92" s="60">
        <v>3055.6363636363999</v>
      </c>
      <c r="H92" s="59">
        <v>240.00000000034558</v>
      </c>
      <c r="I92" s="61">
        <v>3055.6363636363999</v>
      </c>
    </row>
    <row r="93" spans="1:9" x14ac:dyDescent="0.2">
      <c r="A93" s="55" t="s">
        <v>32</v>
      </c>
      <c r="B93" s="56">
        <v>5280.0000000107129</v>
      </c>
      <c r="C93" s="57">
        <v>217525.04347826104</v>
      </c>
      <c r="D93" s="56">
        <v>4320.0000000052669</v>
      </c>
      <c r="E93" s="57">
        <v>210145.8492259552</v>
      </c>
      <c r="F93" s="56">
        <v>3840.0000000018908</v>
      </c>
      <c r="G93" s="57">
        <v>206491.47375201268</v>
      </c>
      <c r="H93" s="56">
        <v>13440.00000001787</v>
      </c>
      <c r="I93" s="58">
        <v>634162.36645622901</v>
      </c>
    </row>
    <row r="94" spans="1:9" x14ac:dyDescent="0.2">
      <c r="A94" s="111" t="s">
        <v>622</v>
      </c>
      <c r="B94" s="114">
        <v>5280.0000000107129</v>
      </c>
      <c r="C94" s="115">
        <v>207503.04347826104</v>
      </c>
      <c r="D94" s="114">
        <v>3953.0000000048185</v>
      </c>
      <c r="E94" s="115">
        <v>180670.01873353092</v>
      </c>
      <c r="F94" s="114">
        <v>3360.000000001653</v>
      </c>
      <c r="G94" s="115">
        <v>201524.47375201268</v>
      </c>
      <c r="H94" s="114">
        <v>12593.000000017182</v>
      </c>
      <c r="I94" s="116">
        <v>589697.53596380469</v>
      </c>
    </row>
    <row r="95" spans="1:9" x14ac:dyDescent="0.2">
      <c r="A95" s="113" t="s">
        <v>364</v>
      </c>
      <c r="B95" s="59">
        <v>480.00000000097452</v>
      </c>
      <c r="C95" s="60">
        <v>18863.9130434783</v>
      </c>
      <c r="D95" s="59">
        <v>0</v>
      </c>
      <c r="E95" s="60">
        <v>0</v>
      </c>
      <c r="F95" s="59">
        <v>0</v>
      </c>
      <c r="G95" s="60">
        <v>0</v>
      </c>
      <c r="H95" s="59">
        <v>480.00000000097452</v>
      </c>
      <c r="I95" s="61">
        <v>18863.9130434783</v>
      </c>
    </row>
    <row r="96" spans="1:9" x14ac:dyDescent="0.2">
      <c r="A96" s="113" t="s">
        <v>486</v>
      </c>
      <c r="B96" s="59"/>
      <c r="C96" s="60"/>
      <c r="D96" s="59">
        <v>69.000000000084512</v>
      </c>
      <c r="E96" s="60">
        <v>3429.2869318182002</v>
      </c>
      <c r="F96" s="59">
        <v>171.0000000000837</v>
      </c>
      <c r="G96" s="60">
        <v>12871.9458333333</v>
      </c>
      <c r="H96" s="59">
        <v>240.0000000001682</v>
      </c>
      <c r="I96" s="61">
        <v>16301.232765151501</v>
      </c>
    </row>
    <row r="97" spans="1:9" x14ac:dyDescent="0.2">
      <c r="A97" s="113" t="s">
        <v>322</v>
      </c>
      <c r="B97" s="59">
        <v>480.00000000097452</v>
      </c>
      <c r="C97" s="60">
        <v>18863.9130434783</v>
      </c>
      <c r="D97" s="59">
        <v>0</v>
      </c>
      <c r="E97" s="60">
        <v>0</v>
      </c>
      <c r="F97" s="59">
        <v>0</v>
      </c>
      <c r="G97" s="60">
        <v>0</v>
      </c>
      <c r="H97" s="59">
        <v>480.00000000097452</v>
      </c>
      <c r="I97" s="61">
        <v>18863.9130434783</v>
      </c>
    </row>
    <row r="98" spans="1:9" x14ac:dyDescent="0.2">
      <c r="A98" s="113" t="s">
        <v>492</v>
      </c>
      <c r="B98" s="59"/>
      <c r="C98" s="60"/>
      <c r="D98" s="59">
        <v>0</v>
      </c>
      <c r="E98" s="60">
        <v>0</v>
      </c>
      <c r="F98" s="59">
        <v>72.000000000035868</v>
      </c>
      <c r="G98" s="60">
        <v>5419.7666666667001</v>
      </c>
      <c r="H98" s="59">
        <v>72.000000000035868</v>
      </c>
      <c r="I98" s="61">
        <v>5419.7666666667001</v>
      </c>
    </row>
    <row r="99" spans="1:9" x14ac:dyDescent="0.2">
      <c r="A99" s="113" t="s">
        <v>514</v>
      </c>
      <c r="B99" s="59"/>
      <c r="C99" s="60"/>
      <c r="D99" s="59">
        <v>17.000000000020123</v>
      </c>
      <c r="E99" s="60">
        <v>844.89678030300001</v>
      </c>
      <c r="F99" s="59">
        <v>119.00000000005845</v>
      </c>
      <c r="G99" s="60">
        <v>8957.6699074074004</v>
      </c>
      <c r="H99" s="59">
        <v>136.00000000007856</v>
      </c>
      <c r="I99" s="61">
        <v>9802.5666877104013</v>
      </c>
    </row>
    <row r="100" spans="1:9" x14ac:dyDescent="0.2">
      <c r="A100" s="113" t="s">
        <v>332</v>
      </c>
      <c r="B100" s="59">
        <v>67.000000000134861</v>
      </c>
      <c r="C100" s="60">
        <v>2633.0878623188</v>
      </c>
      <c r="D100" s="59">
        <v>0</v>
      </c>
      <c r="E100" s="60">
        <v>0</v>
      </c>
      <c r="F100" s="59">
        <v>0</v>
      </c>
      <c r="G100" s="60">
        <v>0</v>
      </c>
      <c r="H100" s="59">
        <v>67.000000000134861</v>
      </c>
      <c r="I100" s="61">
        <v>2633.0878623188</v>
      </c>
    </row>
    <row r="101" spans="1:9" x14ac:dyDescent="0.2">
      <c r="A101" s="113" t="s">
        <v>328</v>
      </c>
      <c r="B101" s="59">
        <v>145.00000000029516</v>
      </c>
      <c r="C101" s="60">
        <v>5698.4737318840998</v>
      </c>
      <c r="D101" s="59">
        <v>0</v>
      </c>
      <c r="E101" s="60">
        <v>0</v>
      </c>
      <c r="F101" s="59">
        <v>0</v>
      </c>
      <c r="G101" s="60">
        <v>0</v>
      </c>
      <c r="H101" s="59">
        <v>145.00000000029516</v>
      </c>
      <c r="I101" s="61">
        <v>5698.4737318840998</v>
      </c>
    </row>
    <row r="102" spans="1:9" x14ac:dyDescent="0.2">
      <c r="A102" s="113" t="s">
        <v>506</v>
      </c>
      <c r="B102" s="59"/>
      <c r="C102" s="60"/>
      <c r="D102" s="59">
        <v>0</v>
      </c>
      <c r="E102" s="60">
        <v>0</v>
      </c>
      <c r="F102" s="59">
        <v>155.00000000007574</v>
      </c>
      <c r="G102" s="60">
        <v>11667.553240740701</v>
      </c>
      <c r="H102" s="59">
        <v>155.00000000007574</v>
      </c>
      <c r="I102" s="61">
        <v>11667.553240740701</v>
      </c>
    </row>
    <row r="103" spans="1:9" x14ac:dyDescent="0.2">
      <c r="A103" s="113" t="s">
        <v>360</v>
      </c>
      <c r="B103" s="59">
        <v>144.0000000002926</v>
      </c>
      <c r="C103" s="60">
        <v>5659.1739130434999</v>
      </c>
      <c r="D103" s="59">
        <v>0</v>
      </c>
      <c r="E103" s="60">
        <v>0</v>
      </c>
      <c r="F103" s="59">
        <v>104.00000000005181</v>
      </c>
      <c r="G103" s="60">
        <v>7828.5518518519002</v>
      </c>
      <c r="H103" s="59">
        <v>248.00000000034441</v>
      </c>
      <c r="I103" s="61">
        <v>13487.7257648954</v>
      </c>
    </row>
    <row r="104" spans="1:9" x14ac:dyDescent="0.2">
      <c r="A104" s="113" t="s">
        <v>336</v>
      </c>
      <c r="B104" s="59">
        <v>64.000000000129774</v>
      </c>
      <c r="C104" s="60">
        <v>2515.1884057971001</v>
      </c>
      <c r="D104" s="59">
        <v>0</v>
      </c>
      <c r="E104" s="60">
        <v>0</v>
      </c>
      <c r="F104" s="59">
        <v>0</v>
      </c>
      <c r="G104" s="60">
        <v>0</v>
      </c>
      <c r="H104" s="59">
        <v>64.000000000129774</v>
      </c>
      <c r="I104" s="61">
        <v>2515.1884057971001</v>
      </c>
    </row>
    <row r="105" spans="1:9" x14ac:dyDescent="0.2">
      <c r="A105" s="113" t="s">
        <v>356</v>
      </c>
      <c r="B105" s="59">
        <v>245.00000000049619</v>
      </c>
      <c r="C105" s="60">
        <v>9628.4556159420008</v>
      </c>
      <c r="D105" s="59">
        <v>0</v>
      </c>
      <c r="E105" s="60">
        <v>0</v>
      </c>
      <c r="F105" s="59">
        <v>0</v>
      </c>
      <c r="G105" s="60">
        <v>0</v>
      </c>
      <c r="H105" s="59">
        <v>245.00000000049619</v>
      </c>
      <c r="I105" s="61">
        <v>9628.4556159420008</v>
      </c>
    </row>
    <row r="106" spans="1:9" x14ac:dyDescent="0.2">
      <c r="A106" s="113" t="s">
        <v>488</v>
      </c>
      <c r="B106" s="59"/>
      <c r="C106" s="60"/>
      <c r="D106" s="59">
        <v>0</v>
      </c>
      <c r="E106" s="60">
        <v>0</v>
      </c>
      <c r="F106" s="59">
        <v>155.00000000007574</v>
      </c>
      <c r="G106" s="60">
        <v>11667.553240740701</v>
      </c>
      <c r="H106" s="59">
        <v>155.00000000007574</v>
      </c>
      <c r="I106" s="61">
        <v>11667.553240740701</v>
      </c>
    </row>
    <row r="107" spans="1:9" x14ac:dyDescent="0.2">
      <c r="A107" s="113" t="s">
        <v>338</v>
      </c>
      <c r="B107" s="59">
        <v>438.00000000088551</v>
      </c>
      <c r="C107" s="60">
        <v>17213.320652173799</v>
      </c>
      <c r="D107" s="59">
        <v>0</v>
      </c>
      <c r="E107" s="60">
        <v>0</v>
      </c>
      <c r="F107" s="59">
        <v>265.00000000013017</v>
      </c>
      <c r="G107" s="60">
        <v>19947.752314814799</v>
      </c>
      <c r="H107" s="59">
        <v>703.00000000101568</v>
      </c>
      <c r="I107" s="61">
        <v>37161.072966988599</v>
      </c>
    </row>
    <row r="108" spans="1:9" x14ac:dyDescent="0.2">
      <c r="A108" s="113" t="s">
        <v>354</v>
      </c>
      <c r="B108" s="59">
        <v>126.00000000025446</v>
      </c>
      <c r="C108" s="60">
        <v>4951.7771739130003</v>
      </c>
      <c r="D108" s="59">
        <v>79.000000000096577</v>
      </c>
      <c r="E108" s="60">
        <v>3926.2850378787998</v>
      </c>
      <c r="F108" s="59">
        <v>0</v>
      </c>
      <c r="G108" s="60">
        <v>0</v>
      </c>
      <c r="H108" s="59">
        <v>205.00000000035104</v>
      </c>
      <c r="I108" s="61">
        <v>8878.0622117917992</v>
      </c>
    </row>
    <row r="109" spans="1:9" x14ac:dyDescent="0.2">
      <c r="A109" s="113" t="s">
        <v>320</v>
      </c>
      <c r="B109" s="59">
        <v>58.000000000117041</v>
      </c>
      <c r="C109" s="60">
        <v>2279.3894927535998</v>
      </c>
      <c r="D109" s="59">
        <v>0</v>
      </c>
      <c r="E109" s="60">
        <v>0</v>
      </c>
      <c r="F109" s="59">
        <v>0</v>
      </c>
      <c r="G109" s="60">
        <v>-2279.3894927535998</v>
      </c>
      <c r="H109" s="59">
        <v>58.000000000117041</v>
      </c>
      <c r="I109" s="61">
        <v>0</v>
      </c>
    </row>
    <row r="110" spans="1:9" x14ac:dyDescent="0.2">
      <c r="A110" s="113" t="s">
        <v>554</v>
      </c>
      <c r="B110" s="59"/>
      <c r="C110" s="60"/>
      <c r="D110" s="59"/>
      <c r="E110" s="60">
        <v>1500</v>
      </c>
      <c r="F110" s="59"/>
      <c r="G110" s="60"/>
      <c r="H110" s="59"/>
      <c r="I110" s="61">
        <v>1500</v>
      </c>
    </row>
    <row r="111" spans="1:9" x14ac:dyDescent="0.2">
      <c r="A111" s="113" t="s">
        <v>494</v>
      </c>
      <c r="B111" s="59"/>
      <c r="C111" s="60"/>
      <c r="D111" s="59">
        <v>114.00000000013883</v>
      </c>
      <c r="E111" s="60">
        <v>5665.7784090908999</v>
      </c>
      <c r="F111" s="59">
        <v>98.00000000004782</v>
      </c>
      <c r="G111" s="60">
        <v>7376.9046296296001</v>
      </c>
      <c r="H111" s="59">
        <v>212.00000000018665</v>
      </c>
      <c r="I111" s="61">
        <v>13042.683038720501</v>
      </c>
    </row>
    <row r="112" spans="1:9" x14ac:dyDescent="0.2">
      <c r="A112" s="113" t="s">
        <v>498</v>
      </c>
      <c r="B112" s="59"/>
      <c r="C112" s="60"/>
      <c r="D112" s="59">
        <v>0</v>
      </c>
      <c r="E112" s="60">
        <v>0</v>
      </c>
      <c r="F112" s="59">
        <v>157.00000000007705</v>
      </c>
      <c r="G112" s="60">
        <v>11818.1023148148</v>
      </c>
      <c r="H112" s="59">
        <v>157.00000000007705</v>
      </c>
      <c r="I112" s="61">
        <v>11818.1023148148</v>
      </c>
    </row>
    <row r="113" spans="1:9" x14ac:dyDescent="0.2">
      <c r="A113" s="113" t="s">
        <v>348</v>
      </c>
      <c r="B113" s="59">
        <v>131.00000000026463</v>
      </c>
      <c r="C113" s="60">
        <v>5148.2762681159002</v>
      </c>
      <c r="D113" s="59">
        <v>0</v>
      </c>
      <c r="E113" s="60">
        <v>0</v>
      </c>
      <c r="F113" s="59">
        <v>0</v>
      </c>
      <c r="G113" s="60">
        <v>0</v>
      </c>
      <c r="H113" s="59">
        <v>131.00000000026463</v>
      </c>
      <c r="I113" s="61">
        <v>5148.2762681159002</v>
      </c>
    </row>
    <row r="114" spans="1:9" x14ac:dyDescent="0.2">
      <c r="A114" s="113" t="s">
        <v>326</v>
      </c>
      <c r="B114" s="59">
        <v>136.00000000027478</v>
      </c>
      <c r="C114" s="60">
        <v>5344.7753623188</v>
      </c>
      <c r="D114" s="59">
        <v>161.00000000019719</v>
      </c>
      <c r="E114" s="60">
        <v>8001.6695075757998</v>
      </c>
      <c r="F114" s="59">
        <v>0</v>
      </c>
      <c r="G114" s="60">
        <v>0</v>
      </c>
      <c r="H114" s="59">
        <v>297.00000000047197</v>
      </c>
      <c r="I114" s="61">
        <v>13346.4448698946</v>
      </c>
    </row>
    <row r="115" spans="1:9" x14ac:dyDescent="0.2">
      <c r="A115" s="113" t="s">
        <v>344</v>
      </c>
      <c r="B115" s="59">
        <v>452.00000000091848</v>
      </c>
      <c r="C115" s="60">
        <v>17763.518115942097</v>
      </c>
      <c r="D115" s="59">
        <v>0</v>
      </c>
      <c r="E115" s="60">
        <v>0</v>
      </c>
      <c r="F115" s="59">
        <v>0</v>
      </c>
      <c r="G115" s="60">
        <v>0</v>
      </c>
      <c r="H115" s="59">
        <v>452.00000000091848</v>
      </c>
      <c r="I115" s="61">
        <v>17763.518115942097</v>
      </c>
    </row>
    <row r="116" spans="1:9" x14ac:dyDescent="0.2">
      <c r="A116" s="113" t="s">
        <v>362</v>
      </c>
      <c r="B116" s="59">
        <v>102.0000000002061</v>
      </c>
      <c r="C116" s="60">
        <v>4008.5815217391</v>
      </c>
      <c r="D116" s="59">
        <v>0</v>
      </c>
      <c r="E116" s="60">
        <v>0</v>
      </c>
      <c r="F116" s="59">
        <v>0</v>
      </c>
      <c r="G116" s="60">
        <v>0</v>
      </c>
      <c r="H116" s="59">
        <v>102.0000000002061</v>
      </c>
      <c r="I116" s="61">
        <v>4008.5815217391</v>
      </c>
    </row>
    <row r="117" spans="1:9" x14ac:dyDescent="0.2">
      <c r="A117" s="113" t="s">
        <v>342</v>
      </c>
      <c r="B117" s="59">
        <v>139.00000000028243</v>
      </c>
      <c r="C117" s="60">
        <v>5462.6748188406</v>
      </c>
      <c r="D117" s="59">
        <v>0</v>
      </c>
      <c r="E117" s="60">
        <v>0</v>
      </c>
      <c r="F117" s="59">
        <v>0</v>
      </c>
      <c r="G117" s="60">
        <v>0</v>
      </c>
      <c r="H117" s="59">
        <v>139.00000000028243</v>
      </c>
      <c r="I117" s="61">
        <v>5462.6748188406</v>
      </c>
    </row>
    <row r="118" spans="1:9" x14ac:dyDescent="0.2">
      <c r="A118" s="113" t="s">
        <v>500</v>
      </c>
      <c r="B118" s="59"/>
      <c r="C118" s="60"/>
      <c r="D118" s="59">
        <v>0</v>
      </c>
      <c r="E118" s="60">
        <v>0</v>
      </c>
      <c r="F118" s="59">
        <v>100.00000000004916</v>
      </c>
      <c r="G118" s="60">
        <v>7527.4537037036998</v>
      </c>
      <c r="H118" s="59">
        <v>100.00000000004916</v>
      </c>
      <c r="I118" s="61">
        <v>7527.4537037036998</v>
      </c>
    </row>
    <row r="119" spans="1:9" x14ac:dyDescent="0.2">
      <c r="A119" s="113" t="s">
        <v>366</v>
      </c>
      <c r="B119" s="59">
        <v>62.000000000124686</v>
      </c>
      <c r="C119" s="60">
        <v>2436.5887681159002</v>
      </c>
      <c r="D119" s="59">
        <v>0</v>
      </c>
      <c r="E119" s="60">
        <v>0</v>
      </c>
      <c r="F119" s="59">
        <v>0</v>
      </c>
      <c r="G119" s="60">
        <v>0</v>
      </c>
      <c r="H119" s="59">
        <v>62.000000000124686</v>
      </c>
      <c r="I119" s="61">
        <v>2436.5887681159002</v>
      </c>
    </row>
    <row r="120" spans="1:9" x14ac:dyDescent="0.2">
      <c r="A120" s="113" t="s">
        <v>490</v>
      </c>
      <c r="B120" s="59"/>
      <c r="C120" s="60"/>
      <c r="D120" s="59">
        <v>0</v>
      </c>
      <c r="E120" s="60">
        <v>0</v>
      </c>
      <c r="F120" s="59">
        <v>82.000000000039847</v>
      </c>
      <c r="G120" s="60">
        <v>6172.5120370369996</v>
      </c>
      <c r="H120" s="59">
        <v>82.000000000039847</v>
      </c>
      <c r="I120" s="61">
        <v>6172.5120370369996</v>
      </c>
    </row>
    <row r="121" spans="1:9" x14ac:dyDescent="0.2">
      <c r="A121" s="113" t="s">
        <v>512</v>
      </c>
      <c r="B121" s="59"/>
      <c r="C121" s="60"/>
      <c r="D121" s="59">
        <v>104.00000000012676</v>
      </c>
      <c r="E121" s="60">
        <v>5168.7803030303003</v>
      </c>
      <c r="F121" s="59">
        <v>140.00000000006909</v>
      </c>
      <c r="G121" s="60">
        <v>10538.435185185201</v>
      </c>
      <c r="H121" s="59">
        <v>244.00000000019585</v>
      </c>
      <c r="I121" s="61">
        <v>15707.215488215501</v>
      </c>
    </row>
    <row r="122" spans="1:9" x14ac:dyDescent="0.2">
      <c r="A122" s="113" t="s">
        <v>340</v>
      </c>
      <c r="B122" s="59">
        <v>215.00000000043511</v>
      </c>
      <c r="C122" s="60">
        <v>8449.4610507245998</v>
      </c>
      <c r="D122" s="59">
        <v>0</v>
      </c>
      <c r="E122" s="60">
        <v>0</v>
      </c>
      <c r="F122" s="59">
        <v>111.00000000005446</v>
      </c>
      <c r="G122" s="60">
        <v>8355.4736111110997</v>
      </c>
      <c r="H122" s="59">
        <v>326.00000000048954</v>
      </c>
      <c r="I122" s="61">
        <v>16804.934661835701</v>
      </c>
    </row>
    <row r="123" spans="1:9" x14ac:dyDescent="0.2">
      <c r="A123" s="113" t="s">
        <v>358</v>
      </c>
      <c r="B123" s="59">
        <v>480.00000000097702</v>
      </c>
      <c r="C123" s="60">
        <v>18863.913043478398</v>
      </c>
      <c r="D123" s="59">
        <v>0</v>
      </c>
      <c r="E123" s="60">
        <v>0</v>
      </c>
      <c r="F123" s="59">
        <v>0</v>
      </c>
      <c r="G123" s="60">
        <v>0</v>
      </c>
      <c r="H123" s="59">
        <v>480.00000000097702</v>
      </c>
      <c r="I123" s="61">
        <v>18863.913043478398</v>
      </c>
    </row>
    <row r="124" spans="1:9" x14ac:dyDescent="0.2">
      <c r="A124" s="113" t="s">
        <v>508</v>
      </c>
      <c r="B124" s="59"/>
      <c r="C124" s="60"/>
      <c r="D124" s="59">
        <v>0</v>
      </c>
      <c r="E124" s="60">
        <v>0</v>
      </c>
      <c r="F124" s="59">
        <v>55.000000000026567</v>
      </c>
      <c r="G124" s="60">
        <v>4140.0995370370001</v>
      </c>
      <c r="H124" s="59">
        <v>55.000000000026567</v>
      </c>
      <c r="I124" s="61">
        <v>4140.0995370370001</v>
      </c>
    </row>
    <row r="125" spans="1:9" x14ac:dyDescent="0.2">
      <c r="A125" s="113" t="s">
        <v>588</v>
      </c>
      <c r="B125" s="59"/>
      <c r="C125" s="60"/>
      <c r="D125" s="59">
        <v>480.00000000058549</v>
      </c>
      <c r="E125" s="60">
        <v>23855.909090909099</v>
      </c>
      <c r="F125" s="59"/>
      <c r="G125" s="60"/>
      <c r="H125" s="59">
        <v>480.00000000058549</v>
      </c>
      <c r="I125" s="61">
        <v>23855.909090909099</v>
      </c>
    </row>
    <row r="126" spans="1:9" x14ac:dyDescent="0.2">
      <c r="A126" s="113" t="s">
        <v>504</v>
      </c>
      <c r="B126" s="59"/>
      <c r="C126" s="60"/>
      <c r="D126" s="59">
        <v>472.00000000057548</v>
      </c>
      <c r="E126" s="60">
        <v>23458.310606060601</v>
      </c>
      <c r="F126" s="59">
        <v>137.00000000006776</v>
      </c>
      <c r="G126" s="60">
        <v>10312.611574074101</v>
      </c>
      <c r="H126" s="59">
        <v>609.00000000064324</v>
      </c>
      <c r="I126" s="61">
        <v>33770.922180134701</v>
      </c>
    </row>
    <row r="127" spans="1:9" x14ac:dyDescent="0.2">
      <c r="A127" s="113" t="s">
        <v>510</v>
      </c>
      <c r="B127" s="59"/>
      <c r="C127" s="60"/>
      <c r="D127" s="59">
        <v>155.00000000018915</v>
      </c>
      <c r="E127" s="60">
        <v>7703.4706439394004</v>
      </c>
      <c r="F127" s="59">
        <v>166.00000000008237</v>
      </c>
      <c r="G127" s="60">
        <v>12495.5731481482</v>
      </c>
      <c r="H127" s="59">
        <v>321.00000000027148</v>
      </c>
      <c r="I127" s="61">
        <v>20199.043792087599</v>
      </c>
    </row>
    <row r="128" spans="1:9" x14ac:dyDescent="0.2">
      <c r="A128" s="113" t="s">
        <v>478</v>
      </c>
      <c r="B128" s="59"/>
      <c r="C128" s="60"/>
      <c r="D128" s="59">
        <v>0</v>
      </c>
      <c r="E128" s="60">
        <v>0</v>
      </c>
      <c r="F128" s="59">
        <v>101.00000000004916</v>
      </c>
      <c r="G128" s="60">
        <v>0</v>
      </c>
      <c r="H128" s="59">
        <v>101.00000000004916</v>
      </c>
      <c r="I128" s="61">
        <v>0</v>
      </c>
    </row>
    <row r="129" spans="1:9" x14ac:dyDescent="0.2">
      <c r="A129" s="113" t="s">
        <v>324</v>
      </c>
      <c r="B129" s="59">
        <v>226.00000000045799</v>
      </c>
      <c r="C129" s="60">
        <v>8881.7590579709995</v>
      </c>
      <c r="D129" s="59">
        <v>0</v>
      </c>
      <c r="E129" s="60">
        <v>0</v>
      </c>
      <c r="F129" s="59">
        <v>15.000000000007971</v>
      </c>
      <c r="G129" s="60">
        <v>1129.1180555556</v>
      </c>
      <c r="H129" s="59">
        <v>241.00000000046595</v>
      </c>
      <c r="I129" s="61">
        <v>10010.8771135266</v>
      </c>
    </row>
    <row r="130" spans="1:9" x14ac:dyDescent="0.2">
      <c r="A130" s="113" t="s">
        <v>484</v>
      </c>
      <c r="B130" s="59"/>
      <c r="C130" s="60"/>
      <c r="D130" s="59">
        <v>146.00000000017707</v>
      </c>
      <c r="E130" s="60">
        <v>7256.1723484847998</v>
      </c>
      <c r="F130" s="59">
        <v>55.000000000026567</v>
      </c>
      <c r="G130" s="60">
        <v>4140.0995370370001</v>
      </c>
      <c r="H130" s="59">
        <v>201.00000000020364</v>
      </c>
      <c r="I130" s="61">
        <v>11396.271885521801</v>
      </c>
    </row>
    <row r="131" spans="1:9" x14ac:dyDescent="0.2">
      <c r="A131" s="113" t="s">
        <v>474</v>
      </c>
      <c r="B131" s="59"/>
      <c r="C131" s="60"/>
      <c r="D131" s="59">
        <v>252.00000000030784</v>
      </c>
      <c r="E131" s="60">
        <v>-4.5474735088646412E-13</v>
      </c>
      <c r="F131" s="59">
        <v>480.00000000023647</v>
      </c>
      <c r="G131" s="60">
        <v>-3.5811353882309049E-12</v>
      </c>
      <c r="H131" s="59">
        <v>732.00000000054433</v>
      </c>
      <c r="I131" s="61">
        <v>-4.0358827391173691E-12</v>
      </c>
    </row>
    <row r="132" spans="1:9" x14ac:dyDescent="0.2">
      <c r="A132" s="113" t="s">
        <v>307</v>
      </c>
      <c r="B132" s="59">
        <v>48.000000000096691</v>
      </c>
      <c r="C132" s="60">
        <v>1886.3913043478001</v>
      </c>
      <c r="D132" s="59">
        <v>58.000000000070422</v>
      </c>
      <c r="E132" s="60">
        <v>-1886.3913043478001</v>
      </c>
      <c r="F132" s="59">
        <v>0</v>
      </c>
      <c r="G132" s="60">
        <v>0</v>
      </c>
      <c r="H132" s="59">
        <v>106.00000000016712</v>
      </c>
      <c r="I132" s="61">
        <v>0</v>
      </c>
    </row>
    <row r="133" spans="1:9" x14ac:dyDescent="0.2">
      <c r="A133" s="113" t="s">
        <v>334</v>
      </c>
      <c r="B133" s="59">
        <v>231.00000000046819</v>
      </c>
      <c r="C133" s="60">
        <v>9078.2581521739012</v>
      </c>
      <c r="D133" s="59">
        <v>0</v>
      </c>
      <c r="E133" s="60">
        <v>0</v>
      </c>
      <c r="F133" s="59">
        <v>0</v>
      </c>
      <c r="G133" s="60">
        <v>0</v>
      </c>
      <c r="H133" s="59">
        <v>231.00000000046819</v>
      </c>
      <c r="I133" s="61">
        <v>9078.2581521739012</v>
      </c>
    </row>
    <row r="134" spans="1:9" x14ac:dyDescent="0.2">
      <c r="A134" s="113" t="s">
        <v>352</v>
      </c>
      <c r="B134" s="59">
        <v>416.00000000084475</v>
      </c>
      <c r="C134" s="60">
        <v>16348.7246376812</v>
      </c>
      <c r="D134" s="59">
        <v>0</v>
      </c>
      <c r="E134" s="60">
        <v>0</v>
      </c>
      <c r="F134" s="59">
        <v>0</v>
      </c>
      <c r="G134" s="60">
        <v>0</v>
      </c>
      <c r="H134" s="59">
        <v>416.00000000084475</v>
      </c>
      <c r="I134" s="61">
        <v>16348.7246376812</v>
      </c>
    </row>
    <row r="135" spans="1:9" x14ac:dyDescent="0.2">
      <c r="A135" s="113" t="s">
        <v>502</v>
      </c>
      <c r="B135" s="59"/>
      <c r="C135" s="60"/>
      <c r="D135" s="59">
        <v>316.00000000038432</v>
      </c>
      <c r="E135" s="60">
        <v>15705.140151515099</v>
      </c>
      <c r="F135" s="59">
        <v>416.00000000020458</v>
      </c>
      <c r="G135" s="60">
        <v>31314.207407407397</v>
      </c>
      <c r="H135" s="59">
        <v>732.0000000005889</v>
      </c>
      <c r="I135" s="61">
        <v>47019.347558922498</v>
      </c>
    </row>
    <row r="136" spans="1:9" x14ac:dyDescent="0.2">
      <c r="A136" s="113" t="s">
        <v>496</v>
      </c>
      <c r="B136" s="59"/>
      <c r="C136" s="60"/>
      <c r="D136" s="59">
        <v>0</v>
      </c>
      <c r="E136" s="60">
        <v>0</v>
      </c>
      <c r="F136" s="59">
        <v>70.000000000034547</v>
      </c>
      <c r="G136" s="60">
        <v>5269.2175925926003</v>
      </c>
      <c r="H136" s="59">
        <v>70.000000000034547</v>
      </c>
      <c r="I136" s="61">
        <v>5269.2175925926003</v>
      </c>
    </row>
    <row r="137" spans="1:9" x14ac:dyDescent="0.2">
      <c r="A137" s="113" t="s">
        <v>556</v>
      </c>
      <c r="B137" s="59"/>
      <c r="C137" s="60"/>
      <c r="D137" s="59">
        <v>60.000000000070422</v>
      </c>
      <c r="E137" s="60">
        <v>2981.9886363635001</v>
      </c>
      <c r="F137" s="59"/>
      <c r="G137" s="60"/>
      <c r="H137" s="59">
        <v>60.000000000070422</v>
      </c>
      <c r="I137" s="61">
        <v>2981.9886363635001</v>
      </c>
    </row>
    <row r="138" spans="1:9" x14ac:dyDescent="0.2">
      <c r="A138" s="113" t="s">
        <v>590</v>
      </c>
      <c r="B138" s="59"/>
      <c r="C138" s="60"/>
      <c r="D138" s="59">
        <v>82.000000000100599</v>
      </c>
      <c r="E138" s="60">
        <v>4075.384469697</v>
      </c>
      <c r="F138" s="59"/>
      <c r="G138" s="60"/>
      <c r="H138" s="59">
        <v>82.000000000100599</v>
      </c>
      <c r="I138" s="61">
        <v>4075.384469697</v>
      </c>
    </row>
    <row r="139" spans="1:9" x14ac:dyDescent="0.2">
      <c r="A139" s="113" t="s">
        <v>330</v>
      </c>
      <c r="B139" s="59">
        <v>137.00000000028243</v>
      </c>
      <c r="C139" s="60">
        <v>5384.0751811596001</v>
      </c>
      <c r="D139" s="59">
        <v>480.00000000058549</v>
      </c>
      <c r="E139" s="60">
        <v>23855.909090909099</v>
      </c>
      <c r="F139" s="59">
        <v>0</v>
      </c>
      <c r="G139" s="60">
        <v>-5384.0751811596001</v>
      </c>
      <c r="H139" s="59">
        <v>617.00000000086789</v>
      </c>
      <c r="I139" s="61">
        <v>23855.909090909099</v>
      </c>
    </row>
    <row r="140" spans="1:9" x14ac:dyDescent="0.2">
      <c r="A140" s="113" t="s">
        <v>350</v>
      </c>
      <c r="B140" s="59">
        <v>135.00000000027481</v>
      </c>
      <c r="C140" s="60">
        <v>5305.4755434783001</v>
      </c>
      <c r="D140" s="59">
        <v>0</v>
      </c>
      <c r="E140" s="60">
        <v>0</v>
      </c>
      <c r="F140" s="59">
        <v>0</v>
      </c>
      <c r="G140" s="60">
        <v>0</v>
      </c>
      <c r="H140" s="59">
        <v>135.00000000027481</v>
      </c>
      <c r="I140" s="61">
        <v>5305.4755434783001</v>
      </c>
    </row>
    <row r="141" spans="1:9" x14ac:dyDescent="0.2">
      <c r="A141" s="113" t="s">
        <v>346</v>
      </c>
      <c r="B141" s="59">
        <v>123.00000000024937</v>
      </c>
      <c r="C141" s="60">
        <v>4833.8777173913004</v>
      </c>
      <c r="D141" s="59">
        <v>908.00000000110867</v>
      </c>
      <c r="E141" s="60">
        <v>45127.428030303097</v>
      </c>
      <c r="F141" s="59">
        <v>136.00000000006773</v>
      </c>
      <c r="G141" s="60">
        <v>10237.337037037099</v>
      </c>
      <c r="H141" s="59">
        <v>1167.0000000014256</v>
      </c>
      <c r="I141" s="61">
        <v>60198.642784731499</v>
      </c>
    </row>
    <row r="142" spans="1:9" x14ac:dyDescent="0.2">
      <c r="A142" s="53" t="s">
        <v>604</v>
      </c>
      <c r="B142" s="59"/>
      <c r="C142" s="60">
        <v>10022</v>
      </c>
      <c r="D142" s="59">
        <v>367.00000000044867</v>
      </c>
      <c r="E142" s="60">
        <v>29475.830492424298</v>
      </c>
      <c r="F142" s="59"/>
      <c r="G142" s="60">
        <v>4967</v>
      </c>
      <c r="H142" s="59">
        <v>367.00000000044867</v>
      </c>
      <c r="I142" s="61">
        <v>44464.830492424298</v>
      </c>
    </row>
    <row r="143" spans="1:9" x14ac:dyDescent="0.2">
      <c r="A143" s="53" t="s">
        <v>601</v>
      </c>
      <c r="B143" s="59"/>
      <c r="C143" s="60"/>
      <c r="D143" s="59">
        <v>0</v>
      </c>
      <c r="E143" s="60">
        <v>0</v>
      </c>
      <c r="F143" s="59">
        <v>480.00000000023778</v>
      </c>
      <c r="G143" s="60">
        <v>0</v>
      </c>
      <c r="H143" s="59">
        <v>480.00000000023778</v>
      </c>
      <c r="I143" s="61">
        <v>0</v>
      </c>
    </row>
    <row r="144" spans="1:9" x14ac:dyDescent="0.2">
      <c r="A144" s="113" t="s">
        <v>480</v>
      </c>
      <c r="B144" s="59"/>
      <c r="C144" s="60"/>
      <c r="D144" s="59">
        <v>0</v>
      </c>
      <c r="E144" s="60">
        <v>0</v>
      </c>
      <c r="F144" s="59">
        <v>480.00000000023778</v>
      </c>
      <c r="G144" s="60">
        <v>0</v>
      </c>
      <c r="H144" s="59">
        <v>480.00000000023778</v>
      </c>
      <c r="I144" s="61">
        <v>0</v>
      </c>
    </row>
    <row r="145" spans="1:9" x14ac:dyDescent="0.2">
      <c r="A145" s="54" t="s">
        <v>992</v>
      </c>
      <c r="B145" s="62">
        <v>18766.000000147531</v>
      </c>
      <c r="C145" s="63">
        <v>315824.37268372055</v>
      </c>
      <c r="D145" s="62">
        <v>14400.00000004687</v>
      </c>
      <c r="E145" s="63">
        <v>282328.70562107651</v>
      </c>
      <c r="F145" s="62">
        <v>12000.000000013546</v>
      </c>
      <c r="G145" s="63">
        <v>291018.27829746733</v>
      </c>
      <c r="H145" s="62">
        <v>45166.00000020794</v>
      </c>
      <c r="I145" s="64">
        <v>889171.35660226445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7"/>
  <sheetViews>
    <sheetView workbookViewId="0">
      <selection activeCell="F16" sqref="F16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4.85546875" style="1" bestFit="1" customWidth="1"/>
    <col min="4" max="4" width="16.42578125" style="1" bestFit="1" customWidth="1"/>
    <col min="5" max="5" width="12.28515625" style="1" bestFit="1" customWidth="1"/>
    <col min="6" max="6" width="12.5703125" style="1" bestFit="1" customWidth="1"/>
    <col min="7" max="7" width="8.42578125" style="1" bestFit="1" customWidth="1"/>
    <col min="8" max="8" width="9.7109375" style="1" bestFit="1" customWidth="1"/>
    <col min="9" max="12" width="16.85546875" style="1" bestFit="1" customWidth="1"/>
    <col min="13" max="13" width="13.85546875" style="1" bestFit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591</v>
      </c>
      <c r="D1" s="1" t="s">
        <v>592</v>
      </c>
      <c r="E1" s="1" t="s">
        <v>593</v>
      </c>
      <c r="F1" s="1" t="s">
        <v>281</v>
      </c>
      <c r="G1" s="1" t="s">
        <v>251</v>
      </c>
      <c r="H1" s="1" t="s">
        <v>13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598</v>
      </c>
    </row>
    <row r="2" spans="1:13" x14ac:dyDescent="0.25">
      <c r="A2" s="1">
        <v>2018</v>
      </c>
      <c r="B2" s="1">
        <v>3</v>
      </c>
      <c r="C2" s="1" t="s">
        <v>22</v>
      </c>
      <c r="D2" s="1" t="s">
        <v>599</v>
      </c>
      <c r="E2" s="1" t="s">
        <v>600</v>
      </c>
      <c r="F2" s="1" t="s">
        <v>270</v>
      </c>
      <c r="G2" s="1">
        <v>72</v>
      </c>
      <c r="H2" s="1">
        <v>30600</v>
      </c>
      <c r="I2" s="1">
        <v>14563.999943999999</v>
      </c>
      <c r="J2" s="1">
        <v>14563.999943999999</v>
      </c>
      <c r="K2" s="1">
        <v>16036.000056000001</v>
      </c>
      <c r="L2" s="1">
        <v>16036.000056000001</v>
      </c>
      <c r="M2" s="1" t="s">
        <v>601</v>
      </c>
    </row>
    <row r="3" spans="1:13" x14ac:dyDescent="0.25">
      <c r="A3" s="1">
        <v>2018</v>
      </c>
      <c r="B3" s="1">
        <v>3</v>
      </c>
      <c r="C3" s="1" t="s">
        <v>22</v>
      </c>
      <c r="D3" s="1" t="s">
        <v>602</v>
      </c>
      <c r="E3" s="1" t="s">
        <v>603</v>
      </c>
      <c r="F3" s="1" t="s">
        <v>263</v>
      </c>
      <c r="G3" s="1">
        <v>36</v>
      </c>
      <c r="H3" s="1">
        <v>16200</v>
      </c>
      <c r="I3" s="1">
        <v>13291.999991999999</v>
      </c>
      <c r="J3" s="1">
        <v>13291.999991999999</v>
      </c>
      <c r="K3" s="1">
        <v>2908.000008</v>
      </c>
      <c r="L3" s="1">
        <v>2908.000008</v>
      </c>
      <c r="M3" s="1" t="s">
        <v>604</v>
      </c>
    </row>
    <row r="4" spans="1:13" x14ac:dyDescent="0.25">
      <c r="A4" s="1">
        <v>2018</v>
      </c>
      <c r="B4" s="1">
        <v>3</v>
      </c>
      <c r="C4" s="1" t="s">
        <v>22</v>
      </c>
      <c r="D4" s="1" t="s">
        <v>602</v>
      </c>
      <c r="E4" s="1" t="s">
        <v>605</v>
      </c>
      <c r="F4" s="1" t="s">
        <v>260</v>
      </c>
      <c r="G4" s="1">
        <v>428</v>
      </c>
      <c r="H4" s="1">
        <v>74900</v>
      </c>
      <c r="I4" s="1">
        <v>44090.999940000002</v>
      </c>
      <c r="J4" s="1">
        <v>44090.999940000002</v>
      </c>
      <c r="K4" s="1">
        <v>30809.000059999998</v>
      </c>
      <c r="L4" s="1">
        <v>30809.000059999998</v>
      </c>
      <c r="M4" s="1" t="s">
        <v>604</v>
      </c>
    </row>
    <row r="5" spans="1:13" x14ac:dyDescent="0.25">
      <c r="A5" s="1">
        <v>2018</v>
      </c>
      <c r="B5" s="1">
        <v>3</v>
      </c>
      <c r="C5" s="1" t="s">
        <v>22</v>
      </c>
      <c r="D5" s="1" t="s">
        <v>602</v>
      </c>
      <c r="E5" s="1" t="s">
        <v>606</v>
      </c>
      <c r="F5" s="1" t="s">
        <v>258</v>
      </c>
      <c r="G5" s="1">
        <v>20</v>
      </c>
      <c r="H5" s="1">
        <v>9600</v>
      </c>
      <c r="I5" s="1">
        <v>4592</v>
      </c>
      <c r="J5" s="1">
        <v>4592</v>
      </c>
      <c r="K5" s="1">
        <v>5008</v>
      </c>
      <c r="L5" s="1">
        <v>5008</v>
      </c>
      <c r="M5" s="1" t="s">
        <v>604</v>
      </c>
    </row>
    <row r="6" spans="1:13" x14ac:dyDescent="0.25">
      <c r="A6" s="1">
        <v>2018</v>
      </c>
      <c r="B6" s="1">
        <v>3</v>
      </c>
      <c r="C6" s="1" t="s">
        <v>22</v>
      </c>
      <c r="D6" s="1" t="s">
        <v>602</v>
      </c>
      <c r="E6" s="1" t="s">
        <v>607</v>
      </c>
      <c r="F6" s="1" t="s">
        <v>257</v>
      </c>
      <c r="G6" s="1">
        <v>20</v>
      </c>
      <c r="H6" s="1">
        <v>6400</v>
      </c>
      <c r="I6" s="1">
        <v>2637</v>
      </c>
      <c r="J6" s="1">
        <v>2637</v>
      </c>
      <c r="K6" s="1">
        <v>3763</v>
      </c>
      <c r="L6" s="1">
        <v>3763</v>
      </c>
      <c r="M6" s="1" t="s">
        <v>604</v>
      </c>
    </row>
    <row r="7" spans="1:13" x14ac:dyDescent="0.25">
      <c r="A7" s="1">
        <v>2018</v>
      </c>
      <c r="B7" s="1">
        <v>3</v>
      </c>
      <c r="C7" s="1" t="s">
        <v>22</v>
      </c>
      <c r="D7" s="1" t="s">
        <v>602</v>
      </c>
      <c r="E7" s="1" t="s">
        <v>608</v>
      </c>
      <c r="F7" s="1" t="s">
        <v>261</v>
      </c>
      <c r="G7" s="1">
        <v>1000</v>
      </c>
      <c r="H7" s="1">
        <v>125000</v>
      </c>
      <c r="I7" s="1">
        <v>71469</v>
      </c>
      <c r="J7" s="1">
        <v>71469</v>
      </c>
      <c r="K7" s="1">
        <v>53531</v>
      </c>
      <c r="L7" s="1">
        <v>53531</v>
      </c>
      <c r="M7" s="1" t="s">
        <v>604</v>
      </c>
    </row>
    <row r="8" spans="1:13" x14ac:dyDescent="0.25">
      <c r="A8" s="1">
        <v>2018</v>
      </c>
      <c r="B8" s="1">
        <v>3</v>
      </c>
      <c r="C8" s="1" t="s">
        <v>22</v>
      </c>
      <c r="D8" s="1" t="s">
        <v>599</v>
      </c>
      <c r="E8" s="1" t="s">
        <v>609</v>
      </c>
      <c r="F8" s="1" t="s">
        <v>277</v>
      </c>
      <c r="G8" s="1">
        <v>16</v>
      </c>
      <c r="H8" s="1">
        <v>15360</v>
      </c>
      <c r="I8" s="1">
        <v>0</v>
      </c>
      <c r="K8" s="1">
        <v>15360</v>
      </c>
      <c r="L8" s="1">
        <v>15360</v>
      </c>
      <c r="M8" s="1" t="s">
        <v>610</v>
      </c>
    </row>
    <row r="9" spans="1:13" x14ac:dyDescent="0.25">
      <c r="A9" s="1">
        <v>2018</v>
      </c>
      <c r="B9" s="1">
        <v>3</v>
      </c>
      <c r="C9" s="1" t="s">
        <v>22</v>
      </c>
      <c r="D9" s="1" t="s">
        <v>599</v>
      </c>
      <c r="E9" s="1" t="s">
        <v>609</v>
      </c>
      <c r="F9" s="1" t="s">
        <v>277</v>
      </c>
      <c r="G9" s="1">
        <v>16</v>
      </c>
      <c r="H9" s="1">
        <v>15360</v>
      </c>
      <c r="I9" s="1">
        <v>5248</v>
      </c>
      <c r="J9" s="1">
        <v>5248</v>
      </c>
      <c r="K9" s="1">
        <v>10112</v>
      </c>
      <c r="L9" s="1">
        <v>10112</v>
      </c>
      <c r="M9" s="1" t="s">
        <v>610</v>
      </c>
    </row>
    <row r="10" spans="1:13" x14ac:dyDescent="0.25">
      <c r="A10" s="1">
        <v>2018</v>
      </c>
      <c r="B10" s="1">
        <v>3</v>
      </c>
      <c r="C10" s="1" t="s">
        <v>22</v>
      </c>
      <c r="D10" s="1" t="s">
        <v>602</v>
      </c>
      <c r="E10" s="1" t="s">
        <v>611</v>
      </c>
      <c r="F10" s="1" t="s">
        <v>262</v>
      </c>
      <c r="G10" s="1">
        <v>415.6</v>
      </c>
      <c r="H10" s="1">
        <v>60000</v>
      </c>
      <c r="I10" s="1">
        <v>33663.999807</v>
      </c>
      <c r="J10" s="1">
        <v>33663.999807</v>
      </c>
      <c r="K10" s="1">
        <v>26336.000193</v>
      </c>
      <c r="L10" s="1">
        <v>26336.000193</v>
      </c>
      <c r="M10" s="1" t="s">
        <v>604</v>
      </c>
    </row>
    <row r="11" spans="1:13" x14ac:dyDescent="0.25">
      <c r="A11" s="1">
        <v>2018</v>
      </c>
      <c r="B11" s="1">
        <v>3</v>
      </c>
      <c r="C11" s="1" t="s">
        <v>22</v>
      </c>
      <c r="D11" s="1" t="s">
        <v>599</v>
      </c>
      <c r="E11" s="1" t="s">
        <v>612</v>
      </c>
      <c r="F11" s="1" t="s">
        <v>269</v>
      </c>
      <c r="G11" s="1">
        <v>45</v>
      </c>
      <c r="H11" s="1">
        <v>60210</v>
      </c>
      <c r="I11" s="1">
        <v>40291.999965000003</v>
      </c>
      <c r="J11" s="1">
        <v>40291.999965000003</v>
      </c>
      <c r="K11" s="1">
        <v>19918.000035000001</v>
      </c>
      <c r="L11" s="1">
        <v>19918.000035000001</v>
      </c>
      <c r="M11" s="1" t="s">
        <v>610</v>
      </c>
    </row>
    <row r="12" spans="1:13" x14ac:dyDescent="0.25">
      <c r="A12" s="1">
        <v>2018</v>
      </c>
      <c r="B12" s="1">
        <v>3</v>
      </c>
      <c r="C12" s="1" t="s">
        <v>22</v>
      </c>
      <c r="D12" s="1" t="s">
        <v>599</v>
      </c>
      <c r="E12" s="1" t="s">
        <v>613</v>
      </c>
      <c r="F12" s="1" t="s">
        <v>268</v>
      </c>
      <c r="G12" s="1">
        <v>26</v>
      </c>
      <c r="H12" s="1">
        <v>27066</v>
      </c>
      <c r="I12" s="1">
        <v>18538</v>
      </c>
      <c r="J12" s="1">
        <v>18538</v>
      </c>
      <c r="K12" s="1">
        <v>8528</v>
      </c>
      <c r="L12" s="1">
        <v>8528</v>
      </c>
      <c r="M12" s="1" t="s">
        <v>610</v>
      </c>
    </row>
    <row r="13" spans="1:13" x14ac:dyDescent="0.25">
      <c r="A13" s="1">
        <v>2018</v>
      </c>
      <c r="B13" s="1">
        <v>3</v>
      </c>
      <c r="C13" s="1" t="s">
        <v>22</v>
      </c>
      <c r="D13" s="1" t="s">
        <v>602</v>
      </c>
      <c r="E13" s="1" t="s">
        <v>614</v>
      </c>
      <c r="F13" s="1" t="s">
        <v>266</v>
      </c>
      <c r="G13" s="1">
        <v>260</v>
      </c>
      <c r="H13" s="1">
        <v>52000</v>
      </c>
      <c r="I13" s="1">
        <v>36400</v>
      </c>
      <c r="J13" s="1">
        <v>36400</v>
      </c>
      <c r="K13" s="1">
        <v>15600</v>
      </c>
      <c r="L13" s="1">
        <v>15600</v>
      </c>
      <c r="M13" s="1" t="s">
        <v>604</v>
      </c>
    </row>
    <row r="14" spans="1:13" x14ac:dyDescent="0.25">
      <c r="A14" s="1">
        <v>2018</v>
      </c>
      <c r="B14" s="1">
        <v>3</v>
      </c>
      <c r="C14" s="1" t="s">
        <v>22</v>
      </c>
      <c r="D14" s="1" t="s">
        <v>599</v>
      </c>
      <c r="E14" s="1" t="s">
        <v>615</v>
      </c>
      <c r="F14" s="1" t="s">
        <v>275</v>
      </c>
      <c r="G14" s="1">
        <v>18</v>
      </c>
      <c r="H14" s="1">
        <v>68400</v>
      </c>
      <c r="I14" s="1">
        <v>0</v>
      </c>
      <c r="K14" s="1">
        <v>68400</v>
      </c>
      <c r="L14" s="1">
        <v>68400</v>
      </c>
      <c r="M14" s="1" t="s">
        <v>610</v>
      </c>
    </row>
    <row r="15" spans="1:13" x14ac:dyDescent="0.25">
      <c r="A15" s="1">
        <v>2018</v>
      </c>
      <c r="B15" s="1">
        <v>3</v>
      </c>
      <c r="C15" s="1" t="s">
        <v>22</v>
      </c>
      <c r="D15" s="1" t="s">
        <v>599</v>
      </c>
      <c r="E15" s="1" t="s">
        <v>615</v>
      </c>
      <c r="F15" s="1" t="s">
        <v>275</v>
      </c>
      <c r="G15" s="1">
        <v>18</v>
      </c>
      <c r="H15" s="1">
        <v>68400</v>
      </c>
      <c r="I15" s="1">
        <v>26595.333323999999</v>
      </c>
      <c r="J15" s="1">
        <v>26595.333323999999</v>
      </c>
      <c r="K15" s="1">
        <v>41804.666676000001</v>
      </c>
      <c r="L15" s="1">
        <v>41804.666676000001</v>
      </c>
      <c r="M15" s="1" t="s">
        <v>610</v>
      </c>
    </row>
    <row r="16" spans="1:13" x14ac:dyDescent="0.25">
      <c r="A16" s="1">
        <v>2018</v>
      </c>
      <c r="B16" s="1">
        <v>3</v>
      </c>
      <c r="C16" s="1" t="s">
        <v>22</v>
      </c>
      <c r="D16" s="1" t="s">
        <v>599</v>
      </c>
      <c r="E16" s="1" t="s">
        <v>616</v>
      </c>
      <c r="F16" s="1" t="s">
        <v>274</v>
      </c>
      <c r="G16" s="1">
        <v>17</v>
      </c>
      <c r="H16" s="1">
        <v>37400</v>
      </c>
      <c r="I16" s="1">
        <v>0</v>
      </c>
      <c r="K16" s="1">
        <v>37400</v>
      </c>
      <c r="L16" s="1">
        <v>37400</v>
      </c>
      <c r="M16" s="1" t="s">
        <v>610</v>
      </c>
    </row>
    <row r="17" spans="1:13" x14ac:dyDescent="0.25">
      <c r="A17" s="1">
        <v>2018</v>
      </c>
      <c r="B17" s="1">
        <v>3</v>
      </c>
      <c r="C17" s="1" t="s">
        <v>22</v>
      </c>
      <c r="D17" s="1" t="s">
        <v>599</v>
      </c>
      <c r="E17" s="1" t="s">
        <v>616</v>
      </c>
      <c r="F17" s="1" t="s">
        <v>274</v>
      </c>
      <c r="G17" s="1">
        <v>17</v>
      </c>
      <c r="H17" s="1">
        <v>37400</v>
      </c>
      <c r="I17" s="1">
        <v>18686.999997999999</v>
      </c>
      <c r="J17" s="1">
        <v>18686.999997999999</v>
      </c>
      <c r="K17" s="1">
        <v>18713.000002000001</v>
      </c>
      <c r="L17" s="1">
        <v>18713.000002000001</v>
      </c>
      <c r="M17" s="1" t="s">
        <v>610</v>
      </c>
    </row>
    <row r="18" spans="1:13" x14ac:dyDescent="0.25">
      <c r="A18" s="1">
        <v>2018</v>
      </c>
      <c r="B18" s="1">
        <v>3</v>
      </c>
      <c r="C18" s="1" t="s">
        <v>22</v>
      </c>
      <c r="D18" s="1" t="s">
        <v>599</v>
      </c>
      <c r="E18" s="1" t="s">
        <v>617</v>
      </c>
      <c r="F18" s="1" t="s">
        <v>267</v>
      </c>
      <c r="G18" s="1">
        <v>17</v>
      </c>
      <c r="H18" s="1">
        <v>30600</v>
      </c>
      <c r="I18" s="1">
        <v>0</v>
      </c>
      <c r="K18" s="1">
        <v>30600</v>
      </c>
      <c r="L18" s="1">
        <v>30600</v>
      </c>
      <c r="M18" s="1" t="s">
        <v>610</v>
      </c>
    </row>
    <row r="19" spans="1:13" x14ac:dyDescent="0.25">
      <c r="A19" s="1">
        <v>2018</v>
      </c>
      <c r="B19" s="1">
        <v>3</v>
      </c>
      <c r="C19" s="1" t="s">
        <v>22</v>
      </c>
      <c r="D19" s="1" t="s">
        <v>599</v>
      </c>
      <c r="E19" s="1" t="s">
        <v>617</v>
      </c>
      <c r="F19" s="1" t="s">
        <v>267</v>
      </c>
      <c r="G19" s="1">
        <v>17</v>
      </c>
      <c r="H19" s="1">
        <v>30600</v>
      </c>
      <c r="I19" s="1">
        <v>21133.99999</v>
      </c>
      <c r="J19" s="1">
        <v>21133.99999</v>
      </c>
      <c r="K19" s="1">
        <v>9466.0000099999997</v>
      </c>
      <c r="L19" s="1">
        <v>9466.0000099999997</v>
      </c>
      <c r="M19" s="1" t="s">
        <v>610</v>
      </c>
    </row>
    <row r="20" spans="1:13" x14ac:dyDescent="0.25">
      <c r="A20" s="1">
        <v>2018</v>
      </c>
      <c r="B20" s="1">
        <v>3</v>
      </c>
      <c r="C20" s="1" t="s">
        <v>22</v>
      </c>
      <c r="D20" s="1" t="s">
        <v>599</v>
      </c>
      <c r="E20" s="1" t="s">
        <v>618</v>
      </c>
      <c r="F20" s="1" t="s">
        <v>271</v>
      </c>
      <c r="G20" s="1">
        <v>34</v>
      </c>
      <c r="H20" s="1">
        <v>36550</v>
      </c>
      <c r="I20" s="1">
        <v>0</v>
      </c>
      <c r="K20" s="1">
        <v>36550</v>
      </c>
      <c r="L20" s="1">
        <v>36550</v>
      </c>
      <c r="M20" s="1" t="s">
        <v>610</v>
      </c>
    </row>
    <row r="21" spans="1:13" x14ac:dyDescent="0.25">
      <c r="A21" s="1">
        <v>2018</v>
      </c>
      <c r="B21" s="1">
        <v>3</v>
      </c>
      <c r="C21" s="1" t="s">
        <v>22</v>
      </c>
      <c r="D21" s="1" t="s">
        <v>599</v>
      </c>
      <c r="E21" s="1" t="s">
        <v>618</v>
      </c>
      <c r="F21" s="1" t="s">
        <v>271</v>
      </c>
      <c r="G21" s="1">
        <v>34</v>
      </c>
      <c r="H21" s="1">
        <v>36550</v>
      </c>
      <c r="I21" s="1">
        <v>20094.181798000001</v>
      </c>
      <c r="J21" s="1">
        <v>20094.181798000001</v>
      </c>
      <c r="K21" s="1">
        <v>16455.818201999999</v>
      </c>
      <c r="L21" s="1">
        <v>16455.818201999999</v>
      </c>
      <c r="M21" s="1" t="s">
        <v>610</v>
      </c>
    </row>
    <row r="22" spans="1:13" x14ac:dyDescent="0.25">
      <c r="A22" s="1">
        <v>2018</v>
      </c>
      <c r="B22" s="1">
        <v>3</v>
      </c>
      <c r="C22" s="1" t="s">
        <v>22</v>
      </c>
      <c r="D22" s="1" t="s">
        <v>599</v>
      </c>
      <c r="E22" s="1" t="s">
        <v>619</v>
      </c>
      <c r="F22" s="1" t="s">
        <v>275</v>
      </c>
      <c r="G22" s="1">
        <v>36</v>
      </c>
      <c r="H22" s="1">
        <v>118800</v>
      </c>
      <c r="I22" s="1">
        <v>0</v>
      </c>
      <c r="K22" s="1">
        <v>118800</v>
      </c>
      <c r="L22" s="1">
        <v>118800</v>
      </c>
      <c r="M22" s="1" t="s">
        <v>610</v>
      </c>
    </row>
    <row r="23" spans="1:13" x14ac:dyDescent="0.25">
      <c r="A23" s="1">
        <v>2018</v>
      </c>
      <c r="B23" s="1">
        <v>3</v>
      </c>
      <c r="C23" s="1" t="s">
        <v>22</v>
      </c>
      <c r="D23" s="1" t="s">
        <v>599</v>
      </c>
      <c r="E23" s="1" t="s">
        <v>619</v>
      </c>
      <c r="F23" s="1" t="s">
        <v>275</v>
      </c>
      <c r="G23" s="1">
        <v>36</v>
      </c>
      <c r="H23" s="1">
        <v>118800</v>
      </c>
      <c r="I23" s="1">
        <v>53190.666647999999</v>
      </c>
      <c r="J23" s="1">
        <v>53190.666647999999</v>
      </c>
      <c r="K23" s="1">
        <v>65609.333352000001</v>
      </c>
      <c r="L23" s="1">
        <v>65609.333352000001</v>
      </c>
      <c r="M23" s="1" t="s">
        <v>610</v>
      </c>
    </row>
    <row r="24" spans="1:13" x14ac:dyDescent="0.25">
      <c r="A24" s="1">
        <v>2018</v>
      </c>
      <c r="B24" s="1">
        <v>3</v>
      </c>
      <c r="C24" s="1" t="s">
        <v>22</v>
      </c>
      <c r="D24" s="1" t="s">
        <v>599</v>
      </c>
      <c r="E24" s="1" t="s">
        <v>620</v>
      </c>
      <c r="F24" s="1" t="s">
        <v>271</v>
      </c>
      <c r="G24" s="1">
        <v>153</v>
      </c>
      <c r="H24" s="1">
        <v>164475</v>
      </c>
      <c r="I24" s="1">
        <v>0</v>
      </c>
      <c r="K24" s="1">
        <v>164475</v>
      </c>
      <c r="L24" s="1">
        <v>164475</v>
      </c>
      <c r="M24" s="1" t="s">
        <v>610</v>
      </c>
    </row>
    <row r="25" spans="1:13" x14ac:dyDescent="0.25">
      <c r="A25" s="1">
        <v>2018</v>
      </c>
      <c r="B25" s="1">
        <v>3</v>
      </c>
      <c r="C25" s="1" t="s">
        <v>22</v>
      </c>
      <c r="D25" s="1" t="s">
        <v>599</v>
      </c>
      <c r="E25" s="1" t="s">
        <v>620</v>
      </c>
      <c r="F25" s="1" t="s">
        <v>271</v>
      </c>
      <c r="G25" s="1">
        <v>153</v>
      </c>
      <c r="H25" s="1">
        <v>164475</v>
      </c>
      <c r="I25" s="1">
        <v>90423.818090999994</v>
      </c>
      <c r="J25" s="1">
        <v>90423.818090999994</v>
      </c>
      <c r="K25" s="1">
        <v>74051.181909000006</v>
      </c>
      <c r="L25" s="1">
        <v>74051.181909000006</v>
      </c>
      <c r="M25" s="1" t="s">
        <v>610</v>
      </c>
    </row>
    <row r="26" spans="1:13" x14ac:dyDescent="0.25">
      <c r="A26" s="1">
        <v>2018</v>
      </c>
      <c r="B26" s="1">
        <v>3</v>
      </c>
      <c r="C26" s="1" t="s">
        <v>22</v>
      </c>
      <c r="D26" s="1" t="s">
        <v>602</v>
      </c>
      <c r="E26" s="1" t="s">
        <v>621</v>
      </c>
      <c r="F26" s="1" t="s">
        <v>255</v>
      </c>
      <c r="G26" s="1">
        <v>120</v>
      </c>
      <c r="H26" s="1">
        <v>21000</v>
      </c>
      <c r="I26" s="1">
        <v>4663.9999200000002</v>
      </c>
      <c r="J26" s="1">
        <v>4663.9999200000002</v>
      </c>
      <c r="K26" s="1">
        <v>16336.00008</v>
      </c>
      <c r="L26" s="1">
        <v>16336.00008</v>
      </c>
      <c r="M26" s="1" t="s">
        <v>622</v>
      </c>
    </row>
    <row r="27" spans="1:13" x14ac:dyDescent="0.25">
      <c r="A27" s="1">
        <v>2018</v>
      </c>
      <c r="B27" s="1">
        <v>3</v>
      </c>
      <c r="C27" s="1" t="s">
        <v>22</v>
      </c>
      <c r="D27" s="1" t="s">
        <v>602</v>
      </c>
      <c r="E27" s="1" t="s">
        <v>623</v>
      </c>
      <c r="F27" s="1" t="s">
        <v>253</v>
      </c>
      <c r="G27" s="1">
        <v>300</v>
      </c>
      <c r="H27" s="1">
        <v>43500</v>
      </c>
      <c r="I27" s="1">
        <v>25264.999800000001</v>
      </c>
      <c r="J27" s="1">
        <v>25264.999800000001</v>
      </c>
      <c r="K27" s="1">
        <v>18235.000199999999</v>
      </c>
      <c r="L27" s="1">
        <v>18235.000199999999</v>
      </c>
      <c r="M27" s="1" t="s">
        <v>622</v>
      </c>
    </row>
    <row r="28" spans="1:13" x14ac:dyDescent="0.25">
      <c r="A28" s="1">
        <v>2018</v>
      </c>
      <c r="B28" s="1">
        <v>3</v>
      </c>
      <c r="C28" s="1" t="s">
        <v>22</v>
      </c>
      <c r="D28" s="1" t="s">
        <v>599</v>
      </c>
      <c r="E28" s="1" t="s">
        <v>624</v>
      </c>
      <c r="F28" s="1" t="s">
        <v>272</v>
      </c>
      <c r="G28" s="1">
        <v>17</v>
      </c>
      <c r="H28" s="1">
        <v>79900</v>
      </c>
      <c r="I28" s="1">
        <v>0</v>
      </c>
      <c r="K28" s="1">
        <v>79900</v>
      </c>
      <c r="L28" s="1">
        <v>79900</v>
      </c>
      <c r="M28" s="1" t="s">
        <v>610</v>
      </c>
    </row>
    <row r="29" spans="1:13" x14ac:dyDescent="0.25">
      <c r="A29" s="1">
        <v>2018</v>
      </c>
      <c r="B29" s="1">
        <v>3</v>
      </c>
      <c r="C29" s="1" t="s">
        <v>22</v>
      </c>
      <c r="D29" s="1" t="s">
        <v>599</v>
      </c>
      <c r="E29" s="1" t="s">
        <v>624</v>
      </c>
      <c r="F29" s="1" t="s">
        <v>272</v>
      </c>
      <c r="G29" s="1">
        <v>17</v>
      </c>
      <c r="H29" s="1">
        <v>79900</v>
      </c>
      <c r="I29" s="1">
        <v>32759</v>
      </c>
      <c r="J29" s="1">
        <v>32759</v>
      </c>
      <c r="K29" s="1">
        <v>47141</v>
      </c>
      <c r="L29" s="1">
        <v>47141</v>
      </c>
      <c r="M29" s="1" t="s">
        <v>610</v>
      </c>
    </row>
    <row r="30" spans="1:13" x14ac:dyDescent="0.25">
      <c r="A30" s="1">
        <v>2018</v>
      </c>
      <c r="B30" s="1">
        <v>3</v>
      </c>
      <c r="C30" s="1" t="s">
        <v>22</v>
      </c>
      <c r="D30" s="1" t="s">
        <v>599</v>
      </c>
      <c r="E30" s="1" t="s">
        <v>625</v>
      </c>
      <c r="F30" s="1" t="s">
        <v>273</v>
      </c>
      <c r="G30" s="1">
        <v>19</v>
      </c>
      <c r="H30" s="1">
        <v>68400</v>
      </c>
      <c r="I30" s="1">
        <v>0</v>
      </c>
      <c r="K30" s="1">
        <v>68400</v>
      </c>
      <c r="L30" s="1">
        <v>68400</v>
      </c>
      <c r="M30" s="1" t="s">
        <v>610</v>
      </c>
    </row>
    <row r="31" spans="1:13" x14ac:dyDescent="0.25">
      <c r="A31" s="1">
        <v>2018</v>
      </c>
      <c r="B31" s="1">
        <v>3</v>
      </c>
      <c r="C31" s="1" t="s">
        <v>22</v>
      </c>
      <c r="D31" s="1" t="s">
        <v>599</v>
      </c>
      <c r="E31" s="1" t="s">
        <v>625</v>
      </c>
      <c r="F31" s="1" t="s">
        <v>273</v>
      </c>
      <c r="G31" s="1">
        <v>19</v>
      </c>
      <c r="H31" s="1">
        <v>68400</v>
      </c>
      <c r="I31" s="1">
        <v>42108.999983000002</v>
      </c>
      <c r="J31" s="1">
        <v>42108.999983000002</v>
      </c>
      <c r="K31" s="1">
        <v>26291.000016999998</v>
      </c>
      <c r="L31" s="1">
        <v>26291.000016999998</v>
      </c>
      <c r="M31" s="1" t="s">
        <v>610</v>
      </c>
    </row>
    <row r="32" spans="1:13" x14ac:dyDescent="0.25">
      <c r="A32" s="1">
        <v>2018</v>
      </c>
      <c r="B32" s="1">
        <v>3</v>
      </c>
      <c r="C32" s="1" t="s">
        <v>22</v>
      </c>
      <c r="D32" s="1" t="s">
        <v>602</v>
      </c>
      <c r="E32" s="1" t="s">
        <v>626</v>
      </c>
      <c r="F32" s="1" t="s">
        <v>264</v>
      </c>
      <c r="G32" s="1">
        <v>750</v>
      </c>
      <c r="H32" s="1">
        <v>187500</v>
      </c>
      <c r="I32" s="1">
        <v>114000</v>
      </c>
      <c r="J32" s="1">
        <v>114000</v>
      </c>
      <c r="K32" s="1">
        <v>73500</v>
      </c>
      <c r="L32" s="1">
        <v>73500</v>
      </c>
      <c r="M32" s="1" t="s">
        <v>604</v>
      </c>
    </row>
    <row r="33" spans="1:13" x14ac:dyDescent="0.25">
      <c r="A33" s="1">
        <v>2018</v>
      </c>
      <c r="B33" s="1">
        <v>3</v>
      </c>
      <c r="C33" s="1" t="s">
        <v>22</v>
      </c>
      <c r="D33" s="1" t="s">
        <v>602</v>
      </c>
      <c r="E33" s="1" t="s">
        <v>627</v>
      </c>
      <c r="F33" s="1" t="s">
        <v>264</v>
      </c>
      <c r="G33" s="1">
        <v>500</v>
      </c>
      <c r="H33" s="1">
        <v>125000</v>
      </c>
      <c r="I33" s="1">
        <v>76000</v>
      </c>
      <c r="J33" s="1">
        <v>76000</v>
      </c>
      <c r="K33" s="1">
        <v>49000</v>
      </c>
      <c r="L33" s="1">
        <v>49000</v>
      </c>
      <c r="M33" s="1" t="s">
        <v>604</v>
      </c>
    </row>
    <row r="34" spans="1:13" x14ac:dyDescent="0.25">
      <c r="A34" s="1">
        <v>2018</v>
      </c>
      <c r="B34" s="1">
        <v>3</v>
      </c>
      <c r="C34" s="1" t="s">
        <v>22</v>
      </c>
      <c r="D34" s="1" t="s">
        <v>602</v>
      </c>
      <c r="E34" s="1" t="s">
        <v>628</v>
      </c>
      <c r="F34" s="1" t="s">
        <v>259</v>
      </c>
      <c r="G34" s="1">
        <v>20</v>
      </c>
      <c r="H34" s="1">
        <v>4500</v>
      </c>
      <c r="I34" s="1">
        <v>2420.6666599999999</v>
      </c>
      <c r="J34" s="1">
        <v>2420.6666599999999</v>
      </c>
      <c r="K34" s="1">
        <v>2079.3333400000001</v>
      </c>
      <c r="L34" s="1">
        <v>2079.3333400000001</v>
      </c>
      <c r="M34" s="1" t="s">
        <v>604</v>
      </c>
    </row>
    <row r="35" spans="1:13" x14ac:dyDescent="0.25">
      <c r="A35" s="1">
        <v>2018</v>
      </c>
      <c r="B35" s="1">
        <v>3</v>
      </c>
      <c r="C35" s="1" t="s">
        <v>22</v>
      </c>
      <c r="D35" s="1" t="s">
        <v>602</v>
      </c>
      <c r="E35" s="1" t="s">
        <v>629</v>
      </c>
      <c r="F35" s="1" t="s">
        <v>259</v>
      </c>
      <c r="G35" s="1">
        <v>40</v>
      </c>
      <c r="H35" s="1">
        <v>9000</v>
      </c>
      <c r="I35" s="1">
        <v>4841.3333199999997</v>
      </c>
      <c r="J35" s="1">
        <v>4841.3333199999997</v>
      </c>
      <c r="K35" s="1">
        <v>4158.6666800000003</v>
      </c>
      <c r="L35" s="1">
        <v>4158.6666800000003</v>
      </c>
      <c r="M35" s="1" t="s">
        <v>604</v>
      </c>
    </row>
    <row r="36" spans="1:13" x14ac:dyDescent="0.25">
      <c r="A36" s="1">
        <v>2018</v>
      </c>
      <c r="B36" s="1">
        <v>3</v>
      </c>
      <c r="C36" s="1" t="s">
        <v>22</v>
      </c>
      <c r="D36" s="1" t="s">
        <v>602</v>
      </c>
      <c r="E36" s="1" t="s">
        <v>630</v>
      </c>
      <c r="F36" s="1" t="s">
        <v>265</v>
      </c>
      <c r="G36" s="1">
        <v>90</v>
      </c>
      <c r="H36" s="1">
        <v>38250</v>
      </c>
      <c r="I36" s="1">
        <v>27814.999950000001</v>
      </c>
      <c r="J36" s="1">
        <v>27814.999950000001</v>
      </c>
      <c r="K36" s="1">
        <v>10435.000050000001</v>
      </c>
      <c r="L36" s="1">
        <v>10435.000050000001</v>
      </c>
      <c r="M36" s="1" t="s">
        <v>604</v>
      </c>
    </row>
    <row r="37" spans="1:13" x14ac:dyDescent="0.25">
      <c r="A37" s="1">
        <v>2018</v>
      </c>
      <c r="B37" s="1">
        <v>3</v>
      </c>
      <c r="C37" s="1" t="s">
        <v>22</v>
      </c>
      <c r="D37" s="1" t="s">
        <v>599</v>
      </c>
      <c r="E37" s="1" t="s">
        <v>631</v>
      </c>
      <c r="F37" s="1" t="s">
        <v>276</v>
      </c>
      <c r="G37" s="1">
        <v>3</v>
      </c>
      <c r="H37" s="1">
        <v>24600</v>
      </c>
      <c r="I37" s="1">
        <v>0</v>
      </c>
      <c r="K37" s="1">
        <v>24600</v>
      </c>
      <c r="L37" s="1">
        <v>24600</v>
      </c>
      <c r="M37" s="1" t="s">
        <v>610</v>
      </c>
    </row>
    <row r="38" spans="1:13" x14ac:dyDescent="0.25">
      <c r="A38" s="1">
        <v>2018</v>
      </c>
      <c r="B38" s="1">
        <v>3</v>
      </c>
      <c r="C38" s="1" t="s">
        <v>22</v>
      </c>
      <c r="D38" s="1" t="s">
        <v>599</v>
      </c>
      <c r="E38" s="1" t="s">
        <v>631</v>
      </c>
      <c r="F38" s="1" t="s">
        <v>276</v>
      </c>
      <c r="G38" s="1">
        <v>3</v>
      </c>
      <c r="H38" s="1">
        <v>24600</v>
      </c>
      <c r="I38" s="1">
        <v>9741</v>
      </c>
      <c r="J38" s="1">
        <v>9741</v>
      </c>
      <c r="K38" s="1">
        <v>14859</v>
      </c>
      <c r="L38" s="1">
        <v>14859</v>
      </c>
      <c r="M38" s="1" t="s">
        <v>610</v>
      </c>
    </row>
    <row r="39" spans="1:13" x14ac:dyDescent="0.25">
      <c r="A39" s="1">
        <v>2018</v>
      </c>
      <c r="B39" s="1">
        <v>3</v>
      </c>
      <c r="C39" s="1" t="s">
        <v>22</v>
      </c>
      <c r="D39" s="1" t="s">
        <v>599</v>
      </c>
      <c r="E39" s="1" t="s">
        <v>632</v>
      </c>
      <c r="F39" s="1" t="s">
        <v>279</v>
      </c>
      <c r="G39" s="1">
        <v>16</v>
      </c>
      <c r="H39" s="1">
        <v>14400</v>
      </c>
      <c r="I39" s="1">
        <v>5896</v>
      </c>
      <c r="J39" s="1">
        <v>5896</v>
      </c>
      <c r="K39" s="1">
        <v>8504</v>
      </c>
      <c r="L39" s="1">
        <v>8504</v>
      </c>
      <c r="M39" s="1" t="s">
        <v>610</v>
      </c>
    </row>
    <row r="40" spans="1:13" x14ac:dyDescent="0.25">
      <c r="A40" s="1">
        <v>2018</v>
      </c>
      <c r="B40" s="1">
        <v>3</v>
      </c>
      <c r="C40" s="1" t="s">
        <v>22</v>
      </c>
      <c r="D40" s="1" t="s">
        <v>599</v>
      </c>
      <c r="E40" s="1" t="s">
        <v>633</v>
      </c>
      <c r="F40" s="1" t="s">
        <v>280</v>
      </c>
      <c r="G40" s="1">
        <v>15</v>
      </c>
      <c r="H40" s="1">
        <v>12750</v>
      </c>
      <c r="I40" s="1">
        <v>6648.9999900000003</v>
      </c>
      <c r="J40" s="1">
        <v>6648.9999900000003</v>
      </c>
      <c r="K40" s="1">
        <v>6101.0000099999997</v>
      </c>
      <c r="L40" s="1">
        <v>6101.0000099999997</v>
      </c>
      <c r="M40" s="1" t="s">
        <v>610</v>
      </c>
    </row>
    <row r="41" spans="1:13" x14ac:dyDescent="0.25">
      <c r="A41" s="1">
        <v>2018</v>
      </c>
      <c r="B41" s="1">
        <v>3</v>
      </c>
      <c r="C41" s="1" t="s">
        <v>22</v>
      </c>
      <c r="D41" s="1" t="s">
        <v>599</v>
      </c>
      <c r="E41" s="1" t="s">
        <v>634</v>
      </c>
      <c r="F41" s="1" t="s">
        <v>280</v>
      </c>
      <c r="G41" s="1">
        <v>15</v>
      </c>
      <c r="H41" s="1">
        <v>12750</v>
      </c>
      <c r="I41" s="1">
        <v>6648.9999900000003</v>
      </c>
      <c r="J41" s="1">
        <v>6648.9999900000003</v>
      </c>
      <c r="K41" s="1">
        <v>6101.0000099999997</v>
      </c>
      <c r="L41" s="1">
        <v>6101.0000099999997</v>
      </c>
      <c r="M41" s="1" t="s">
        <v>610</v>
      </c>
    </row>
    <row r="42" spans="1:13" x14ac:dyDescent="0.25">
      <c r="A42" s="1">
        <v>2018</v>
      </c>
      <c r="B42" s="1">
        <v>3</v>
      </c>
      <c r="C42" s="1" t="s">
        <v>22</v>
      </c>
      <c r="D42" s="1" t="s">
        <v>602</v>
      </c>
      <c r="E42" s="1" t="s">
        <v>635</v>
      </c>
      <c r="F42" s="1" t="s">
        <v>256</v>
      </c>
      <c r="G42" s="1">
        <v>480</v>
      </c>
      <c r="H42" s="1">
        <v>76800</v>
      </c>
      <c r="I42" s="1">
        <v>15966</v>
      </c>
      <c r="J42" s="1">
        <v>15966</v>
      </c>
      <c r="K42" s="1">
        <v>60834</v>
      </c>
      <c r="L42" s="1">
        <v>60834</v>
      </c>
      <c r="M42" s="1" t="s">
        <v>622</v>
      </c>
    </row>
    <row r="43" spans="1:13" x14ac:dyDescent="0.25">
      <c r="A43" s="1">
        <v>2018</v>
      </c>
      <c r="B43" s="1">
        <v>3</v>
      </c>
      <c r="C43" s="1" t="s">
        <v>22</v>
      </c>
      <c r="D43" s="1" t="s">
        <v>599</v>
      </c>
      <c r="E43" s="1" t="s">
        <v>636</v>
      </c>
      <c r="F43" s="1" t="s">
        <v>278</v>
      </c>
      <c r="G43" s="1">
        <v>16</v>
      </c>
      <c r="H43" s="1">
        <v>20480</v>
      </c>
      <c r="I43" s="1">
        <v>0</v>
      </c>
      <c r="K43" s="1">
        <v>20480</v>
      </c>
      <c r="L43" s="1">
        <v>20480</v>
      </c>
      <c r="M43" s="1" t="s">
        <v>610</v>
      </c>
    </row>
    <row r="44" spans="1:13" x14ac:dyDescent="0.25">
      <c r="A44" s="1">
        <v>2018</v>
      </c>
      <c r="B44" s="1">
        <v>3</v>
      </c>
      <c r="C44" s="1" t="s">
        <v>22</v>
      </c>
      <c r="D44" s="1" t="s">
        <v>599</v>
      </c>
      <c r="E44" s="1" t="s">
        <v>636</v>
      </c>
      <c r="F44" s="1" t="s">
        <v>278</v>
      </c>
      <c r="G44" s="1">
        <v>16</v>
      </c>
      <c r="H44" s="1">
        <v>20480</v>
      </c>
      <c r="I44" s="1">
        <v>2222</v>
      </c>
      <c r="J44" s="1">
        <v>2222</v>
      </c>
      <c r="K44" s="1">
        <v>18258</v>
      </c>
      <c r="L44" s="1">
        <v>18258</v>
      </c>
      <c r="M44" s="1" t="s">
        <v>610</v>
      </c>
    </row>
    <row r="45" spans="1:13" x14ac:dyDescent="0.25">
      <c r="A45" s="1">
        <v>2018</v>
      </c>
      <c r="B45" s="1">
        <v>3</v>
      </c>
      <c r="C45" s="1" t="s">
        <v>22</v>
      </c>
      <c r="D45" s="1" t="s">
        <v>599</v>
      </c>
      <c r="E45" s="1" t="s">
        <v>637</v>
      </c>
      <c r="F45" s="1" t="s">
        <v>255</v>
      </c>
      <c r="G45" s="1">
        <v>30</v>
      </c>
      <c r="H45" s="1">
        <v>5400</v>
      </c>
      <c r="I45" s="1">
        <v>1165.9999800000001</v>
      </c>
      <c r="J45" s="1">
        <v>1165.9999800000001</v>
      </c>
      <c r="K45" s="1">
        <v>4234.0000200000004</v>
      </c>
      <c r="L45" s="1">
        <v>4234.0000200000004</v>
      </c>
      <c r="M45" s="1" t="s">
        <v>610</v>
      </c>
    </row>
    <row r="46" spans="1:13" x14ac:dyDescent="0.25">
      <c r="A46" s="1">
        <v>2018</v>
      </c>
      <c r="B46" s="1">
        <v>4</v>
      </c>
      <c r="C46" s="1" t="s">
        <v>22</v>
      </c>
      <c r="D46" s="1" t="s">
        <v>599</v>
      </c>
      <c r="E46" s="1" t="s">
        <v>638</v>
      </c>
      <c r="F46" s="1" t="s">
        <v>253</v>
      </c>
      <c r="G46" s="1">
        <v>20</v>
      </c>
      <c r="H46" s="1">
        <v>8000</v>
      </c>
      <c r="I46" s="1">
        <v>0</v>
      </c>
      <c r="K46" s="1">
        <v>8000</v>
      </c>
      <c r="L46" s="1">
        <v>8000</v>
      </c>
      <c r="M46" s="1" t="s">
        <v>601</v>
      </c>
    </row>
    <row r="47" spans="1:13" x14ac:dyDescent="0.25">
      <c r="A47" s="1">
        <v>2018</v>
      </c>
      <c r="B47" s="1">
        <v>4</v>
      </c>
      <c r="C47" s="1" t="s">
        <v>22</v>
      </c>
      <c r="D47" s="1" t="s">
        <v>599</v>
      </c>
      <c r="E47" s="1" t="s">
        <v>638</v>
      </c>
      <c r="F47" s="1" t="s">
        <v>253</v>
      </c>
      <c r="G47" s="1">
        <v>20</v>
      </c>
      <c r="H47" s="1">
        <v>8000</v>
      </c>
      <c r="I47" s="1">
        <v>1658.7317</v>
      </c>
      <c r="J47" s="1">
        <v>1658.7317</v>
      </c>
      <c r="K47" s="1">
        <v>6341.2682999999997</v>
      </c>
      <c r="L47" s="1">
        <v>6341.2682999999997</v>
      </c>
      <c r="M47" s="1" t="s">
        <v>601</v>
      </c>
    </row>
    <row r="48" spans="1:13" x14ac:dyDescent="0.25">
      <c r="A48" s="1">
        <v>2018</v>
      </c>
      <c r="B48" s="1">
        <v>4</v>
      </c>
      <c r="C48" s="1" t="s">
        <v>22</v>
      </c>
      <c r="D48" s="1" t="s">
        <v>602</v>
      </c>
      <c r="E48" s="1" t="s">
        <v>639</v>
      </c>
      <c r="F48" s="1" t="s">
        <v>266</v>
      </c>
      <c r="G48" s="1">
        <v>300</v>
      </c>
      <c r="H48" s="1">
        <v>60000</v>
      </c>
      <c r="I48" s="1">
        <v>42000</v>
      </c>
      <c r="J48" s="1">
        <v>42000</v>
      </c>
      <c r="K48" s="1">
        <v>18000</v>
      </c>
      <c r="L48" s="1">
        <v>18000</v>
      </c>
      <c r="M48" s="1" t="s">
        <v>604</v>
      </c>
    </row>
    <row r="49" spans="1:13" x14ac:dyDescent="0.25">
      <c r="A49" s="1">
        <v>2018</v>
      </c>
      <c r="B49" s="1">
        <v>4</v>
      </c>
      <c r="C49" s="1" t="s">
        <v>22</v>
      </c>
      <c r="D49" s="1" t="s">
        <v>602</v>
      </c>
      <c r="E49" s="1" t="s">
        <v>640</v>
      </c>
      <c r="F49" s="1" t="s">
        <v>261</v>
      </c>
      <c r="G49" s="1">
        <v>2500</v>
      </c>
      <c r="H49" s="1">
        <v>312500</v>
      </c>
      <c r="I49" s="1">
        <v>178673</v>
      </c>
      <c r="J49" s="1">
        <v>178673</v>
      </c>
      <c r="K49" s="1">
        <v>133827</v>
      </c>
      <c r="L49" s="1">
        <v>133827</v>
      </c>
      <c r="M49" s="1" t="s">
        <v>604</v>
      </c>
    </row>
    <row r="50" spans="1:13" x14ac:dyDescent="0.25">
      <c r="A50" s="1">
        <v>2018</v>
      </c>
      <c r="B50" s="1">
        <v>4</v>
      </c>
      <c r="C50" s="1" t="s">
        <v>22</v>
      </c>
      <c r="D50" s="1" t="s">
        <v>599</v>
      </c>
      <c r="E50" s="1" t="s">
        <v>641</v>
      </c>
      <c r="F50" s="1" t="s">
        <v>275</v>
      </c>
      <c r="G50" s="1">
        <v>36</v>
      </c>
      <c r="H50" s="1">
        <v>118800</v>
      </c>
      <c r="I50" s="1">
        <v>0</v>
      </c>
      <c r="K50" s="1">
        <v>118800</v>
      </c>
      <c r="L50" s="1">
        <v>118800</v>
      </c>
      <c r="M50" s="1" t="s">
        <v>610</v>
      </c>
    </row>
    <row r="51" spans="1:13" x14ac:dyDescent="0.25">
      <c r="A51" s="1">
        <v>2018</v>
      </c>
      <c r="B51" s="1">
        <v>4</v>
      </c>
      <c r="C51" s="1" t="s">
        <v>22</v>
      </c>
      <c r="D51" s="1" t="s">
        <v>599</v>
      </c>
      <c r="E51" s="1" t="s">
        <v>641</v>
      </c>
      <c r="F51" s="1" t="s">
        <v>275</v>
      </c>
      <c r="G51" s="1">
        <v>36</v>
      </c>
      <c r="H51" s="1">
        <v>118800</v>
      </c>
      <c r="I51" s="1">
        <v>52380</v>
      </c>
      <c r="J51" s="1">
        <v>52380</v>
      </c>
      <c r="K51" s="1">
        <v>66420</v>
      </c>
      <c r="L51" s="1">
        <v>66420</v>
      </c>
      <c r="M51" s="1" t="s">
        <v>610</v>
      </c>
    </row>
    <row r="52" spans="1:13" x14ac:dyDescent="0.25">
      <c r="A52" s="1">
        <v>2018</v>
      </c>
      <c r="B52" s="1">
        <v>4</v>
      </c>
      <c r="C52" s="1" t="s">
        <v>22</v>
      </c>
      <c r="D52" s="1" t="s">
        <v>599</v>
      </c>
      <c r="E52" s="1" t="s">
        <v>642</v>
      </c>
      <c r="F52" s="1" t="s">
        <v>275</v>
      </c>
      <c r="G52" s="1">
        <v>18</v>
      </c>
      <c r="H52" s="1">
        <v>68400</v>
      </c>
      <c r="I52" s="1">
        <v>0</v>
      </c>
      <c r="K52" s="1">
        <v>68400</v>
      </c>
      <c r="L52" s="1">
        <v>68400</v>
      </c>
      <c r="M52" s="1" t="s">
        <v>610</v>
      </c>
    </row>
    <row r="53" spans="1:13" x14ac:dyDescent="0.25">
      <c r="A53" s="1">
        <v>2018</v>
      </c>
      <c r="B53" s="1">
        <v>4</v>
      </c>
      <c r="C53" s="1" t="s">
        <v>22</v>
      </c>
      <c r="D53" s="1" t="s">
        <v>599</v>
      </c>
      <c r="E53" s="1" t="s">
        <v>642</v>
      </c>
      <c r="F53" s="1" t="s">
        <v>275</v>
      </c>
      <c r="G53" s="1">
        <v>18</v>
      </c>
      <c r="H53" s="1">
        <v>68400</v>
      </c>
      <c r="I53" s="1">
        <v>26190</v>
      </c>
      <c r="J53" s="1">
        <v>26190</v>
      </c>
      <c r="K53" s="1">
        <v>42210</v>
      </c>
      <c r="L53" s="1">
        <v>42210</v>
      </c>
      <c r="M53" s="1" t="s">
        <v>610</v>
      </c>
    </row>
    <row r="54" spans="1:13" x14ac:dyDescent="0.25">
      <c r="A54" s="1">
        <v>2018</v>
      </c>
      <c r="B54" s="1">
        <v>4</v>
      </c>
      <c r="C54" s="1" t="s">
        <v>22</v>
      </c>
      <c r="D54" s="1" t="s">
        <v>599</v>
      </c>
      <c r="E54" s="1" t="s">
        <v>643</v>
      </c>
      <c r="F54" s="1" t="s">
        <v>271</v>
      </c>
      <c r="G54" s="1">
        <v>476</v>
      </c>
      <c r="H54" s="1">
        <v>511700</v>
      </c>
      <c r="I54" s="1">
        <v>0</v>
      </c>
      <c r="K54" s="1">
        <v>511700</v>
      </c>
      <c r="L54" s="1">
        <v>511700</v>
      </c>
      <c r="M54" s="1" t="s">
        <v>610</v>
      </c>
    </row>
    <row r="55" spans="1:13" x14ac:dyDescent="0.25">
      <c r="A55" s="1">
        <v>2018</v>
      </c>
      <c r="B55" s="1">
        <v>4</v>
      </c>
      <c r="C55" s="1" t="s">
        <v>22</v>
      </c>
      <c r="D55" s="1" t="s">
        <v>599</v>
      </c>
      <c r="E55" s="1" t="s">
        <v>643</v>
      </c>
      <c r="F55" s="1" t="s">
        <v>271</v>
      </c>
      <c r="G55" s="1">
        <v>476</v>
      </c>
      <c r="H55" s="1">
        <v>511700</v>
      </c>
      <c r="I55" s="1">
        <v>277034.89646000002</v>
      </c>
      <c r="J55" s="1">
        <v>277034.89646000002</v>
      </c>
      <c r="K55" s="1">
        <v>234665.10354000001</v>
      </c>
      <c r="L55" s="1">
        <v>234665.10354000001</v>
      </c>
      <c r="M55" s="1" t="s">
        <v>610</v>
      </c>
    </row>
    <row r="56" spans="1:13" x14ac:dyDescent="0.25">
      <c r="A56" s="1">
        <v>2018</v>
      </c>
      <c r="B56" s="1">
        <v>4</v>
      </c>
      <c r="C56" s="1" t="s">
        <v>22</v>
      </c>
      <c r="D56" s="1" t="s">
        <v>599</v>
      </c>
      <c r="E56" s="1" t="s">
        <v>644</v>
      </c>
      <c r="F56" s="1" t="s">
        <v>279</v>
      </c>
      <c r="G56" s="1">
        <v>16</v>
      </c>
      <c r="H56" s="1">
        <v>14400</v>
      </c>
      <c r="I56" s="1">
        <v>0</v>
      </c>
      <c r="K56" s="1">
        <v>14400</v>
      </c>
      <c r="L56" s="1">
        <v>14400</v>
      </c>
      <c r="M56" s="1" t="s">
        <v>610</v>
      </c>
    </row>
    <row r="57" spans="1:13" x14ac:dyDescent="0.25">
      <c r="A57" s="1">
        <v>2018</v>
      </c>
      <c r="B57" s="1">
        <v>4</v>
      </c>
      <c r="C57" s="1" t="s">
        <v>22</v>
      </c>
      <c r="D57" s="1" t="s">
        <v>599</v>
      </c>
      <c r="E57" s="1" t="s">
        <v>644</v>
      </c>
      <c r="F57" s="1" t="s">
        <v>279</v>
      </c>
      <c r="G57" s="1">
        <v>16</v>
      </c>
      <c r="H57" s="1">
        <v>14400</v>
      </c>
      <c r="I57" s="1">
        <v>5806</v>
      </c>
      <c r="J57" s="1">
        <v>5806</v>
      </c>
      <c r="K57" s="1">
        <v>8594</v>
      </c>
      <c r="L57" s="1">
        <v>8594</v>
      </c>
      <c r="M57" s="1" t="s">
        <v>610</v>
      </c>
    </row>
    <row r="58" spans="1:13" x14ac:dyDescent="0.25">
      <c r="A58" s="1">
        <v>2018</v>
      </c>
      <c r="B58" s="1">
        <v>4</v>
      </c>
      <c r="C58" s="1" t="s">
        <v>22</v>
      </c>
      <c r="D58" s="1" t="s">
        <v>599</v>
      </c>
      <c r="E58" s="1" t="s">
        <v>645</v>
      </c>
      <c r="F58" s="1" t="s">
        <v>280</v>
      </c>
      <c r="G58" s="1">
        <v>15</v>
      </c>
      <c r="H58" s="1">
        <v>12750</v>
      </c>
      <c r="I58" s="1">
        <v>0</v>
      </c>
      <c r="K58" s="1">
        <v>12750</v>
      </c>
      <c r="L58" s="1">
        <v>12750</v>
      </c>
      <c r="M58" s="1" t="s">
        <v>610</v>
      </c>
    </row>
    <row r="59" spans="1:13" x14ac:dyDescent="0.25">
      <c r="A59" s="1">
        <v>2018</v>
      </c>
      <c r="B59" s="1">
        <v>4</v>
      </c>
      <c r="C59" s="1" t="s">
        <v>22</v>
      </c>
      <c r="D59" s="1" t="s">
        <v>599</v>
      </c>
      <c r="E59" s="1" t="s">
        <v>645</v>
      </c>
      <c r="F59" s="1" t="s">
        <v>280</v>
      </c>
      <c r="G59" s="1">
        <v>15</v>
      </c>
      <c r="H59" s="1">
        <v>12750</v>
      </c>
      <c r="I59" s="1">
        <v>6547.9999950000001</v>
      </c>
      <c r="J59" s="1">
        <v>6547.9999950000001</v>
      </c>
      <c r="K59" s="1">
        <v>6202.0000049999999</v>
      </c>
      <c r="L59" s="1">
        <v>6202.0000049999999</v>
      </c>
      <c r="M59" s="1" t="s">
        <v>610</v>
      </c>
    </row>
    <row r="60" spans="1:13" x14ac:dyDescent="0.25">
      <c r="A60" s="1">
        <v>2018</v>
      </c>
      <c r="B60" s="1">
        <v>4</v>
      </c>
      <c r="C60" s="1" t="s">
        <v>22</v>
      </c>
      <c r="D60" s="1" t="s">
        <v>602</v>
      </c>
      <c r="E60" s="1" t="s">
        <v>646</v>
      </c>
      <c r="F60" s="1" t="s">
        <v>255</v>
      </c>
      <c r="G60" s="1">
        <v>60</v>
      </c>
      <c r="H60" s="1">
        <v>9600</v>
      </c>
      <c r="I60" s="1">
        <v>0</v>
      </c>
      <c r="K60" s="1">
        <v>9600</v>
      </c>
      <c r="L60" s="1">
        <v>9600</v>
      </c>
      <c r="M60" s="1" t="s">
        <v>622</v>
      </c>
    </row>
    <row r="61" spans="1:13" x14ac:dyDescent="0.25">
      <c r="A61" s="1">
        <v>2018</v>
      </c>
      <c r="B61" s="1">
        <v>4</v>
      </c>
      <c r="C61" s="1" t="s">
        <v>22</v>
      </c>
      <c r="D61" s="1" t="s">
        <v>602</v>
      </c>
      <c r="E61" s="1" t="s">
        <v>646</v>
      </c>
      <c r="F61" s="1" t="s">
        <v>255</v>
      </c>
      <c r="G61" s="1">
        <v>60</v>
      </c>
      <c r="H61" s="1">
        <v>9600</v>
      </c>
      <c r="I61" s="1">
        <v>2331.9999600000001</v>
      </c>
      <c r="J61" s="1">
        <v>2331.9999600000001</v>
      </c>
      <c r="K61" s="1">
        <v>7268.0000399999999</v>
      </c>
      <c r="L61" s="1">
        <v>7268.0000399999999</v>
      </c>
      <c r="M61" s="1" t="s">
        <v>622</v>
      </c>
    </row>
    <row r="62" spans="1:13" x14ac:dyDescent="0.25">
      <c r="A62" s="1">
        <v>2018</v>
      </c>
      <c r="B62" s="1">
        <v>4</v>
      </c>
      <c r="C62" s="1" t="s">
        <v>22</v>
      </c>
      <c r="D62" s="1" t="s">
        <v>599</v>
      </c>
      <c r="E62" s="1" t="s">
        <v>647</v>
      </c>
      <c r="F62" s="1" t="s">
        <v>274</v>
      </c>
      <c r="G62" s="1">
        <v>34</v>
      </c>
      <c r="H62" s="1">
        <v>74800</v>
      </c>
      <c r="I62" s="1">
        <v>33639.999975999999</v>
      </c>
      <c r="J62" s="1">
        <v>33639.999975999999</v>
      </c>
      <c r="K62" s="1">
        <v>41160.000024000001</v>
      </c>
      <c r="L62" s="1">
        <v>41160.000024000001</v>
      </c>
      <c r="M62" s="1" t="s">
        <v>610</v>
      </c>
    </row>
    <row r="63" spans="1:13" x14ac:dyDescent="0.25">
      <c r="A63" s="1">
        <v>2018</v>
      </c>
      <c r="B63" s="1">
        <v>4</v>
      </c>
      <c r="C63" s="1" t="s">
        <v>22</v>
      </c>
      <c r="D63" s="1" t="s">
        <v>599</v>
      </c>
      <c r="E63" s="1" t="s">
        <v>648</v>
      </c>
      <c r="F63" s="1" t="s">
        <v>289</v>
      </c>
      <c r="G63" s="1">
        <v>17</v>
      </c>
      <c r="H63" s="1">
        <v>42500</v>
      </c>
      <c r="I63" s="1">
        <v>22261.666651</v>
      </c>
      <c r="J63" s="1">
        <v>22261.666651</v>
      </c>
      <c r="K63" s="1">
        <v>20238.333349</v>
      </c>
      <c r="L63" s="1">
        <v>20238.333349</v>
      </c>
      <c r="M63" s="1" t="s">
        <v>610</v>
      </c>
    </row>
    <row r="64" spans="1:13" x14ac:dyDescent="0.25">
      <c r="A64" s="1">
        <v>2018</v>
      </c>
      <c r="B64" s="1">
        <v>4</v>
      </c>
      <c r="C64" s="1" t="s">
        <v>22</v>
      </c>
      <c r="D64" s="1" t="s">
        <v>599</v>
      </c>
      <c r="E64" s="1" t="s">
        <v>649</v>
      </c>
      <c r="F64" s="1" t="s">
        <v>289</v>
      </c>
      <c r="G64" s="1">
        <v>51</v>
      </c>
      <c r="H64" s="1">
        <v>127500</v>
      </c>
      <c r="I64" s="1">
        <v>66784.999953000006</v>
      </c>
      <c r="J64" s="1">
        <v>66784.999953000006</v>
      </c>
      <c r="K64" s="1">
        <v>60715.000047000001</v>
      </c>
      <c r="L64" s="1">
        <v>60715.000047000001</v>
      </c>
      <c r="M64" s="1" t="s">
        <v>610</v>
      </c>
    </row>
    <row r="65" spans="1:13" x14ac:dyDescent="0.25">
      <c r="A65" s="1">
        <v>2018</v>
      </c>
      <c r="B65" s="1">
        <v>4</v>
      </c>
      <c r="C65" s="1" t="s">
        <v>22</v>
      </c>
      <c r="D65" s="1" t="s">
        <v>599</v>
      </c>
      <c r="E65" s="1" t="s">
        <v>650</v>
      </c>
      <c r="F65" s="1" t="s">
        <v>288</v>
      </c>
      <c r="G65" s="1">
        <v>1</v>
      </c>
      <c r="H65" s="1">
        <v>28500</v>
      </c>
      <c r="I65" s="1">
        <v>0</v>
      </c>
      <c r="K65" s="1">
        <v>28500</v>
      </c>
      <c r="L65" s="1">
        <v>28500</v>
      </c>
      <c r="M65" s="1" t="s">
        <v>601</v>
      </c>
    </row>
    <row r="66" spans="1:13" x14ac:dyDescent="0.25">
      <c r="A66" s="1">
        <v>2018</v>
      </c>
      <c r="B66" s="1">
        <v>4</v>
      </c>
      <c r="C66" s="1" t="s">
        <v>22</v>
      </c>
      <c r="D66" s="1" t="s">
        <v>599</v>
      </c>
      <c r="E66" s="1" t="s">
        <v>650</v>
      </c>
      <c r="F66" s="1" t="s">
        <v>288</v>
      </c>
      <c r="G66" s="1">
        <v>1</v>
      </c>
      <c r="H66" s="1">
        <v>28500</v>
      </c>
      <c r="I66" s="1">
        <v>16412</v>
      </c>
      <c r="J66" s="1">
        <v>16412</v>
      </c>
      <c r="K66" s="1">
        <v>12088</v>
      </c>
      <c r="L66" s="1">
        <v>12088</v>
      </c>
      <c r="M66" s="1" t="s">
        <v>601</v>
      </c>
    </row>
    <row r="67" spans="1:13" x14ac:dyDescent="0.25">
      <c r="A67" s="1">
        <v>2018</v>
      </c>
      <c r="B67" s="1">
        <v>4</v>
      </c>
      <c r="C67" s="1" t="s">
        <v>22</v>
      </c>
      <c r="D67" s="1" t="s">
        <v>599</v>
      </c>
      <c r="E67" s="1" t="s">
        <v>651</v>
      </c>
      <c r="F67" s="1" t="s">
        <v>273</v>
      </c>
      <c r="G67" s="1">
        <v>19</v>
      </c>
      <c r="H67" s="1">
        <v>68400</v>
      </c>
      <c r="I67" s="1">
        <v>41467.999985000002</v>
      </c>
      <c r="J67" s="1">
        <v>41467.999985000002</v>
      </c>
      <c r="K67" s="1">
        <v>26932.000015000001</v>
      </c>
      <c r="L67" s="1">
        <v>26932.000015000001</v>
      </c>
      <c r="M67" s="1" t="s">
        <v>610</v>
      </c>
    </row>
    <row r="68" spans="1:13" x14ac:dyDescent="0.25">
      <c r="A68" s="1">
        <v>2018</v>
      </c>
      <c r="B68" s="1">
        <v>4</v>
      </c>
      <c r="C68" s="1" t="s">
        <v>22</v>
      </c>
      <c r="D68" s="1" t="s">
        <v>599</v>
      </c>
      <c r="E68" s="1" t="s">
        <v>652</v>
      </c>
      <c r="F68" s="1" t="s">
        <v>290</v>
      </c>
      <c r="G68" s="1">
        <v>18</v>
      </c>
      <c r="H68" s="1">
        <v>72000</v>
      </c>
      <c r="I68" s="1">
        <v>42246</v>
      </c>
      <c r="J68" s="1">
        <v>42246</v>
      </c>
      <c r="K68" s="1">
        <v>29754</v>
      </c>
      <c r="L68" s="1">
        <v>29754</v>
      </c>
      <c r="M68" s="1" t="s">
        <v>610</v>
      </c>
    </row>
    <row r="69" spans="1:13" x14ac:dyDescent="0.25">
      <c r="A69" s="1">
        <v>2018</v>
      </c>
      <c r="B69" s="1">
        <v>4</v>
      </c>
      <c r="C69" s="1" t="s">
        <v>22</v>
      </c>
      <c r="D69" s="1" t="s">
        <v>602</v>
      </c>
      <c r="E69" s="1" t="s">
        <v>653</v>
      </c>
      <c r="F69" s="1" t="s">
        <v>262</v>
      </c>
      <c r="G69" s="1">
        <v>415.6</v>
      </c>
      <c r="H69" s="1">
        <v>60000</v>
      </c>
      <c r="I69" s="1">
        <v>33663.999807</v>
      </c>
      <c r="J69" s="1">
        <v>33663.999807</v>
      </c>
      <c r="K69" s="1">
        <v>26336.000193</v>
      </c>
      <c r="L69" s="1">
        <v>26336.000193</v>
      </c>
      <c r="M69" s="1" t="s">
        <v>604</v>
      </c>
    </row>
    <row r="70" spans="1:13" x14ac:dyDescent="0.25">
      <c r="A70" s="1">
        <v>2018</v>
      </c>
      <c r="B70" s="1">
        <v>4</v>
      </c>
      <c r="C70" s="1" t="s">
        <v>22</v>
      </c>
      <c r="D70" s="1" t="s">
        <v>599</v>
      </c>
      <c r="E70" s="1" t="s">
        <v>654</v>
      </c>
      <c r="F70" s="1" t="s">
        <v>271</v>
      </c>
      <c r="G70" s="1">
        <v>17</v>
      </c>
      <c r="H70" s="1">
        <v>17442</v>
      </c>
      <c r="I70" s="1">
        <v>0</v>
      </c>
      <c r="K70" s="1">
        <v>17442</v>
      </c>
      <c r="L70" s="1">
        <v>17442</v>
      </c>
      <c r="M70" s="1" t="s">
        <v>610</v>
      </c>
    </row>
    <row r="71" spans="1:13" x14ac:dyDescent="0.25">
      <c r="A71" s="1">
        <v>2018</v>
      </c>
      <c r="B71" s="1">
        <v>4</v>
      </c>
      <c r="C71" s="1" t="s">
        <v>22</v>
      </c>
      <c r="D71" s="1" t="s">
        <v>599</v>
      </c>
      <c r="E71" s="1" t="s">
        <v>654</v>
      </c>
      <c r="F71" s="1" t="s">
        <v>271</v>
      </c>
      <c r="G71" s="1">
        <v>17</v>
      </c>
      <c r="H71" s="1">
        <v>17442</v>
      </c>
      <c r="I71" s="1">
        <v>9894.1034450000006</v>
      </c>
      <c r="J71" s="1">
        <v>9894.1034450000006</v>
      </c>
      <c r="K71" s="1">
        <v>7547.8965550000003</v>
      </c>
      <c r="L71" s="1">
        <v>7547.8965550000003</v>
      </c>
      <c r="M71" s="1" t="s">
        <v>610</v>
      </c>
    </row>
    <row r="72" spans="1:13" x14ac:dyDescent="0.25">
      <c r="A72" s="1">
        <v>2018</v>
      </c>
      <c r="B72" s="1">
        <v>4</v>
      </c>
      <c r="C72" s="1" t="s">
        <v>22</v>
      </c>
      <c r="D72" s="1" t="s">
        <v>602</v>
      </c>
      <c r="E72" s="1" t="s">
        <v>655</v>
      </c>
      <c r="F72" s="1" t="s">
        <v>260</v>
      </c>
      <c r="G72" s="1">
        <v>60</v>
      </c>
      <c r="H72" s="1">
        <v>10500</v>
      </c>
      <c r="I72" s="1">
        <v>6180.75</v>
      </c>
      <c r="J72" s="1">
        <v>6180.75</v>
      </c>
      <c r="K72" s="1">
        <v>4319.25</v>
      </c>
      <c r="L72" s="1">
        <v>4319.25</v>
      </c>
      <c r="M72" s="1" t="s">
        <v>604</v>
      </c>
    </row>
    <row r="73" spans="1:13" x14ac:dyDescent="0.25">
      <c r="A73" s="1">
        <v>2018</v>
      </c>
      <c r="B73" s="1">
        <v>4</v>
      </c>
      <c r="C73" s="1" t="s">
        <v>22</v>
      </c>
      <c r="D73" s="1" t="s">
        <v>599</v>
      </c>
      <c r="E73" s="1" t="s">
        <v>656</v>
      </c>
      <c r="F73" s="1" t="s">
        <v>270</v>
      </c>
      <c r="G73" s="1">
        <v>36</v>
      </c>
      <c r="H73" s="1">
        <v>15300</v>
      </c>
      <c r="I73" s="1">
        <v>0</v>
      </c>
      <c r="K73" s="1">
        <v>15300</v>
      </c>
      <c r="L73" s="1">
        <v>15300</v>
      </c>
      <c r="M73" s="1" t="s">
        <v>601</v>
      </c>
    </row>
    <row r="74" spans="1:13" x14ac:dyDescent="0.25">
      <c r="A74" s="1">
        <v>2018</v>
      </c>
      <c r="B74" s="1">
        <v>4</v>
      </c>
      <c r="C74" s="1" t="s">
        <v>22</v>
      </c>
      <c r="D74" s="1" t="s">
        <v>599</v>
      </c>
      <c r="E74" s="1" t="s">
        <v>656</v>
      </c>
      <c r="F74" s="1" t="s">
        <v>270</v>
      </c>
      <c r="G74" s="1">
        <v>36</v>
      </c>
      <c r="H74" s="1">
        <v>15300</v>
      </c>
      <c r="I74" s="1">
        <v>7281.9999719999996</v>
      </c>
      <c r="J74" s="1">
        <v>7281.9999719999996</v>
      </c>
      <c r="K74" s="1">
        <v>8018.0000280000004</v>
      </c>
      <c r="L74" s="1">
        <v>8018.0000280000004</v>
      </c>
      <c r="M74" s="1" t="s">
        <v>601</v>
      </c>
    </row>
    <row r="75" spans="1:13" x14ac:dyDescent="0.25">
      <c r="A75" s="1">
        <v>2018</v>
      </c>
      <c r="B75" s="1">
        <v>4</v>
      </c>
      <c r="C75" s="1" t="s">
        <v>22</v>
      </c>
      <c r="D75" s="1" t="s">
        <v>602</v>
      </c>
      <c r="E75" s="1" t="s">
        <v>657</v>
      </c>
      <c r="F75" s="1" t="s">
        <v>255</v>
      </c>
      <c r="G75" s="1">
        <v>120</v>
      </c>
      <c r="H75" s="1">
        <v>21000</v>
      </c>
      <c r="I75" s="1">
        <v>0</v>
      </c>
      <c r="K75" s="1">
        <v>21000</v>
      </c>
      <c r="L75" s="1">
        <v>21000</v>
      </c>
      <c r="M75" s="1" t="s">
        <v>622</v>
      </c>
    </row>
    <row r="76" spans="1:13" x14ac:dyDescent="0.25">
      <c r="A76" s="1">
        <v>2018</v>
      </c>
      <c r="B76" s="1">
        <v>4</v>
      </c>
      <c r="C76" s="1" t="s">
        <v>22</v>
      </c>
      <c r="D76" s="1" t="s">
        <v>602</v>
      </c>
      <c r="E76" s="1" t="s">
        <v>657</v>
      </c>
      <c r="F76" s="1" t="s">
        <v>255</v>
      </c>
      <c r="G76" s="1">
        <v>120</v>
      </c>
      <c r="H76" s="1">
        <v>21000</v>
      </c>
      <c r="I76" s="1">
        <v>4663.9999200000002</v>
      </c>
      <c r="J76" s="1">
        <v>4663.9999200000002</v>
      </c>
      <c r="K76" s="1">
        <v>16336.00008</v>
      </c>
      <c r="L76" s="1">
        <v>16336.00008</v>
      </c>
      <c r="M76" s="1" t="s">
        <v>622</v>
      </c>
    </row>
    <row r="77" spans="1:13" x14ac:dyDescent="0.25">
      <c r="A77" s="1">
        <v>2018</v>
      </c>
      <c r="B77" s="1">
        <v>4</v>
      </c>
      <c r="C77" s="1" t="s">
        <v>22</v>
      </c>
      <c r="D77" s="1" t="s">
        <v>602</v>
      </c>
      <c r="E77" s="1" t="s">
        <v>658</v>
      </c>
      <c r="F77" s="1" t="s">
        <v>253</v>
      </c>
      <c r="G77" s="1">
        <v>200</v>
      </c>
      <c r="H77" s="1">
        <v>29000</v>
      </c>
      <c r="I77" s="1">
        <v>0</v>
      </c>
      <c r="K77" s="1">
        <v>29000</v>
      </c>
      <c r="L77" s="1">
        <v>29000</v>
      </c>
      <c r="M77" s="1" t="s">
        <v>622</v>
      </c>
    </row>
    <row r="78" spans="1:13" x14ac:dyDescent="0.25">
      <c r="A78" s="1">
        <v>2018</v>
      </c>
      <c r="B78" s="1">
        <v>4</v>
      </c>
      <c r="C78" s="1" t="s">
        <v>22</v>
      </c>
      <c r="D78" s="1" t="s">
        <v>602</v>
      </c>
      <c r="E78" s="1" t="s">
        <v>658</v>
      </c>
      <c r="F78" s="1" t="s">
        <v>253</v>
      </c>
      <c r="G78" s="1">
        <v>200</v>
      </c>
      <c r="H78" s="1">
        <v>29000</v>
      </c>
      <c r="I78" s="1">
        <v>16587.316999999999</v>
      </c>
      <c r="J78" s="1">
        <v>16587.316999999999</v>
      </c>
      <c r="K78" s="1">
        <v>12412.683000000001</v>
      </c>
      <c r="L78" s="1">
        <v>12412.683000000001</v>
      </c>
      <c r="M78" s="1" t="s">
        <v>622</v>
      </c>
    </row>
    <row r="79" spans="1:13" x14ac:dyDescent="0.25">
      <c r="A79" s="1">
        <v>2018</v>
      </c>
      <c r="B79" s="1">
        <v>4</v>
      </c>
      <c r="C79" s="1" t="s">
        <v>22</v>
      </c>
      <c r="D79" s="1" t="s">
        <v>602</v>
      </c>
      <c r="E79" s="1" t="s">
        <v>659</v>
      </c>
      <c r="F79" s="1" t="s">
        <v>260</v>
      </c>
      <c r="G79" s="1">
        <v>20</v>
      </c>
      <c r="H79" s="1">
        <v>3500</v>
      </c>
      <c r="I79" s="1">
        <v>2060.25</v>
      </c>
      <c r="J79" s="1">
        <v>2060.25</v>
      </c>
      <c r="K79" s="1">
        <v>1439.75</v>
      </c>
      <c r="L79" s="1">
        <v>1439.75</v>
      </c>
      <c r="M79" s="1" t="s">
        <v>604</v>
      </c>
    </row>
    <row r="80" spans="1:13" x14ac:dyDescent="0.25">
      <c r="A80" s="1">
        <v>2018</v>
      </c>
      <c r="B80" s="1">
        <v>4</v>
      </c>
      <c r="C80" s="1" t="s">
        <v>22</v>
      </c>
      <c r="D80" s="1" t="s">
        <v>602</v>
      </c>
      <c r="E80" s="1" t="s">
        <v>660</v>
      </c>
      <c r="F80" s="1" t="s">
        <v>284</v>
      </c>
      <c r="G80" s="1">
        <v>40</v>
      </c>
      <c r="H80" s="1">
        <v>6800</v>
      </c>
      <c r="I80" s="1">
        <v>3850</v>
      </c>
      <c r="J80" s="1">
        <v>3850</v>
      </c>
      <c r="K80" s="1">
        <v>2950</v>
      </c>
      <c r="L80" s="1">
        <v>2950</v>
      </c>
      <c r="M80" s="1" t="s">
        <v>604</v>
      </c>
    </row>
    <row r="81" spans="1:13" x14ac:dyDescent="0.25">
      <c r="A81" s="1">
        <v>2018</v>
      </c>
      <c r="B81" s="1">
        <v>4</v>
      </c>
      <c r="C81" s="1" t="s">
        <v>22</v>
      </c>
      <c r="D81" s="1" t="s">
        <v>602</v>
      </c>
      <c r="E81" s="1" t="s">
        <v>661</v>
      </c>
      <c r="F81" s="1" t="s">
        <v>253</v>
      </c>
      <c r="G81" s="1">
        <v>300</v>
      </c>
      <c r="H81" s="1">
        <v>66900</v>
      </c>
      <c r="I81" s="1">
        <v>0</v>
      </c>
      <c r="K81" s="1">
        <v>66900</v>
      </c>
      <c r="L81" s="1">
        <v>66900</v>
      </c>
      <c r="M81" s="1" t="s">
        <v>622</v>
      </c>
    </row>
    <row r="82" spans="1:13" x14ac:dyDescent="0.25">
      <c r="A82" s="1">
        <v>2018</v>
      </c>
      <c r="B82" s="1">
        <v>4</v>
      </c>
      <c r="C82" s="1" t="s">
        <v>22</v>
      </c>
      <c r="D82" s="1" t="s">
        <v>602</v>
      </c>
      <c r="E82" s="1" t="s">
        <v>661</v>
      </c>
      <c r="F82" s="1" t="s">
        <v>253</v>
      </c>
      <c r="G82" s="1">
        <v>300</v>
      </c>
      <c r="H82" s="1">
        <v>66900</v>
      </c>
      <c r="I82" s="1">
        <v>24880.9755</v>
      </c>
      <c r="J82" s="1">
        <v>24880.9755</v>
      </c>
      <c r="K82" s="1">
        <v>42019.0245</v>
      </c>
      <c r="L82" s="1">
        <v>42019.0245</v>
      </c>
      <c r="M82" s="1" t="s">
        <v>622</v>
      </c>
    </row>
    <row r="83" spans="1:13" x14ac:dyDescent="0.25">
      <c r="A83" s="1">
        <v>2018</v>
      </c>
      <c r="B83" s="1">
        <v>4</v>
      </c>
      <c r="C83" s="1" t="s">
        <v>22</v>
      </c>
      <c r="D83" s="1" t="s">
        <v>599</v>
      </c>
      <c r="E83" s="1" t="s">
        <v>662</v>
      </c>
      <c r="F83" s="1" t="s">
        <v>291</v>
      </c>
      <c r="G83" s="1">
        <v>85</v>
      </c>
      <c r="H83" s="1">
        <v>245650</v>
      </c>
      <c r="I83" s="1">
        <v>103887.99993999999</v>
      </c>
      <c r="J83" s="1">
        <v>103887.99993999999</v>
      </c>
      <c r="K83" s="1">
        <v>141762.00005999999</v>
      </c>
      <c r="L83" s="1">
        <v>141762.00005999999</v>
      </c>
      <c r="M83" s="1" t="s">
        <v>610</v>
      </c>
    </row>
    <row r="84" spans="1:13" x14ac:dyDescent="0.25">
      <c r="A84" s="1">
        <v>2018</v>
      </c>
      <c r="B84" s="1">
        <v>4</v>
      </c>
      <c r="C84" s="1" t="s">
        <v>22</v>
      </c>
      <c r="D84" s="1" t="s">
        <v>599</v>
      </c>
      <c r="E84" s="1" t="s">
        <v>663</v>
      </c>
      <c r="F84" s="1" t="s">
        <v>289</v>
      </c>
      <c r="G84" s="1">
        <v>34</v>
      </c>
      <c r="H84" s="1">
        <v>85000</v>
      </c>
      <c r="I84" s="1">
        <v>44523.333301999999</v>
      </c>
      <c r="J84" s="1">
        <v>44523.333301999999</v>
      </c>
      <c r="K84" s="1">
        <v>40476.666698000001</v>
      </c>
      <c r="L84" s="1">
        <v>40476.666698000001</v>
      </c>
      <c r="M84" s="1" t="s">
        <v>610</v>
      </c>
    </row>
    <row r="85" spans="1:13" x14ac:dyDescent="0.25">
      <c r="A85" s="1">
        <v>2018</v>
      </c>
      <c r="B85" s="1">
        <v>4</v>
      </c>
      <c r="C85" s="1" t="s">
        <v>22</v>
      </c>
      <c r="D85" s="1" t="s">
        <v>602</v>
      </c>
      <c r="E85" s="1" t="s">
        <v>664</v>
      </c>
      <c r="F85" s="1" t="s">
        <v>259</v>
      </c>
      <c r="G85" s="1">
        <v>20</v>
      </c>
      <c r="H85" s="1">
        <v>5000</v>
      </c>
      <c r="I85" s="1">
        <v>2383</v>
      </c>
      <c r="J85" s="1">
        <v>2383</v>
      </c>
      <c r="K85" s="1">
        <v>2617</v>
      </c>
      <c r="L85" s="1">
        <v>2617</v>
      </c>
      <c r="M85" s="1" t="s">
        <v>604</v>
      </c>
    </row>
    <row r="86" spans="1:13" x14ac:dyDescent="0.25">
      <c r="A86" s="1">
        <v>2018</v>
      </c>
      <c r="B86" s="1">
        <v>4</v>
      </c>
      <c r="C86" s="1" t="s">
        <v>22</v>
      </c>
      <c r="D86" s="1" t="s">
        <v>602</v>
      </c>
      <c r="E86" s="1" t="s">
        <v>665</v>
      </c>
      <c r="F86" s="1" t="s">
        <v>287</v>
      </c>
      <c r="G86" s="1">
        <v>175</v>
      </c>
      <c r="H86" s="1">
        <v>21875</v>
      </c>
      <c r="I86" s="1">
        <v>16492</v>
      </c>
      <c r="J86" s="1">
        <v>16492</v>
      </c>
      <c r="K86" s="1">
        <v>5383</v>
      </c>
      <c r="L86" s="1">
        <v>5383</v>
      </c>
      <c r="M86" s="1" t="s">
        <v>604</v>
      </c>
    </row>
    <row r="87" spans="1:13" x14ac:dyDescent="0.25">
      <c r="A87" s="1">
        <v>2018</v>
      </c>
      <c r="B87" s="1">
        <v>4</v>
      </c>
      <c r="C87" s="1" t="s">
        <v>22</v>
      </c>
      <c r="D87" s="1" t="s">
        <v>602</v>
      </c>
      <c r="E87" s="1" t="s">
        <v>666</v>
      </c>
      <c r="F87" s="1" t="s">
        <v>257</v>
      </c>
      <c r="G87" s="1">
        <v>20</v>
      </c>
      <c r="H87" s="1">
        <v>6400</v>
      </c>
      <c r="I87" s="1">
        <v>2597</v>
      </c>
      <c r="J87" s="1">
        <v>2597</v>
      </c>
      <c r="K87" s="1">
        <v>3803</v>
      </c>
      <c r="L87" s="1">
        <v>3803</v>
      </c>
      <c r="M87" s="1" t="s">
        <v>604</v>
      </c>
    </row>
    <row r="88" spans="1:13" x14ac:dyDescent="0.25">
      <c r="A88" s="1">
        <v>2018</v>
      </c>
      <c r="B88" s="1">
        <v>4</v>
      </c>
      <c r="C88" s="1" t="s">
        <v>22</v>
      </c>
      <c r="D88" s="1" t="s">
        <v>602</v>
      </c>
      <c r="E88" s="1" t="s">
        <v>667</v>
      </c>
      <c r="F88" s="1" t="s">
        <v>285</v>
      </c>
      <c r="G88" s="1">
        <v>232.4</v>
      </c>
      <c r="H88" s="1">
        <v>46480</v>
      </c>
      <c r="I88" s="1">
        <v>0</v>
      </c>
      <c r="K88" s="1">
        <v>46480</v>
      </c>
      <c r="L88" s="1">
        <v>46480</v>
      </c>
      <c r="M88" s="1" t="s">
        <v>622</v>
      </c>
    </row>
    <row r="89" spans="1:13" x14ac:dyDescent="0.25">
      <c r="A89" s="1">
        <v>2018</v>
      </c>
      <c r="B89" s="1">
        <v>4</v>
      </c>
      <c r="C89" s="1" t="s">
        <v>22</v>
      </c>
      <c r="D89" s="1" t="s">
        <v>602</v>
      </c>
      <c r="E89" s="1" t="s">
        <v>667</v>
      </c>
      <c r="F89" s="1" t="s">
        <v>285</v>
      </c>
      <c r="G89" s="1">
        <v>232.4</v>
      </c>
      <c r="H89" s="1">
        <v>46480</v>
      </c>
      <c r="I89" s="1">
        <v>12549.999959999999</v>
      </c>
      <c r="J89" s="1">
        <v>12549.999959999999</v>
      </c>
      <c r="K89" s="1">
        <v>33930.000039999999</v>
      </c>
      <c r="L89" s="1">
        <v>33930.000039999999</v>
      </c>
      <c r="M89" s="1" t="s">
        <v>622</v>
      </c>
    </row>
    <row r="90" spans="1:13" x14ac:dyDescent="0.25">
      <c r="A90" s="1">
        <v>2018</v>
      </c>
      <c r="B90" s="1">
        <v>4</v>
      </c>
      <c r="C90" s="1" t="s">
        <v>22</v>
      </c>
      <c r="D90" s="1" t="s">
        <v>602</v>
      </c>
      <c r="E90" s="1" t="s">
        <v>668</v>
      </c>
      <c r="F90" s="1" t="s">
        <v>283</v>
      </c>
      <c r="G90" s="1">
        <v>19.7</v>
      </c>
      <c r="H90" s="1">
        <v>4925</v>
      </c>
      <c r="I90" s="1">
        <v>0</v>
      </c>
      <c r="K90" s="1">
        <v>4925</v>
      </c>
      <c r="L90" s="1">
        <v>4925</v>
      </c>
      <c r="M90" s="1" t="s">
        <v>622</v>
      </c>
    </row>
    <row r="91" spans="1:13" x14ac:dyDescent="0.25">
      <c r="A91" s="1">
        <v>2018</v>
      </c>
      <c r="B91" s="1">
        <v>4</v>
      </c>
      <c r="C91" s="1" t="s">
        <v>22</v>
      </c>
      <c r="D91" s="1" t="s">
        <v>602</v>
      </c>
      <c r="E91" s="1" t="s">
        <v>668</v>
      </c>
      <c r="F91" s="1" t="s">
        <v>283</v>
      </c>
      <c r="G91" s="1">
        <v>19.7</v>
      </c>
      <c r="H91" s="1">
        <v>4925</v>
      </c>
      <c r="I91" s="1">
        <v>1285.999984</v>
      </c>
      <c r="J91" s="1">
        <v>1285.999984</v>
      </c>
      <c r="K91" s="1">
        <v>3639.000016</v>
      </c>
      <c r="L91" s="1">
        <v>3639.000016</v>
      </c>
      <c r="M91" s="1" t="s">
        <v>622</v>
      </c>
    </row>
    <row r="92" spans="1:13" x14ac:dyDescent="0.25">
      <c r="A92" s="1">
        <v>2018</v>
      </c>
      <c r="B92" s="1">
        <v>4</v>
      </c>
      <c r="C92" s="1" t="s">
        <v>22</v>
      </c>
      <c r="D92" s="1" t="s">
        <v>602</v>
      </c>
      <c r="E92" s="1" t="s">
        <v>669</v>
      </c>
      <c r="F92" s="1" t="s">
        <v>255</v>
      </c>
      <c r="G92" s="1">
        <v>120</v>
      </c>
      <c r="H92" s="1">
        <v>21000</v>
      </c>
      <c r="I92" s="1">
        <v>0</v>
      </c>
      <c r="K92" s="1">
        <v>21000</v>
      </c>
      <c r="L92" s="1">
        <v>21000</v>
      </c>
      <c r="M92" s="1" t="s">
        <v>622</v>
      </c>
    </row>
    <row r="93" spans="1:13" x14ac:dyDescent="0.25">
      <c r="A93" s="1">
        <v>2018</v>
      </c>
      <c r="B93" s="1">
        <v>4</v>
      </c>
      <c r="C93" s="1" t="s">
        <v>22</v>
      </c>
      <c r="D93" s="1" t="s">
        <v>602</v>
      </c>
      <c r="E93" s="1" t="s">
        <v>669</v>
      </c>
      <c r="F93" s="1" t="s">
        <v>255</v>
      </c>
      <c r="G93" s="1">
        <v>120</v>
      </c>
      <c r="H93" s="1">
        <v>21000</v>
      </c>
      <c r="I93" s="1">
        <v>4663.9999200000002</v>
      </c>
      <c r="J93" s="1">
        <v>4663.9999200000002</v>
      </c>
      <c r="K93" s="1">
        <v>16336.00008</v>
      </c>
      <c r="L93" s="1">
        <v>16336.00008</v>
      </c>
      <c r="M93" s="1" t="s">
        <v>622</v>
      </c>
    </row>
    <row r="94" spans="1:13" x14ac:dyDescent="0.25">
      <c r="A94" s="1">
        <v>2018</v>
      </c>
      <c r="B94" s="1">
        <v>4</v>
      </c>
      <c r="C94" s="1" t="s">
        <v>22</v>
      </c>
      <c r="D94" s="1" t="s">
        <v>602</v>
      </c>
      <c r="E94" s="1" t="s">
        <v>670</v>
      </c>
      <c r="F94" s="1" t="s">
        <v>253</v>
      </c>
      <c r="G94" s="1">
        <v>300</v>
      </c>
      <c r="H94" s="1">
        <v>43500</v>
      </c>
      <c r="I94" s="1">
        <v>0</v>
      </c>
      <c r="K94" s="1">
        <v>43500</v>
      </c>
      <c r="L94" s="1">
        <v>43500</v>
      </c>
      <c r="M94" s="1" t="s">
        <v>622</v>
      </c>
    </row>
    <row r="95" spans="1:13" x14ac:dyDescent="0.25">
      <c r="A95" s="1">
        <v>2018</v>
      </c>
      <c r="B95" s="1">
        <v>4</v>
      </c>
      <c r="C95" s="1" t="s">
        <v>22</v>
      </c>
      <c r="D95" s="1" t="s">
        <v>602</v>
      </c>
      <c r="E95" s="1" t="s">
        <v>670</v>
      </c>
      <c r="F95" s="1" t="s">
        <v>253</v>
      </c>
      <c r="G95" s="1">
        <v>300</v>
      </c>
      <c r="H95" s="1">
        <v>43500</v>
      </c>
      <c r="I95" s="1">
        <v>24880.9755</v>
      </c>
      <c r="J95" s="1">
        <v>24880.9755</v>
      </c>
      <c r="K95" s="1">
        <v>18619.0245</v>
      </c>
      <c r="L95" s="1">
        <v>18619.0245</v>
      </c>
      <c r="M95" s="1" t="s">
        <v>622</v>
      </c>
    </row>
    <row r="96" spans="1:13" x14ac:dyDescent="0.25">
      <c r="A96" s="1">
        <v>2018</v>
      </c>
      <c r="B96" s="1">
        <v>4</v>
      </c>
      <c r="C96" s="1" t="s">
        <v>22</v>
      </c>
      <c r="D96" s="1" t="s">
        <v>599</v>
      </c>
      <c r="E96" s="1" t="s">
        <v>671</v>
      </c>
      <c r="F96" s="1" t="s">
        <v>286</v>
      </c>
      <c r="G96" s="1">
        <v>108</v>
      </c>
      <c r="H96" s="1">
        <v>247320</v>
      </c>
      <c r="I96" s="1">
        <v>0</v>
      </c>
      <c r="K96" s="1">
        <v>247320</v>
      </c>
      <c r="L96" s="1">
        <v>247320</v>
      </c>
      <c r="M96" s="1" t="s">
        <v>610</v>
      </c>
    </row>
    <row r="97" spans="1:13" x14ac:dyDescent="0.25">
      <c r="A97" s="1">
        <v>2018</v>
      </c>
      <c r="B97" s="1">
        <v>4</v>
      </c>
      <c r="C97" s="1" t="s">
        <v>22</v>
      </c>
      <c r="D97" s="1" t="s">
        <v>599</v>
      </c>
      <c r="E97" s="1" t="s">
        <v>671</v>
      </c>
      <c r="F97" s="1" t="s">
        <v>286</v>
      </c>
      <c r="G97" s="1">
        <v>108</v>
      </c>
      <c r="H97" s="1">
        <v>247320</v>
      </c>
      <c r="I97" s="1">
        <v>220944.999996</v>
      </c>
      <c r="J97" s="1">
        <v>220944.999996</v>
      </c>
      <c r="K97" s="1">
        <v>26375.000004000001</v>
      </c>
      <c r="L97" s="1">
        <v>26375.000004000001</v>
      </c>
      <c r="M97" s="1" t="s">
        <v>610</v>
      </c>
    </row>
    <row r="98" spans="1:13" x14ac:dyDescent="0.25">
      <c r="A98" s="1">
        <v>2018</v>
      </c>
      <c r="B98" s="1">
        <v>5</v>
      </c>
      <c r="C98" s="1" t="s">
        <v>22</v>
      </c>
      <c r="D98" s="1" t="s">
        <v>602</v>
      </c>
      <c r="E98" s="1" t="s">
        <v>672</v>
      </c>
      <c r="F98" s="1" t="s">
        <v>260</v>
      </c>
      <c r="G98" s="1">
        <v>214</v>
      </c>
      <c r="H98" s="1">
        <v>37450</v>
      </c>
      <c r="I98" s="1">
        <v>22044.999852000001</v>
      </c>
      <c r="J98" s="1">
        <v>22044.999852000001</v>
      </c>
      <c r="K98" s="1">
        <v>15405.000147999999</v>
      </c>
      <c r="L98" s="1">
        <v>15405.000147999999</v>
      </c>
      <c r="M98" s="1" t="s">
        <v>604</v>
      </c>
    </row>
    <row r="99" spans="1:13" x14ac:dyDescent="0.25">
      <c r="A99" s="1">
        <v>2018</v>
      </c>
      <c r="B99" s="1">
        <v>5</v>
      </c>
      <c r="C99" s="1" t="s">
        <v>22</v>
      </c>
      <c r="D99" s="1" t="s">
        <v>602</v>
      </c>
      <c r="E99" s="1" t="s">
        <v>673</v>
      </c>
      <c r="F99" s="1" t="s">
        <v>287</v>
      </c>
      <c r="G99" s="1">
        <v>175</v>
      </c>
      <c r="H99" s="1">
        <v>21875</v>
      </c>
      <c r="I99" s="1">
        <v>17306.99985</v>
      </c>
      <c r="J99" s="1">
        <v>17306.99985</v>
      </c>
      <c r="K99" s="1">
        <v>4568.0001499999998</v>
      </c>
      <c r="L99" s="1">
        <v>4568.0001499999998</v>
      </c>
      <c r="M99" s="1" t="s">
        <v>604</v>
      </c>
    </row>
    <row r="100" spans="1:13" x14ac:dyDescent="0.25">
      <c r="A100" s="1">
        <v>2018</v>
      </c>
      <c r="B100" s="1">
        <v>5</v>
      </c>
      <c r="C100" s="1" t="s">
        <v>22</v>
      </c>
      <c r="D100" s="1" t="s">
        <v>602</v>
      </c>
      <c r="E100" s="1" t="s">
        <v>674</v>
      </c>
      <c r="F100" s="1" t="s">
        <v>295</v>
      </c>
      <c r="G100" s="1">
        <v>580.79999999999995</v>
      </c>
      <c r="H100" s="1">
        <v>78408</v>
      </c>
      <c r="I100" s="1">
        <v>62731.999493000003</v>
      </c>
      <c r="J100" s="1">
        <v>62731.999493000003</v>
      </c>
      <c r="K100" s="1">
        <v>15676.000507000001</v>
      </c>
      <c r="L100" s="1">
        <v>15676.000507000001</v>
      </c>
      <c r="M100" s="1" t="s">
        <v>604</v>
      </c>
    </row>
    <row r="101" spans="1:13" x14ac:dyDescent="0.25">
      <c r="A101" s="1">
        <v>2018</v>
      </c>
      <c r="B101" s="1">
        <v>5</v>
      </c>
      <c r="C101" s="1" t="s">
        <v>22</v>
      </c>
      <c r="D101" s="1" t="s">
        <v>602</v>
      </c>
      <c r="E101" s="1" t="s">
        <v>675</v>
      </c>
      <c r="F101" s="1" t="s">
        <v>293</v>
      </c>
      <c r="G101" s="1">
        <v>140</v>
      </c>
      <c r="H101" s="1">
        <v>22834</v>
      </c>
      <c r="I101" s="1">
        <v>28007</v>
      </c>
      <c r="J101" s="1">
        <v>28007</v>
      </c>
      <c r="K101" s="1">
        <v>-5173</v>
      </c>
      <c r="L101" s="1">
        <v>-5173</v>
      </c>
      <c r="M101" s="1" t="s">
        <v>676</v>
      </c>
    </row>
    <row r="102" spans="1:13" x14ac:dyDescent="0.25">
      <c r="A102" s="1">
        <v>2018</v>
      </c>
      <c r="B102" s="1">
        <v>5</v>
      </c>
      <c r="C102" s="1" t="s">
        <v>22</v>
      </c>
      <c r="D102" s="1" t="s">
        <v>602</v>
      </c>
      <c r="E102" s="1" t="s">
        <v>677</v>
      </c>
      <c r="F102" s="1" t="s">
        <v>294</v>
      </c>
      <c r="G102" s="1">
        <v>240</v>
      </c>
      <c r="H102" s="1">
        <v>41280</v>
      </c>
      <c r="I102" s="1">
        <v>0</v>
      </c>
      <c r="K102" s="1">
        <v>41280</v>
      </c>
      <c r="L102" s="1">
        <v>41280</v>
      </c>
      <c r="M102" s="1" t="s">
        <v>676</v>
      </c>
    </row>
    <row r="103" spans="1:13" x14ac:dyDescent="0.25">
      <c r="A103" s="1">
        <v>2018</v>
      </c>
      <c r="B103" s="1">
        <v>5</v>
      </c>
      <c r="C103" s="1" t="s">
        <v>22</v>
      </c>
      <c r="D103" s="1" t="s">
        <v>602</v>
      </c>
      <c r="E103" s="1" t="s">
        <v>677</v>
      </c>
      <c r="F103" s="1" t="s">
        <v>294</v>
      </c>
      <c r="G103" s="1">
        <v>240</v>
      </c>
      <c r="H103" s="1">
        <v>41280</v>
      </c>
      <c r="I103" s="1">
        <v>47099.142720000003</v>
      </c>
      <c r="J103" s="1">
        <v>47099.142720000003</v>
      </c>
      <c r="K103" s="1">
        <v>-5819.1427199999998</v>
      </c>
      <c r="L103" s="1">
        <v>-5819.1427199999998</v>
      </c>
      <c r="M103" s="1" t="s">
        <v>676</v>
      </c>
    </row>
    <row r="104" spans="1:13" x14ac:dyDescent="0.25">
      <c r="A104" s="1">
        <v>2018</v>
      </c>
      <c r="B104" s="1">
        <v>5</v>
      </c>
      <c r="C104" s="1" t="s">
        <v>22</v>
      </c>
      <c r="D104" s="1" t="s">
        <v>602</v>
      </c>
      <c r="E104" s="1" t="s">
        <v>678</v>
      </c>
      <c r="F104" s="1" t="s">
        <v>261</v>
      </c>
      <c r="G104" s="1">
        <v>3000</v>
      </c>
      <c r="H104" s="1">
        <v>375000</v>
      </c>
      <c r="I104" s="1">
        <v>228151.99799999999</v>
      </c>
      <c r="J104" s="1">
        <v>228151.99799999999</v>
      </c>
      <c r="K104" s="1">
        <v>146848.00200000001</v>
      </c>
      <c r="L104" s="1">
        <v>146848.00200000001</v>
      </c>
      <c r="M104" s="1" t="s">
        <v>604</v>
      </c>
    </row>
    <row r="105" spans="1:13" x14ac:dyDescent="0.25">
      <c r="A105" s="1">
        <v>2018</v>
      </c>
      <c r="B105" s="1">
        <v>5</v>
      </c>
      <c r="C105" s="1" t="s">
        <v>22</v>
      </c>
      <c r="D105" s="1" t="s">
        <v>602</v>
      </c>
      <c r="E105" s="1" t="s">
        <v>679</v>
      </c>
      <c r="F105" s="1" t="s">
        <v>266</v>
      </c>
      <c r="G105" s="1">
        <v>240</v>
      </c>
      <c r="H105" s="1">
        <v>48000</v>
      </c>
      <c r="I105" s="1">
        <v>36235.999920000002</v>
      </c>
      <c r="J105" s="1">
        <v>36235.999920000002</v>
      </c>
      <c r="K105" s="1">
        <v>11764.00008</v>
      </c>
      <c r="L105" s="1">
        <v>11764.00008</v>
      </c>
      <c r="M105" s="1" t="s">
        <v>604</v>
      </c>
    </row>
    <row r="106" spans="1:13" x14ac:dyDescent="0.25">
      <c r="A106" s="1">
        <v>2018</v>
      </c>
      <c r="B106" s="1">
        <v>5</v>
      </c>
      <c r="C106" s="1" t="s">
        <v>22</v>
      </c>
      <c r="D106" s="1" t="s">
        <v>602</v>
      </c>
      <c r="E106" s="1" t="s">
        <v>680</v>
      </c>
      <c r="F106" s="1" t="s">
        <v>292</v>
      </c>
      <c r="G106" s="1">
        <v>60</v>
      </c>
      <c r="H106" s="1">
        <v>11400</v>
      </c>
      <c r="I106" s="1">
        <v>0</v>
      </c>
      <c r="K106" s="1">
        <v>11400</v>
      </c>
      <c r="L106" s="1">
        <v>11400</v>
      </c>
      <c r="M106" s="1" t="s">
        <v>604</v>
      </c>
    </row>
    <row r="107" spans="1:13" x14ac:dyDescent="0.25">
      <c r="A107" s="1">
        <v>2018</v>
      </c>
      <c r="B107" s="1">
        <v>5</v>
      </c>
      <c r="C107" s="1" t="s">
        <v>22</v>
      </c>
      <c r="D107" s="1" t="s">
        <v>602</v>
      </c>
      <c r="E107" s="1" t="s">
        <v>680</v>
      </c>
      <c r="F107" s="1" t="s">
        <v>292</v>
      </c>
      <c r="G107" s="1">
        <v>60</v>
      </c>
      <c r="H107" s="1">
        <v>11400</v>
      </c>
      <c r="I107" s="1">
        <v>10794.75</v>
      </c>
      <c r="J107" s="1">
        <v>10794.75</v>
      </c>
      <c r="K107" s="1">
        <v>605.25</v>
      </c>
      <c r="L107" s="1">
        <v>605.25</v>
      </c>
      <c r="M107" s="1" t="s">
        <v>604</v>
      </c>
    </row>
    <row r="108" spans="1:13" x14ac:dyDescent="0.25">
      <c r="A108" s="1">
        <v>2018</v>
      </c>
      <c r="B108" s="1">
        <v>5</v>
      </c>
      <c r="C108" s="1" t="s">
        <v>22</v>
      </c>
      <c r="D108" s="1" t="s">
        <v>602</v>
      </c>
      <c r="E108" s="1" t="s">
        <v>681</v>
      </c>
      <c r="F108" s="1" t="s">
        <v>256</v>
      </c>
      <c r="G108" s="1">
        <v>480</v>
      </c>
      <c r="H108" s="1">
        <v>76800</v>
      </c>
      <c r="I108" s="1">
        <v>14688</v>
      </c>
      <c r="J108" s="1">
        <v>14688</v>
      </c>
      <c r="K108" s="1">
        <v>62112</v>
      </c>
      <c r="L108" s="1">
        <v>62112</v>
      </c>
      <c r="M108" s="1" t="s">
        <v>622</v>
      </c>
    </row>
    <row r="109" spans="1:13" x14ac:dyDescent="0.25">
      <c r="A109" s="1">
        <v>2018</v>
      </c>
      <c r="B109" s="1">
        <v>5</v>
      </c>
      <c r="C109" s="1" t="s">
        <v>22</v>
      </c>
      <c r="D109" s="1" t="s">
        <v>599</v>
      </c>
      <c r="E109" s="1" t="s">
        <v>682</v>
      </c>
      <c r="F109" s="1" t="s">
        <v>300</v>
      </c>
      <c r="G109" s="1">
        <v>17</v>
      </c>
      <c r="H109" s="1">
        <v>27200</v>
      </c>
      <c r="I109" s="1">
        <v>16378.999996</v>
      </c>
      <c r="J109" s="1">
        <v>16378.999996</v>
      </c>
      <c r="K109" s="1">
        <v>10821.000004</v>
      </c>
      <c r="L109" s="1">
        <v>10821.000004</v>
      </c>
      <c r="M109" s="1" t="s">
        <v>610</v>
      </c>
    </row>
    <row r="110" spans="1:13" x14ac:dyDescent="0.25">
      <c r="A110" s="1">
        <v>2018</v>
      </c>
      <c r="B110" s="1">
        <v>5</v>
      </c>
      <c r="C110" s="1" t="s">
        <v>22</v>
      </c>
      <c r="D110" s="1" t="s">
        <v>602</v>
      </c>
      <c r="E110" s="1" t="s">
        <v>683</v>
      </c>
      <c r="F110" s="1" t="s">
        <v>292</v>
      </c>
      <c r="G110" s="1">
        <v>20</v>
      </c>
      <c r="H110" s="1">
        <v>4000</v>
      </c>
      <c r="I110" s="1">
        <v>0</v>
      </c>
      <c r="K110" s="1">
        <v>4000</v>
      </c>
      <c r="L110" s="1">
        <v>4000</v>
      </c>
      <c r="M110" s="1" t="s">
        <v>622</v>
      </c>
    </row>
    <row r="111" spans="1:13" x14ac:dyDescent="0.25">
      <c r="A111" s="1">
        <v>2018</v>
      </c>
      <c r="B111" s="1">
        <v>5</v>
      </c>
      <c r="C111" s="1" t="s">
        <v>22</v>
      </c>
      <c r="D111" s="1" t="s">
        <v>602</v>
      </c>
      <c r="E111" s="1" t="s">
        <v>683</v>
      </c>
      <c r="F111" s="1" t="s">
        <v>292</v>
      </c>
      <c r="G111" s="1">
        <v>20</v>
      </c>
      <c r="H111" s="1">
        <v>4000</v>
      </c>
      <c r="I111" s="1">
        <v>3598.25</v>
      </c>
      <c r="J111" s="1">
        <v>3598.25</v>
      </c>
      <c r="K111" s="1">
        <v>401.75</v>
      </c>
      <c r="L111" s="1">
        <v>401.75</v>
      </c>
      <c r="M111" s="1" t="s">
        <v>622</v>
      </c>
    </row>
    <row r="112" spans="1:13" x14ac:dyDescent="0.25">
      <c r="A112" s="1">
        <v>2018</v>
      </c>
      <c r="B112" s="1">
        <v>5</v>
      </c>
      <c r="C112" s="1" t="s">
        <v>22</v>
      </c>
      <c r="D112" s="1" t="s">
        <v>602</v>
      </c>
      <c r="E112" s="1" t="s">
        <v>684</v>
      </c>
      <c r="F112" s="1" t="s">
        <v>294</v>
      </c>
      <c r="G112" s="1">
        <v>20</v>
      </c>
      <c r="H112" s="1">
        <v>5600</v>
      </c>
      <c r="I112" s="1">
        <v>0</v>
      </c>
      <c r="K112" s="1">
        <v>5600</v>
      </c>
      <c r="L112" s="1">
        <v>5600</v>
      </c>
      <c r="M112" s="1" t="s">
        <v>622</v>
      </c>
    </row>
    <row r="113" spans="1:13" x14ac:dyDescent="0.25">
      <c r="A113" s="1">
        <v>2018</v>
      </c>
      <c r="B113" s="1">
        <v>5</v>
      </c>
      <c r="C113" s="1" t="s">
        <v>22</v>
      </c>
      <c r="D113" s="1" t="s">
        <v>602</v>
      </c>
      <c r="E113" s="1" t="s">
        <v>684</v>
      </c>
      <c r="F113" s="1" t="s">
        <v>294</v>
      </c>
      <c r="G113" s="1">
        <v>20</v>
      </c>
      <c r="H113" s="1">
        <v>5600</v>
      </c>
      <c r="I113" s="1">
        <v>3924.9285599999998</v>
      </c>
      <c r="J113" s="1">
        <v>3924.9285599999998</v>
      </c>
      <c r="K113" s="1">
        <v>1675.0714399999999</v>
      </c>
      <c r="L113" s="1">
        <v>1675.0714399999999</v>
      </c>
      <c r="M113" s="1" t="s">
        <v>622</v>
      </c>
    </row>
    <row r="114" spans="1:13" x14ac:dyDescent="0.25">
      <c r="A114" s="1">
        <v>2018</v>
      </c>
      <c r="B114" s="1">
        <v>5</v>
      </c>
      <c r="C114" s="1" t="s">
        <v>22</v>
      </c>
      <c r="D114" s="1" t="s">
        <v>602</v>
      </c>
      <c r="E114" s="1" t="s">
        <v>685</v>
      </c>
      <c r="F114" s="1" t="s">
        <v>255</v>
      </c>
      <c r="G114" s="1">
        <v>300</v>
      </c>
      <c r="H114" s="1">
        <v>52500</v>
      </c>
      <c r="I114" s="1">
        <v>0</v>
      </c>
      <c r="K114" s="1">
        <v>52500</v>
      </c>
      <c r="L114" s="1">
        <v>52500</v>
      </c>
      <c r="M114" s="1" t="s">
        <v>622</v>
      </c>
    </row>
    <row r="115" spans="1:13" x14ac:dyDescent="0.25">
      <c r="A115" s="1">
        <v>2018</v>
      </c>
      <c r="B115" s="1">
        <v>5</v>
      </c>
      <c r="C115" s="1" t="s">
        <v>22</v>
      </c>
      <c r="D115" s="1" t="s">
        <v>602</v>
      </c>
      <c r="E115" s="1" t="s">
        <v>685</v>
      </c>
      <c r="F115" s="1" t="s">
        <v>255</v>
      </c>
      <c r="G115" s="1">
        <v>300</v>
      </c>
      <c r="H115" s="1">
        <v>52500</v>
      </c>
      <c r="I115" s="1">
        <v>12049.4115</v>
      </c>
      <c r="J115" s="1">
        <v>12049.4115</v>
      </c>
      <c r="K115" s="1">
        <v>40450.588499999998</v>
      </c>
      <c r="L115" s="1">
        <v>40450.588499999998</v>
      </c>
      <c r="M115" s="1" t="s">
        <v>622</v>
      </c>
    </row>
    <row r="116" spans="1:13" x14ac:dyDescent="0.25">
      <c r="A116" s="1">
        <v>2018</v>
      </c>
      <c r="B116" s="1">
        <v>5</v>
      </c>
      <c r="C116" s="1" t="s">
        <v>22</v>
      </c>
      <c r="D116" s="1" t="s">
        <v>599</v>
      </c>
      <c r="E116" s="1" t="s">
        <v>686</v>
      </c>
      <c r="F116" s="1" t="s">
        <v>296</v>
      </c>
      <c r="G116" s="1">
        <v>18</v>
      </c>
      <c r="H116" s="1">
        <v>30240</v>
      </c>
      <c r="I116" s="1">
        <v>0</v>
      </c>
      <c r="K116" s="1">
        <v>30240</v>
      </c>
      <c r="L116" s="1">
        <v>30240</v>
      </c>
      <c r="M116" s="1" t="s">
        <v>610</v>
      </c>
    </row>
    <row r="117" spans="1:13" x14ac:dyDescent="0.25">
      <c r="A117" s="1">
        <v>2018</v>
      </c>
      <c r="B117" s="1">
        <v>5</v>
      </c>
      <c r="C117" s="1" t="s">
        <v>22</v>
      </c>
      <c r="D117" s="1" t="s">
        <v>599</v>
      </c>
      <c r="E117" s="1" t="s">
        <v>686</v>
      </c>
      <c r="F117" s="1" t="s">
        <v>296</v>
      </c>
      <c r="G117" s="1">
        <v>18</v>
      </c>
      <c r="H117" s="1">
        <v>30240</v>
      </c>
      <c r="I117" s="1">
        <v>21281.999994000002</v>
      </c>
      <c r="J117" s="1">
        <v>21281.999994000002</v>
      </c>
      <c r="K117" s="1">
        <v>8958.0000060000002</v>
      </c>
      <c r="L117" s="1">
        <v>8958.0000060000002</v>
      </c>
      <c r="M117" s="1" t="s">
        <v>610</v>
      </c>
    </row>
    <row r="118" spans="1:13" x14ac:dyDescent="0.25">
      <c r="A118" s="1">
        <v>2018</v>
      </c>
      <c r="B118" s="1">
        <v>5</v>
      </c>
      <c r="C118" s="1" t="s">
        <v>22</v>
      </c>
      <c r="D118" s="1" t="s">
        <v>599</v>
      </c>
      <c r="E118" s="1" t="s">
        <v>687</v>
      </c>
      <c r="F118" s="1" t="s">
        <v>299</v>
      </c>
      <c r="G118" s="1">
        <v>17</v>
      </c>
      <c r="H118" s="1">
        <v>30685</v>
      </c>
      <c r="I118" s="1">
        <v>20590.999997999999</v>
      </c>
      <c r="J118" s="1">
        <v>20590.999997999999</v>
      </c>
      <c r="K118" s="1">
        <v>10094.000002000001</v>
      </c>
      <c r="L118" s="1">
        <v>10094.000002000001</v>
      </c>
      <c r="M118" s="1" t="s">
        <v>610</v>
      </c>
    </row>
    <row r="119" spans="1:13" x14ac:dyDescent="0.25">
      <c r="A119" s="1">
        <v>2018</v>
      </c>
      <c r="B119" s="1">
        <v>5</v>
      </c>
      <c r="C119" s="1" t="s">
        <v>22</v>
      </c>
      <c r="D119" s="1" t="s">
        <v>602</v>
      </c>
      <c r="E119" s="1" t="s">
        <v>688</v>
      </c>
      <c r="F119" s="1" t="s">
        <v>265</v>
      </c>
      <c r="G119" s="1">
        <v>36</v>
      </c>
      <c r="H119" s="1">
        <v>15300</v>
      </c>
      <c r="I119" s="1">
        <v>11125.999980000001</v>
      </c>
      <c r="J119" s="1">
        <v>11125.999980000001</v>
      </c>
      <c r="K119" s="1">
        <v>4174.0000200000004</v>
      </c>
      <c r="L119" s="1">
        <v>4174.0000200000004</v>
      </c>
      <c r="M119" s="1" t="s">
        <v>604</v>
      </c>
    </row>
    <row r="120" spans="1:13" x14ac:dyDescent="0.25">
      <c r="A120" s="1">
        <v>2018</v>
      </c>
      <c r="B120" s="1">
        <v>5</v>
      </c>
      <c r="C120" s="1" t="s">
        <v>22</v>
      </c>
      <c r="D120" s="1" t="s">
        <v>599</v>
      </c>
      <c r="E120" s="1" t="s">
        <v>689</v>
      </c>
      <c r="F120" s="1" t="s">
        <v>274</v>
      </c>
      <c r="G120" s="1">
        <v>34</v>
      </c>
      <c r="H120" s="1">
        <v>74800</v>
      </c>
      <c r="I120" s="1">
        <v>35422.999993999998</v>
      </c>
      <c r="J120" s="1">
        <v>35422.999993999998</v>
      </c>
      <c r="K120" s="1">
        <v>39377.000006000002</v>
      </c>
      <c r="L120" s="1">
        <v>39377.000006000002</v>
      </c>
      <c r="M120" s="1" t="s">
        <v>610</v>
      </c>
    </row>
    <row r="121" spans="1:13" x14ac:dyDescent="0.25">
      <c r="A121" s="1">
        <v>2018</v>
      </c>
      <c r="B121" s="1">
        <v>5</v>
      </c>
      <c r="C121" s="1" t="s">
        <v>22</v>
      </c>
      <c r="D121" s="1" t="s">
        <v>602</v>
      </c>
      <c r="E121" s="1" t="s">
        <v>690</v>
      </c>
      <c r="F121" s="1" t="s">
        <v>262</v>
      </c>
      <c r="G121" s="1">
        <v>207.8</v>
      </c>
      <c r="H121" s="1">
        <v>30000</v>
      </c>
      <c r="I121" s="1">
        <v>21359.999930999998</v>
      </c>
      <c r="J121" s="1">
        <v>21359.999930999998</v>
      </c>
      <c r="K121" s="1">
        <v>8640.0000689999997</v>
      </c>
      <c r="L121" s="1">
        <v>8640.0000689999997</v>
      </c>
      <c r="M121" s="1" t="s">
        <v>604</v>
      </c>
    </row>
    <row r="122" spans="1:13" x14ac:dyDescent="0.25">
      <c r="A122" s="1">
        <v>2018</v>
      </c>
      <c r="B122" s="1">
        <v>5</v>
      </c>
      <c r="C122" s="1" t="s">
        <v>22</v>
      </c>
      <c r="D122" s="1" t="s">
        <v>599</v>
      </c>
      <c r="E122" s="1" t="s">
        <v>691</v>
      </c>
      <c r="F122" s="1" t="s">
        <v>275</v>
      </c>
      <c r="G122" s="1">
        <v>18</v>
      </c>
      <c r="H122" s="1">
        <v>68400</v>
      </c>
      <c r="I122" s="1">
        <v>27556.333326</v>
      </c>
      <c r="J122" s="1">
        <v>27556.333326</v>
      </c>
      <c r="K122" s="1">
        <v>40843.666674</v>
      </c>
      <c r="L122" s="1">
        <v>40843.666674</v>
      </c>
      <c r="M122" s="1" t="s">
        <v>610</v>
      </c>
    </row>
    <row r="123" spans="1:13" x14ac:dyDescent="0.25">
      <c r="A123" s="1">
        <v>2018</v>
      </c>
      <c r="B123" s="1">
        <v>5</v>
      </c>
      <c r="C123" s="1" t="s">
        <v>22</v>
      </c>
      <c r="D123" s="1" t="s">
        <v>602</v>
      </c>
      <c r="E123" s="1" t="s">
        <v>692</v>
      </c>
      <c r="F123" s="1" t="s">
        <v>253</v>
      </c>
      <c r="G123" s="1">
        <v>300</v>
      </c>
      <c r="H123" s="1">
        <v>66900</v>
      </c>
      <c r="I123" s="1">
        <v>0</v>
      </c>
      <c r="K123" s="1">
        <v>66900</v>
      </c>
      <c r="L123" s="1">
        <v>66900</v>
      </c>
      <c r="M123" s="1" t="s">
        <v>622</v>
      </c>
    </row>
    <row r="124" spans="1:13" x14ac:dyDescent="0.25">
      <c r="A124" s="1">
        <v>2018</v>
      </c>
      <c r="B124" s="1">
        <v>5</v>
      </c>
      <c r="C124" s="1" t="s">
        <v>22</v>
      </c>
      <c r="D124" s="1" t="s">
        <v>602</v>
      </c>
      <c r="E124" s="1" t="s">
        <v>692</v>
      </c>
      <c r="F124" s="1" t="s">
        <v>253</v>
      </c>
      <c r="G124" s="1">
        <v>300</v>
      </c>
      <c r="H124" s="1">
        <v>66900</v>
      </c>
      <c r="I124" s="1">
        <v>26415.499800000001</v>
      </c>
      <c r="J124" s="1">
        <v>26415.499800000001</v>
      </c>
      <c r="K124" s="1">
        <v>40484.500200000002</v>
      </c>
      <c r="L124" s="1">
        <v>40484.500200000002</v>
      </c>
      <c r="M124" s="1" t="s">
        <v>622</v>
      </c>
    </row>
    <row r="125" spans="1:13" x14ac:dyDescent="0.25">
      <c r="A125" s="1">
        <v>2018</v>
      </c>
      <c r="B125" s="1">
        <v>5</v>
      </c>
      <c r="C125" s="1" t="s">
        <v>22</v>
      </c>
      <c r="D125" s="1" t="s">
        <v>602</v>
      </c>
      <c r="E125" s="1" t="s">
        <v>693</v>
      </c>
      <c r="F125" s="1" t="s">
        <v>255</v>
      </c>
      <c r="G125" s="1">
        <v>60</v>
      </c>
      <c r="H125" s="1">
        <v>9600</v>
      </c>
      <c r="I125" s="1">
        <v>0</v>
      </c>
      <c r="K125" s="1">
        <v>9600</v>
      </c>
      <c r="L125" s="1">
        <v>9600</v>
      </c>
      <c r="M125" s="1" t="s">
        <v>622</v>
      </c>
    </row>
    <row r="126" spans="1:13" x14ac:dyDescent="0.25">
      <c r="A126" s="1">
        <v>2018</v>
      </c>
      <c r="B126" s="1">
        <v>5</v>
      </c>
      <c r="C126" s="1" t="s">
        <v>22</v>
      </c>
      <c r="D126" s="1" t="s">
        <v>602</v>
      </c>
      <c r="E126" s="1" t="s">
        <v>693</v>
      </c>
      <c r="F126" s="1" t="s">
        <v>255</v>
      </c>
      <c r="G126" s="1">
        <v>60</v>
      </c>
      <c r="H126" s="1">
        <v>9600</v>
      </c>
      <c r="I126" s="1">
        <v>2409.8823000000002</v>
      </c>
      <c r="J126" s="1">
        <v>2409.8823000000002</v>
      </c>
      <c r="K126" s="1">
        <v>7190.1176999999998</v>
      </c>
      <c r="L126" s="1">
        <v>7190.1176999999998</v>
      </c>
      <c r="M126" s="1" t="s">
        <v>622</v>
      </c>
    </row>
    <row r="127" spans="1:13" x14ac:dyDescent="0.25">
      <c r="A127" s="1">
        <v>2018</v>
      </c>
      <c r="B127" s="1">
        <v>5</v>
      </c>
      <c r="C127" s="1" t="s">
        <v>22</v>
      </c>
      <c r="D127" s="1" t="s">
        <v>599</v>
      </c>
      <c r="E127" s="1" t="s">
        <v>694</v>
      </c>
      <c r="F127" s="1" t="s">
        <v>271</v>
      </c>
      <c r="G127" s="1">
        <v>34</v>
      </c>
      <c r="H127" s="1">
        <v>34884</v>
      </c>
      <c r="I127" s="1">
        <v>21173.999970000001</v>
      </c>
      <c r="J127" s="1">
        <v>21173.999970000001</v>
      </c>
      <c r="K127" s="1">
        <v>13710.000029999999</v>
      </c>
      <c r="L127" s="1">
        <v>13710.000029999999</v>
      </c>
      <c r="M127" s="1" t="s">
        <v>610</v>
      </c>
    </row>
    <row r="128" spans="1:13" x14ac:dyDescent="0.25">
      <c r="A128" s="1">
        <v>2018</v>
      </c>
      <c r="B128" s="1">
        <v>5</v>
      </c>
      <c r="C128" s="1" t="s">
        <v>22</v>
      </c>
      <c r="D128" s="1" t="s">
        <v>599</v>
      </c>
      <c r="E128" s="1" t="s">
        <v>695</v>
      </c>
      <c r="F128" s="1" t="s">
        <v>268</v>
      </c>
      <c r="G128" s="1">
        <v>52</v>
      </c>
      <c r="H128" s="1">
        <v>54132</v>
      </c>
      <c r="I128" s="1">
        <v>38259</v>
      </c>
      <c r="J128" s="1">
        <v>38259</v>
      </c>
      <c r="K128" s="1">
        <v>15873</v>
      </c>
      <c r="L128" s="1">
        <v>15873</v>
      </c>
      <c r="M128" s="1" t="s">
        <v>610</v>
      </c>
    </row>
    <row r="129" spans="1:13" x14ac:dyDescent="0.25">
      <c r="A129" s="1">
        <v>2018</v>
      </c>
      <c r="B129" s="1">
        <v>5</v>
      </c>
      <c r="C129" s="1" t="s">
        <v>22</v>
      </c>
      <c r="D129" s="1" t="s">
        <v>599</v>
      </c>
      <c r="E129" s="1" t="s">
        <v>696</v>
      </c>
      <c r="F129" s="1" t="s">
        <v>269</v>
      </c>
      <c r="G129" s="1">
        <v>15</v>
      </c>
      <c r="H129" s="1">
        <v>20070</v>
      </c>
      <c r="I129" s="1">
        <v>14164.999995</v>
      </c>
      <c r="J129" s="1">
        <v>14164.999995</v>
      </c>
      <c r="K129" s="1">
        <v>5905.0000049999999</v>
      </c>
      <c r="L129" s="1">
        <v>5905.0000049999999</v>
      </c>
      <c r="M129" s="1" t="s">
        <v>610</v>
      </c>
    </row>
    <row r="130" spans="1:13" x14ac:dyDescent="0.25">
      <c r="A130" s="1">
        <v>2018</v>
      </c>
      <c r="B130" s="1">
        <v>5</v>
      </c>
      <c r="C130" s="1" t="s">
        <v>22</v>
      </c>
      <c r="D130" s="1" t="s">
        <v>599</v>
      </c>
      <c r="E130" s="1" t="s">
        <v>697</v>
      </c>
      <c r="F130" s="1" t="s">
        <v>297</v>
      </c>
      <c r="G130" s="1">
        <v>18</v>
      </c>
      <c r="H130" s="1">
        <v>16956</v>
      </c>
      <c r="I130" s="1">
        <v>12634.799994000001</v>
      </c>
      <c r="J130" s="1">
        <v>12634.799994000001</v>
      </c>
      <c r="K130" s="1">
        <v>4321.200006</v>
      </c>
      <c r="L130" s="1">
        <v>4321.200006</v>
      </c>
      <c r="M130" s="1" t="s">
        <v>610</v>
      </c>
    </row>
    <row r="131" spans="1:13" x14ac:dyDescent="0.25">
      <c r="A131" s="1">
        <v>2018</v>
      </c>
      <c r="B131" s="1">
        <v>5</v>
      </c>
      <c r="C131" s="1" t="s">
        <v>22</v>
      </c>
      <c r="D131" s="1" t="s">
        <v>599</v>
      </c>
      <c r="E131" s="1" t="s">
        <v>698</v>
      </c>
      <c r="F131" s="1" t="s">
        <v>301</v>
      </c>
      <c r="G131" s="1">
        <v>5</v>
      </c>
      <c r="H131" s="1">
        <v>104330</v>
      </c>
      <c r="I131" s="1">
        <v>0</v>
      </c>
      <c r="K131" s="1">
        <v>104330</v>
      </c>
      <c r="L131" s="1">
        <v>104330</v>
      </c>
      <c r="M131" s="1" t="s">
        <v>610</v>
      </c>
    </row>
    <row r="132" spans="1:13" x14ac:dyDescent="0.25">
      <c r="A132" s="1">
        <v>2018</v>
      </c>
      <c r="B132" s="1">
        <v>5</v>
      </c>
      <c r="C132" s="1" t="s">
        <v>22</v>
      </c>
      <c r="D132" s="1" t="s">
        <v>599</v>
      </c>
      <c r="E132" s="1" t="s">
        <v>698</v>
      </c>
      <c r="F132" s="1" t="s">
        <v>301</v>
      </c>
      <c r="G132" s="1">
        <v>5</v>
      </c>
      <c r="H132" s="1">
        <v>104330</v>
      </c>
      <c r="I132" s="1">
        <v>60449</v>
      </c>
      <c r="J132" s="1">
        <v>60449</v>
      </c>
      <c r="K132" s="1">
        <v>43881</v>
      </c>
      <c r="L132" s="1">
        <v>43881</v>
      </c>
      <c r="M132" s="1" t="s">
        <v>610</v>
      </c>
    </row>
    <row r="133" spans="1:13" x14ac:dyDescent="0.25">
      <c r="A133" s="1">
        <v>2018</v>
      </c>
      <c r="B133" s="1">
        <v>5</v>
      </c>
      <c r="C133" s="1" t="s">
        <v>22</v>
      </c>
      <c r="D133" s="1" t="s">
        <v>599</v>
      </c>
      <c r="E133" s="1" t="s">
        <v>699</v>
      </c>
      <c r="F133" s="1" t="s">
        <v>297</v>
      </c>
      <c r="G133" s="1">
        <v>72</v>
      </c>
      <c r="H133" s="1">
        <v>67824</v>
      </c>
      <c r="I133" s="1">
        <v>50539.199976000004</v>
      </c>
      <c r="J133" s="1">
        <v>50539.199976000004</v>
      </c>
      <c r="K133" s="1">
        <v>17284.800024</v>
      </c>
      <c r="L133" s="1">
        <v>17284.800024</v>
      </c>
      <c r="M133" s="1" t="s">
        <v>610</v>
      </c>
    </row>
    <row r="134" spans="1:13" x14ac:dyDescent="0.25">
      <c r="A134" s="1">
        <v>2018</v>
      </c>
      <c r="B134" s="1">
        <v>5</v>
      </c>
      <c r="C134" s="1" t="s">
        <v>22</v>
      </c>
      <c r="D134" s="1" t="s">
        <v>602</v>
      </c>
      <c r="E134" s="1" t="s">
        <v>700</v>
      </c>
      <c r="F134" s="1" t="s">
        <v>257</v>
      </c>
      <c r="G134" s="1">
        <v>20</v>
      </c>
      <c r="H134" s="1">
        <v>6400</v>
      </c>
      <c r="I134" s="1">
        <v>3997</v>
      </c>
      <c r="J134" s="1">
        <v>3997</v>
      </c>
      <c r="K134" s="1">
        <v>2403</v>
      </c>
      <c r="L134" s="1">
        <v>2403</v>
      </c>
      <c r="M134" s="1" t="s">
        <v>604</v>
      </c>
    </row>
    <row r="135" spans="1:13" x14ac:dyDescent="0.25">
      <c r="A135" s="1">
        <v>2018</v>
      </c>
      <c r="B135" s="1">
        <v>5</v>
      </c>
      <c r="C135" s="1" t="s">
        <v>22</v>
      </c>
      <c r="D135" s="1" t="s">
        <v>602</v>
      </c>
      <c r="E135" s="1" t="s">
        <v>701</v>
      </c>
      <c r="F135" s="1" t="s">
        <v>294</v>
      </c>
      <c r="G135" s="1">
        <v>20</v>
      </c>
      <c r="H135" s="1">
        <v>4000</v>
      </c>
      <c r="I135" s="1">
        <v>0</v>
      </c>
      <c r="K135" s="1">
        <v>4000</v>
      </c>
      <c r="L135" s="1">
        <v>4000</v>
      </c>
      <c r="M135" s="1" t="s">
        <v>604</v>
      </c>
    </row>
    <row r="136" spans="1:13" x14ac:dyDescent="0.25">
      <c r="A136" s="1">
        <v>2018</v>
      </c>
      <c r="B136" s="1">
        <v>5</v>
      </c>
      <c r="C136" s="1" t="s">
        <v>22</v>
      </c>
      <c r="D136" s="1" t="s">
        <v>602</v>
      </c>
      <c r="E136" s="1" t="s">
        <v>701</v>
      </c>
      <c r="F136" s="1" t="s">
        <v>294</v>
      </c>
      <c r="G136" s="1">
        <v>20</v>
      </c>
      <c r="H136" s="1">
        <v>4000</v>
      </c>
      <c r="I136" s="1">
        <v>3924.9285599999998</v>
      </c>
      <c r="J136" s="1">
        <v>3924.9285599999998</v>
      </c>
      <c r="K136" s="1">
        <v>75.071439999999996</v>
      </c>
      <c r="L136" s="1">
        <v>75.071439999999996</v>
      </c>
      <c r="M136" s="1" t="s">
        <v>604</v>
      </c>
    </row>
    <row r="137" spans="1:13" x14ac:dyDescent="0.25">
      <c r="A137" s="1">
        <v>2018</v>
      </c>
      <c r="B137" s="1">
        <v>5</v>
      </c>
      <c r="C137" s="1" t="s">
        <v>22</v>
      </c>
      <c r="D137" s="1" t="s">
        <v>602</v>
      </c>
      <c r="E137" s="1" t="s">
        <v>702</v>
      </c>
      <c r="F137" s="1" t="s">
        <v>293</v>
      </c>
      <c r="G137" s="1">
        <v>20</v>
      </c>
      <c r="H137" s="1">
        <v>3600</v>
      </c>
      <c r="I137" s="1">
        <v>4001</v>
      </c>
      <c r="J137" s="1">
        <v>4001</v>
      </c>
      <c r="K137" s="1">
        <v>-401</v>
      </c>
      <c r="L137" s="1">
        <v>-401</v>
      </c>
      <c r="M137" s="1" t="s">
        <v>604</v>
      </c>
    </row>
    <row r="138" spans="1:13" x14ac:dyDescent="0.25">
      <c r="A138" s="1">
        <v>2018</v>
      </c>
      <c r="B138" s="1">
        <v>5</v>
      </c>
      <c r="C138" s="1" t="s">
        <v>22</v>
      </c>
      <c r="D138" s="1" t="s">
        <v>602</v>
      </c>
      <c r="E138" s="1" t="s">
        <v>703</v>
      </c>
      <c r="F138" s="1" t="s">
        <v>255</v>
      </c>
      <c r="G138" s="1">
        <v>150</v>
      </c>
      <c r="H138" s="1">
        <v>26250</v>
      </c>
      <c r="I138" s="1">
        <v>0</v>
      </c>
      <c r="K138" s="1">
        <v>26250</v>
      </c>
      <c r="L138" s="1">
        <v>26250</v>
      </c>
      <c r="M138" s="1" t="s">
        <v>622</v>
      </c>
    </row>
    <row r="139" spans="1:13" x14ac:dyDescent="0.25">
      <c r="A139" s="1">
        <v>2018</v>
      </c>
      <c r="B139" s="1">
        <v>5</v>
      </c>
      <c r="C139" s="1" t="s">
        <v>22</v>
      </c>
      <c r="D139" s="1" t="s">
        <v>602</v>
      </c>
      <c r="E139" s="1" t="s">
        <v>703</v>
      </c>
      <c r="F139" s="1" t="s">
        <v>255</v>
      </c>
      <c r="G139" s="1">
        <v>150</v>
      </c>
      <c r="H139" s="1">
        <v>26250</v>
      </c>
      <c r="I139" s="1">
        <v>6024.7057500000001</v>
      </c>
      <c r="J139" s="1">
        <v>6024.7057500000001</v>
      </c>
      <c r="K139" s="1">
        <v>20225.294249999999</v>
      </c>
      <c r="L139" s="1">
        <v>20225.294249999999</v>
      </c>
      <c r="M139" s="1" t="s">
        <v>622</v>
      </c>
    </row>
    <row r="140" spans="1:13" x14ac:dyDescent="0.25">
      <c r="A140" s="1">
        <v>2018</v>
      </c>
      <c r="B140" s="1">
        <v>5</v>
      </c>
      <c r="C140" s="1" t="s">
        <v>22</v>
      </c>
      <c r="D140" s="1" t="s">
        <v>602</v>
      </c>
      <c r="E140" s="1" t="s">
        <v>704</v>
      </c>
      <c r="F140" s="1" t="s">
        <v>253</v>
      </c>
      <c r="G140" s="1">
        <v>300</v>
      </c>
      <c r="H140" s="1">
        <v>43500</v>
      </c>
      <c r="I140" s="1">
        <v>0</v>
      </c>
      <c r="K140" s="1">
        <v>43500</v>
      </c>
      <c r="L140" s="1">
        <v>43500</v>
      </c>
      <c r="M140" s="1" t="s">
        <v>622</v>
      </c>
    </row>
    <row r="141" spans="1:13" x14ac:dyDescent="0.25">
      <c r="A141" s="1">
        <v>2018</v>
      </c>
      <c r="B141" s="1">
        <v>5</v>
      </c>
      <c r="C141" s="1" t="s">
        <v>22</v>
      </c>
      <c r="D141" s="1" t="s">
        <v>602</v>
      </c>
      <c r="E141" s="1" t="s">
        <v>704</v>
      </c>
      <c r="F141" s="1" t="s">
        <v>253</v>
      </c>
      <c r="G141" s="1">
        <v>300</v>
      </c>
      <c r="H141" s="1">
        <v>43500</v>
      </c>
      <c r="I141" s="1">
        <v>26415.499800000001</v>
      </c>
      <c r="J141" s="1">
        <v>26415.499800000001</v>
      </c>
      <c r="K141" s="1">
        <v>17084.500199999999</v>
      </c>
      <c r="L141" s="1">
        <v>17084.500199999999</v>
      </c>
      <c r="M141" s="1" t="s">
        <v>622</v>
      </c>
    </row>
    <row r="142" spans="1:13" x14ac:dyDescent="0.25">
      <c r="A142" s="1">
        <v>2018</v>
      </c>
      <c r="B142" s="1">
        <v>5</v>
      </c>
      <c r="C142" s="1" t="s">
        <v>22</v>
      </c>
      <c r="D142" s="1" t="s">
        <v>599</v>
      </c>
      <c r="E142" s="1" t="s">
        <v>705</v>
      </c>
      <c r="F142" s="1" t="s">
        <v>298</v>
      </c>
      <c r="G142" s="1">
        <v>18</v>
      </c>
      <c r="H142" s="1">
        <v>27000</v>
      </c>
      <c r="I142" s="1">
        <v>0</v>
      </c>
      <c r="K142" s="1">
        <v>27000</v>
      </c>
      <c r="L142" s="1">
        <v>27000</v>
      </c>
      <c r="M142" s="1" t="s">
        <v>610</v>
      </c>
    </row>
    <row r="143" spans="1:13" x14ac:dyDescent="0.25">
      <c r="A143" s="1">
        <v>2018</v>
      </c>
      <c r="B143" s="1">
        <v>5</v>
      </c>
      <c r="C143" s="1" t="s">
        <v>22</v>
      </c>
      <c r="D143" s="1" t="s">
        <v>599</v>
      </c>
      <c r="E143" s="1" t="s">
        <v>705</v>
      </c>
      <c r="F143" s="1" t="s">
        <v>298</v>
      </c>
      <c r="G143" s="1">
        <v>18</v>
      </c>
      <c r="H143" s="1">
        <v>27000</v>
      </c>
      <c r="I143" s="1">
        <v>17768.999988</v>
      </c>
      <c r="J143" s="1">
        <v>17768.999988</v>
      </c>
      <c r="K143" s="1">
        <v>9231.0000120000004</v>
      </c>
      <c r="L143" s="1">
        <v>9231.0000120000004</v>
      </c>
      <c r="M143" s="1" t="s">
        <v>610</v>
      </c>
    </row>
    <row r="144" spans="1:13" x14ac:dyDescent="0.25">
      <c r="A144" s="1">
        <v>2018</v>
      </c>
      <c r="B144" s="1">
        <v>5</v>
      </c>
      <c r="C144" s="1" t="s">
        <v>22</v>
      </c>
      <c r="D144" s="1" t="s">
        <v>599</v>
      </c>
      <c r="E144" s="1" t="s">
        <v>706</v>
      </c>
      <c r="F144" s="1" t="s">
        <v>279</v>
      </c>
      <c r="G144" s="1">
        <v>16</v>
      </c>
      <c r="H144" s="1">
        <v>14400</v>
      </c>
      <c r="I144" s="1">
        <v>7263</v>
      </c>
      <c r="J144" s="1">
        <v>7263</v>
      </c>
      <c r="K144" s="1">
        <v>7137</v>
      </c>
      <c r="L144" s="1">
        <v>7137</v>
      </c>
      <c r="M144" s="1" t="s">
        <v>610</v>
      </c>
    </row>
    <row r="145" spans="1:13" x14ac:dyDescent="0.25">
      <c r="A145" s="1">
        <v>2018</v>
      </c>
      <c r="B145" s="1">
        <v>5</v>
      </c>
      <c r="C145" s="1" t="s">
        <v>22</v>
      </c>
      <c r="D145" s="1" t="s">
        <v>599</v>
      </c>
      <c r="E145" s="1" t="s">
        <v>707</v>
      </c>
      <c r="F145" s="1" t="s">
        <v>275</v>
      </c>
      <c r="G145" s="1">
        <v>36</v>
      </c>
      <c r="H145" s="1">
        <v>118800</v>
      </c>
      <c r="I145" s="1">
        <v>55112.666652</v>
      </c>
      <c r="J145" s="1">
        <v>55112.666652</v>
      </c>
      <c r="K145" s="1">
        <v>63687.333348</v>
      </c>
      <c r="L145" s="1">
        <v>63687.333348</v>
      </c>
      <c r="M145" s="1" t="s">
        <v>610</v>
      </c>
    </row>
    <row r="146" spans="1:13" x14ac:dyDescent="0.25">
      <c r="A146" s="1">
        <v>2018</v>
      </c>
      <c r="B146" s="1">
        <v>5</v>
      </c>
      <c r="C146" s="1" t="s">
        <v>22</v>
      </c>
      <c r="D146" s="1" t="s">
        <v>599</v>
      </c>
      <c r="E146" s="1" t="s">
        <v>708</v>
      </c>
      <c r="F146" s="1" t="s">
        <v>289</v>
      </c>
      <c r="G146" s="1">
        <v>51</v>
      </c>
      <c r="H146" s="1">
        <v>127500</v>
      </c>
      <c r="I146" s="1">
        <v>70607.999987999996</v>
      </c>
      <c r="J146" s="1">
        <v>70607.999987999996</v>
      </c>
      <c r="K146" s="1">
        <v>56892.000011999997</v>
      </c>
      <c r="L146" s="1">
        <v>56892.000011999997</v>
      </c>
      <c r="M146" s="1" t="s">
        <v>610</v>
      </c>
    </row>
    <row r="147" spans="1:13" x14ac:dyDescent="0.25">
      <c r="A147" s="1">
        <v>2018</v>
      </c>
      <c r="B147" s="1">
        <v>5</v>
      </c>
      <c r="C147" s="1" t="s">
        <v>22</v>
      </c>
      <c r="D147" s="1" t="s">
        <v>599</v>
      </c>
      <c r="E147" s="1" t="s">
        <v>709</v>
      </c>
      <c r="F147" s="1" t="s">
        <v>291</v>
      </c>
      <c r="G147" s="1">
        <v>85</v>
      </c>
      <c r="H147" s="1">
        <v>245650</v>
      </c>
      <c r="I147" s="1">
        <v>110996.99993000001</v>
      </c>
      <c r="J147" s="1">
        <v>110996.99993000001</v>
      </c>
      <c r="K147" s="1">
        <v>134653.00007000001</v>
      </c>
      <c r="L147" s="1">
        <v>134653.00007000001</v>
      </c>
      <c r="M147" s="1" t="s">
        <v>610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6"/>
  <sheetViews>
    <sheetView topLeftCell="A2" workbookViewId="0">
      <selection activeCell="J29" sqref="J28:J29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14" style="1" bestFit="1" customWidth="1"/>
    <col min="7" max="7" width="23.140625" style="1" bestFit="1" customWidth="1"/>
    <col min="8" max="8" width="11.28515625" style="1" bestFit="1" customWidth="1"/>
    <col min="9" max="9" width="16.85546875" style="1" bestFit="1" customWidth="1"/>
    <col min="10" max="10" width="18" style="1" bestFit="1" customWidth="1"/>
    <col min="11" max="11" width="16.42578125" style="1" bestFit="1" customWidth="1"/>
    <col min="12" max="12" width="21.5703125" style="1" bestFit="1" customWidth="1"/>
    <col min="13" max="13" width="16.85546875" style="1" bestFit="1" customWidth="1"/>
    <col min="14" max="14" width="18" style="1" bestFit="1" customWidth="1"/>
    <col min="15" max="15" width="13.85546875" style="1" bestFit="1" customWidth="1"/>
    <col min="16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710</v>
      </c>
      <c r="G1" s="1" t="s">
        <v>711</v>
      </c>
      <c r="H1" s="1" t="s">
        <v>712</v>
      </c>
      <c r="I1" s="1" t="s">
        <v>595</v>
      </c>
      <c r="J1" s="1" t="s">
        <v>713</v>
      </c>
      <c r="K1" s="1" t="s">
        <v>714</v>
      </c>
      <c r="L1" s="1" t="s">
        <v>715</v>
      </c>
      <c r="M1" s="1" t="s">
        <v>594</v>
      </c>
      <c r="N1" s="1" t="s">
        <v>596</v>
      </c>
      <c r="O1" s="1" t="s">
        <v>716</v>
      </c>
    </row>
    <row r="2" spans="1:15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717</v>
      </c>
      <c r="G2" s="1" t="s">
        <v>718</v>
      </c>
      <c r="H2" s="1">
        <v>16000</v>
      </c>
      <c r="I2" s="1">
        <v>7229</v>
      </c>
      <c r="J2" s="1">
        <v>8771</v>
      </c>
      <c r="K2" s="1">
        <v>0</v>
      </c>
      <c r="L2" s="1">
        <v>0</v>
      </c>
      <c r="M2" s="1">
        <v>7229</v>
      </c>
      <c r="N2" s="1">
        <v>8771</v>
      </c>
      <c r="O2" s="1">
        <v>0.54818699999999998</v>
      </c>
    </row>
    <row r="3" spans="1:15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719</v>
      </c>
      <c r="G3" s="1" t="s">
        <v>720</v>
      </c>
      <c r="H3" s="1">
        <v>125000</v>
      </c>
      <c r="I3" s="1">
        <v>71469</v>
      </c>
      <c r="J3" s="1">
        <v>53531</v>
      </c>
      <c r="K3" s="1">
        <v>0</v>
      </c>
      <c r="L3" s="1">
        <v>0</v>
      </c>
      <c r="M3" s="1">
        <v>71469</v>
      </c>
      <c r="N3" s="1">
        <v>53531</v>
      </c>
      <c r="O3" s="1">
        <v>0.42824800000000002</v>
      </c>
    </row>
    <row r="4" spans="1:15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721</v>
      </c>
      <c r="G4" s="1" t="s">
        <v>722</v>
      </c>
      <c r="H4" s="1">
        <v>16200</v>
      </c>
      <c r="I4" s="1">
        <v>13291.999991999999</v>
      </c>
      <c r="J4" s="1">
        <v>2908.000008</v>
      </c>
      <c r="K4" s="1">
        <v>0</v>
      </c>
      <c r="L4" s="1">
        <v>0</v>
      </c>
      <c r="M4" s="1">
        <v>13291.999991999999</v>
      </c>
      <c r="N4" s="1">
        <v>2908.000008</v>
      </c>
      <c r="O4" s="1">
        <v>0.179506</v>
      </c>
    </row>
    <row r="5" spans="1:15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723</v>
      </c>
      <c r="G5" s="1" t="s">
        <v>724</v>
      </c>
      <c r="H5" s="1">
        <v>38250</v>
      </c>
      <c r="I5" s="1">
        <v>27814.999950000001</v>
      </c>
      <c r="J5" s="1">
        <v>10435.000050000001</v>
      </c>
      <c r="K5" s="1">
        <v>0</v>
      </c>
      <c r="L5" s="1">
        <v>0</v>
      </c>
      <c r="M5" s="1">
        <v>27814.999950000001</v>
      </c>
      <c r="N5" s="1">
        <v>10435.000050000001</v>
      </c>
      <c r="O5" s="1">
        <v>0.27281</v>
      </c>
    </row>
    <row r="6" spans="1:15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725</v>
      </c>
      <c r="G6" s="1" t="s">
        <v>726</v>
      </c>
      <c r="H6" s="1">
        <v>52000</v>
      </c>
      <c r="I6" s="1">
        <v>36400</v>
      </c>
      <c r="J6" s="1">
        <v>15600</v>
      </c>
      <c r="K6" s="1">
        <v>0</v>
      </c>
      <c r="L6" s="1">
        <v>0</v>
      </c>
      <c r="M6" s="1">
        <v>36400</v>
      </c>
      <c r="N6" s="1">
        <v>15600</v>
      </c>
      <c r="O6" s="1">
        <v>0.3</v>
      </c>
    </row>
    <row r="7" spans="1:15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727</v>
      </c>
      <c r="G7" s="1" t="s">
        <v>728</v>
      </c>
      <c r="H7" s="1">
        <v>60000</v>
      </c>
      <c r="I7" s="1">
        <v>33663.999807</v>
      </c>
      <c r="J7" s="1">
        <v>26336.000193</v>
      </c>
      <c r="K7" s="1">
        <v>0</v>
      </c>
      <c r="L7" s="1">
        <v>0</v>
      </c>
      <c r="M7" s="1">
        <v>33663.999807</v>
      </c>
      <c r="N7" s="1">
        <v>26336.000193</v>
      </c>
      <c r="O7" s="1">
        <v>0.43893300000000002</v>
      </c>
    </row>
    <row r="8" spans="1:15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729</v>
      </c>
      <c r="G8" s="1" t="s">
        <v>730</v>
      </c>
      <c r="H8" s="1">
        <v>13500</v>
      </c>
      <c r="I8" s="1">
        <v>7261.9999799999996</v>
      </c>
      <c r="J8" s="1">
        <v>6238.0000200000004</v>
      </c>
      <c r="K8" s="1">
        <v>0</v>
      </c>
      <c r="L8" s="1">
        <v>0</v>
      </c>
      <c r="M8" s="1">
        <v>7261.9999799999996</v>
      </c>
      <c r="N8" s="1">
        <v>6238.0000200000004</v>
      </c>
      <c r="O8" s="1">
        <v>0.46207399999999998</v>
      </c>
    </row>
    <row r="9" spans="1:15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731</v>
      </c>
      <c r="G9" s="1" t="s">
        <v>732</v>
      </c>
      <c r="H9" s="1">
        <v>74900</v>
      </c>
      <c r="I9" s="1">
        <v>44090.999940000002</v>
      </c>
      <c r="J9" s="1">
        <v>30809.000059999998</v>
      </c>
      <c r="K9" s="1">
        <v>0</v>
      </c>
      <c r="L9" s="1">
        <v>0</v>
      </c>
      <c r="M9" s="1">
        <v>44090.999940000002</v>
      </c>
      <c r="N9" s="1">
        <v>30809.000059999998</v>
      </c>
      <c r="O9" s="1">
        <v>0.41133500000000001</v>
      </c>
    </row>
    <row r="10" spans="1:15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733</v>
      </c>
      <c r="G10" s="1" t="s">
        <v>734</v>
      </c>
      <c r="H10" s="1">
        <v>312500</v>
      </c>
      <c r="I10" s="1">
        <v>190000</v>
      </c>
      <c r="J10" s="1">
        <v>122500</v>
      </c>
      <c r="K10" s="1">
        <v>0</v>
      </c>
      <c r="L10" s="1">
        <v>0</v>
      </c>
      <c r="M10" s="1">
        <v>190000</v>
      </c>
      <c r="N10" s="1">
        <v>122500</v>
      </c>
      <c r="O10" s="1">
        <v>0.39200000000000002</v>
      </c>
    </row>
    <row r="11" spans="1:15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735</v>
      </c>
      <c r="G11" s="1" t="s">
        <v>736</v>
      </c>
      <c r="H11" s="1">
        <v>76800</v>
      </c>
      <c r="I11" s="1">
        <v>15966</v>
      </c>
      <c r="J11" s="1">
        <v>60834</v>
      </c>
      <c r="K11" s="1">
        <v>0</v>
      </c>
      <c r="L11" s="1">
        <v>0</v>
      </c>
      <c r="M11" s="1">
        <v>15966</v>
      </c>
      <c r="N11" s="1">
        <v>60834</v>
      </c>
      <c r="O11" s="1">
        <v>0.79210899999999995</v>
      </c>
    </row>
    <row r="12" spans="1:15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737</v>
      </c>
      <c r="G12" s="1" t="s">
        <v>738</v>
      </c>
      <c r="H12" s="1">
        <v>39900</v>
      </c>
      <c r="I12" s="1">
        <v>19193.999980000001</v>
      </c>
      <c r="J12" s="1">
        <v>20706.000019999999</v>
      </c>
      <c r="K12" s="1">
        <v>0</v>
      </c>
      <c r="L12" s="1">
        <v>0</v>
      </c>
      <c r="M12" s="1">
        <v>19193.999980000001</v>
      </c>
      <c r="N12" s="1">
        <v>20706.000019999999</v>
      </c>
      <c r="O12" s="1">
        <v>0.51894700000000005</v>
      </c>
    </row>
    <row r="13" spans="1:15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739</v>
      </c>
      <c r="G13" s="1" t="s">
        <v>740</v>
      </c>
      <c r="H13" s="1">
        <v>24600</v>
      </c>
      <c r="I13" s="1">
        <v>9741</v>
      </c>
      <c r="J13" s="1">
        <v>14859</v>
      </c>
      <c r="K13" s="1">
        <v>0</v>
      </c>
      <c r="L13" s="1">
        <v>0</v>
      </c>
      <c r="M13" s="1">
        <v>9741</v>
      </c>
      <c r="N13" s="1">
        <v>14859</v>
      </c>
      <c r="O13" s="1">
        <v>0.60402400000000001</v>
      </c>
    </row>
    <row r="14" spans="1:15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741</v>
      </c>
      <c r="G14" s="1" t="s">
        <v>742</v>
      </c>
      <c r="H14" s="1">
        <v>30600</v>
      </c>
      <c r="I14" s="1">
        <v>14563.999943999999</v>
      </c>
      <c r="J14" s="1">
        <v>16036.000056000001</v>
      </c>
      <c r="K14" s="1">
        <v>0</v>
      </c>
      <c r="L14" s="1">
        <v>0</v>
      </c>
      <c r="M14" s="1">
        <v>14563.999943999999</v>
      </c>
      <c r="N14" s="1">
        <v>16036.000056000001</v>
      </c>
      <c r="O14" s="1">
        <v>0.52405199999999996</v>
      </c>
    </row>
    <row r="15" spans="1:15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743</v>
      </c>
      <c r="G15" s="1" t="s">
        <v>744</v>
      </c>
      <c r="H15" s="1">
        <v>148300</v>
      </c>
      <c r="I15" s="1">
        <v>74867.999983000002</v>
      </c>
      <c r="J15" s="1">
        <v>73432.000016999998</v>
      </c>
      <c r="K15" s="1">
        <v>0</v>
      </c>
      <c r="L15" s="1">
        <v>0</v>
      </c>
      <c r="M15" s="1">
        <v>74867.999983000002</v>
      </c>
      <c r="N15" s="1">
        <v>73432.000016999998</v>
      </c>
      <c r="O15" s="1">
        <v>0.49515799999999999</v>
      </c>
    </row>
    <row r="16" spans="1:15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745</v>
      </c>
      <c r="G16" s="1" t="s">
        <v>746</v>
      </c>
      <c r="H16" s="1">
        <v>350425</v>
      </c>
      <c r="I16" s="1">
        <v>184842.66652699999</v>
      </c>
      <c r="J16" s="1">
        <v>165582.33347300001</v>
      </c>
      <c r="K16" s="1">
        <v>0</v>
      </c>
      <c r="L16" s="1">
        <v>0</v>
      </c>
      <c r="M16" s="1">
        <v>184842.66652699999</v>
      </c>
      <c r="N16" s="1">
        <v>165582.33347300001</v>
      </c>
      <c r="O16" s="1">
        <v>0.47251799999999999</v>
      </c>
    </row>
    <row r="17" spans="1:15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747</v>
      </c>
      <c r="G17" s="1" t="s">
        <v>748</v>
      </c>
      <c r="H17" s="1">
        <v>105800</v>
      </c>
      <c r="I17" s="1">
        <v>45282.333321999999</v>
      </c>
      <c r="J17" s="1">
        <v>60517.666678000001</v>
      </c>
      <c r="K17" s="1">
        <v>0</v>
      </c>
      <c r="L17" s="1">
        <v>0</v>
      </c>
      <c r="M17" s="1">
        <v>45282.333321999999</v>
      </c>
      <c r="N17" s="1">
        <v>60517.666678000001</v>
      </c>
      <c r="O17" s="1">
        <v>0.57199999999999995</v>
      </c>
    </row>
    <row r="18" spans="1:15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749</v>
      </c>
      <c r="G18" s="1" t="s">
        <v>750</v>
      </c>
      <c r="H18" s="1">
        <v>20480</v>
      </c>
      <c r="I18" s="1">
        <v>2222</v>
      </c>
      <c r="J18" s="1">
        <v>18258</v>
      </c>
      <c r="K18" s="1">
        <v>0</v>
      </c>
      <c r="L18" s="1">
        <v>0</v>
      </c>
      <c r="M18" s="1">
        <v>2222</v>
      </c>
      <c r="N18" s="1">
        <v>18258</v>
      </c>
      <c r="O18" s="1">
        <v>0.89150300000000005</v>
      </c>
    </row>
    <row r="19" spans="1:15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751</v>
      </c>
      <c r="G19" s="1" t="s">
        <v>752</v>
      </c>
      <c r="H19" s="1">
        <v>15360</v>
      </c>
      <c r="I19" s="1">
        <v>5248</v>
      </c>
      <c r="J19" s="1">
        <v>10112</v>
      </c>
      <c r="K19" s="1">
        <v>0</v>
      </c>
      <c r="L19" s="1">
        <v>0</v>
      </c>
      <c r="M19" s="1">
        <v>5248</v>
      </c>
      <c r="N19" s="1">
        <v>10112</v>
      </c>
      <c r="O19" s="1">
        <v>0.65833299999999995</v>
      </c>
    </row>
    <row r="20" spans="1:15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23</v>
      </c>
      <c r="F20" s="1" t="s">
        <v>753</v>
      </c>
      <c r="G20" s="1" t="s">
        <v>754</v>
      </c>
      <c r="H20" s="1">
        <v>87276</v>
      </c>
      <c r="I20" s="1">
        <v>58829.999965000003</v>
      </c>
      <c r="J20" s="1">
        <v>28446.000035000001</v>
      </c>
      <c r="K20" s="1">
        <v>0</v>
      </c>
      <c r="L20" s="1">
        <v>0</v>
      </c>
      <c r="M20" s="1">
        <v>58829.999965000003</v>
      </c>
      <c r="N20" s="1">
        <v>28446.000035000001</v>
      </c>
      <c r="O20" s="1">
        <v>0.32593100000000003</v>
      </c>
    </row>
    <row r="21" spans="1:15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23</v>
      </c>
      <c r="F21" s="1" t="s">
        <v>755</v>
      </c>
      <c r="G21" s="1" t="s">
        <v>756</v>
      </c>
      <c r="H21" s="1">
        <v>5400</v>
      </c>
      <c r="I21" s="1">
        <v>1165.9999800000001</v>
      </c>
      <c r="J21" s="1">
        <v>4234.0000200000004</v>
      </c>
      <c r="K21" s="1">
        <v>0</v>
      </c>
      <c r="L21" s="1">
        <v>0</v>
      </c>
      <c r="M21" s="1">
        <v>1165.9999800000001</v>
      </c>
      <c r="N21" s="1">
        <v>4234.0000200000004</v>
      </c>
      <c r="O21" s="1">
        <v>0.78407400000000005</v>
      </c>
    </row>
    <row r="22" spans="1:15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23</v>
      </c>
      <c r="F22" s="1" t="s">
        <v>757</v>
      </c>
      <c r="G22" s="1" t="s">
        <v>757</v>
      </c>
      <c r="H22" s="1">
        <v>64500</v>
      </c>
      <c r="I22" s="1">
        <v>29928.99972</v>
      </c>
      <c r="J22" s="1">
        <v>34571.00028</v>
      </c>
      <c r="K22" s="1">
        <v>0</v>
      </c>
      <c r="L22" s="1">
        <v>0</v>
      </c>
      <c r="M22" s="1">
        <v>29928.99972</v>
      </c>
      <c r="N22" s="1">
        <v>34571.00028</v>
      </c>
      <c r="O22" s="1">
        <v>0.53598400000000002</v>
      </c>
    </row>
    <row r="23" spans="1:15" x14ac:dyDescent="0.25">
      <c r="A23" s="1">
        <v>2018</v>
      </c>
      <c r="B23" s="1">
        <v>4</v>
      </c>
      <c r="C23" s="1" t="s">
        <v>57</v>
      </c>
      <c r="D23" s="1" t="s">
        <v>22</v>
      </c>
      <c r="E23" s="1" t="s">
        <v>23</v>
      </c>
      <c r="F23" s="1" t="s">
        <v>717</v>
      </c>
      <c r="G23" s="1" t="s">
        <v>718</v>
      </c>
      <c r="H23" s="1">
        <v>6400</v>
      </c>
      <c r="I23" s="1">
        <v>2597</v>
      </c>
      <c r="J23" s="1">
        <v>3803</v>
      </c>
      <c r="K23" s="1">
        <v>0</v>
      </c>
      <c r="L23" s="1">
        <v>0</v>
      </c>
      <c r="M23" s="1">
        <v>2597</v>
      </c>
      <c r="N23" s="1">
        <v>3803</v>
      </c>
      <c r="O23" s="1">
        <v>0.59421800000000002</v>
      </c>
    </row>
    <row r="24" spans="1:15" x14ac:dyDescent="0.25">
      <c r="A24" s="1">
        <v>2018</v>
      </c>
      <c r="B24" s="1">
        <v>4</v>
      </c>
      <c r="C24" s="1" t="s">
        <v>57</v>
      </c>
      <c r="D24" s="1" t="s">
        <v>22</v>
      </c>
      <c r="E24" s="1" t="s">
        <v>23</v>
      </c>
      <c r="F24" s="1" t="s">
        <v>758</v>
      </c>
      <c r="G24" s="1" t="s">
        <v>759</v>
      </c>
      <c r="H24" s="1">
        <v>21875</v>
      </c>
      <c r="I24" s="1">
        <v>16492</v>
      </c>
      <c r="J24" s="1">
        <v>5383</v>
      </c>
      <c r="K24" s="1">
        <v>0</v>
      </c>
      <c r="L24" s="1">
        <v>0</v>
      </c>
      <c r="M24" s="1">
        <v>16492</v>
      </c>
      <c r="N24" s="1">
        <v>5383</v>
      </c>
      <c r="O24" s="1">
        <v>0.24607999999999999</v>
      </c>
    </row>
    <row r="25" spans="1:15" x14ac:dyDescent="0.25">
      <c r="A25" s="1">
        <v>2018</v>
      </c>
      <c r="B25" s="1">
        <v>4</v>
      </c>
      <c r="C25" s="1" t="s">
        <v>57</v>
      </c>
      <c r="D25" s="1" t="s">
        <v>22</v>
      </c>
      <c r="E25" s="1" t="s">
        <v>23</v>
      </c>
      <c r="F25" s="1" t="s">
        <v>719</v>
      </c>
      <c r="G25" s="1" t="s">
        <v>720</v>
      </c>
      <c r="H25" s="1">
        <v>312500</v>
      </c>
      <c r="I25" s="1">
        <v>178673</v>
      </c>
      <c r="J25" s="1">
        <v>133827</v>
      </c>
      <c r="K25" s="1">
        <v>0</v>
      </c>
      <c r="L25" s="1">
        <v>0</v>
      </c>
      <c r="M25" s="1">
        <v>178673</v>
      </c>
      <c r="N25" s="1">
        <v>133827</v>
      </c>
      <c r="O25" s="1">
        <v>0.42824600000000002</v>
      </c>
    </row>
    <row r="26" spans="1:15" x14ac:dyDescent="0.25">
      <c r="A26" s="1">
        <v>2018</v>
      </c>
      <c r="B26" s="1">
        <v>4</v>
      </c>
      <c r="C26" s="1" t="s">
        <v>57</v>
      </c>
      <c r="D26" s="1" t="s">
        <v>22</v>
      </c>
      <c r="E26" s="1" t="s">
        <v>23</v>
      </c>
      <c r="F26" s="1" t="s">
        <v>760</v>
      </c>
      <c r="G26" s="1" t="s">
        <v>761</v>
      </c>
      <c r="H26" s="1">
        <v>5000</v>
      </c>
      <c r="I26" s="1">
        <v>2383</v>
      </c>
      <c r="J26" s="1">
        <v>2617</v>
      </c>
      <c r="K26" s="1">
        <v>0</v>
      </c>
      <c r="L26" s="1">
        <v>0</v>
      </c>
      <c r="M26" s="1">
        <v>2383</v>
      </c>
      <c r="N26" s="1">
        <v>2617</v>
      </c>
      <c r="O26" s="1">
        <v>0.52339999999999998</v>
      </c>
    </row>
    <row r="27" spans="1:15" x14ac:dyDescent="0.25">
      <c r="A27" s="1">
        <v>2018</v>
      </c>
      <c r="B27" s="1">
        <v>4</v>
      </c>
      <c r="C27" s="1" t="s">
        <v>57</v>
      </c>
      <c r="D27" s="1" t="s">
        <v>22</v>
      </c>
      <c r="E27" s="1" t="s">
        <v>23</v>
      </c>
      <c r="F27" s="1" t="s">
        <v>762</v>
      </c>
      <c r="G27" s="1" t="s">
        <v>763</v>
      </c>
      <c r="H27" s="1">
        <v>14000</v>
      </c>
      <c r="I27" s="1">
        <v>8241</v>
      </c>
      <c r="J27" s="1">
        <v>5759</v>
      </c>
      <c r="K27" s="1">
        <v>0</v>
      </c>
      <c r="L27" s="1">
        <v>0</v>
      </c>
      <c r="M27" s="1">
        <v>8241</v>
      </c>
      <c r="N27" s="1">
        <v>5759</v>
      </c>
      <c r="O27" s="1">
        <v>0.41135699999999997</v>
      </c>
    </row>
    <row r="28" spans="1:15" x14ac:dyDescent="0.25">
      <c r="A28" s="1">
        <v>2018</v>
      </c>
      <c r="B28" s="1">
        <v>4</v>
      </c>
      <c r="C28" s="1" t="s">
        <v>57</v>
      </c>
      <c r="D28" s="1" t="s">
        <v>22</v>
      </c>
      <c r="E28" s="1" t="s">
        <v>23</v>
      </c>
      <c r="F28" s="1" t="s">
        <v>725</v>
      </c>
      <c r="G28" s="1" t="s">
        <v>726</v>
      </c>
      <c r="H28" s="1">
        <v>66800</v>
      </c>
      <c r="I28" s="1">
        <v>45850</v>
      </c>
      <c r="J28" s="1">
        <v>20950</v>
      </c>
      <c r="K28" s="1">
        <v>0</v>
      </c>
      <c r="L28" s="1">
        <v>0</v>
      </c>
      <c r="M28" s="1">
        <v>45850</v>
      </c>
      <c r="N28" s="1">
        <v>20950</v>
      </c>
      <c r="O28" s="1">
        <v>0.31362200000000001</v>
      </c>
    </row>
    <row r="29" spans="1:15" x14ac:dyDescent="0.25">
      <c r="A29" s="1">
        <v>2018</v>
      </c>
      <c r="B29" s="1">
        <v>4</v>
      </c>
      <c r="C29" s="1" t="s">
        <v>57</v>
      </c>
      <c r="D29" s="1" t="s">
        <v>22</v>
      </c>
      <c r="E29" s="1" t="s">
        <v>23</v>
      </c>
      <c r="F29" s="1" t="s">
        <v>764</v>
      </c>
      <c r="G29" s="1" t="s">
        <v>765</v>
      </c>
      <c r="H29" s="1">
        <v>51405</v>
      </c>
      <c r="I29" s="1">
        <v>13835.999943999999</v>
      </c>
      <c r="J29" s="1">
        <v>37569.000055999997</v>
      </c>
      <c r="K29" s="1">
        <v>0</v>
      </c>
      <c r="L29" s="1">
        <v>0</v>
      </c>
      <c r="M29" s="1">
        <v>13835.999943999999</v>
      </c>
      <c r="N29" s="1">
        <v>37569.000055999997</v>
      </c>
      <c r="O29" s="1">
        <v>0.73084300000000002</v>
      </c>
    </row>
    <row r="30" spans="1:15" x14ac:dyDescent="0.25">
      <c r="A30" s="1">
        <v>2018</v>
      </c>
      <c r="B30" s="1">
        <v>4</v>
      </c>
      <c r="C30" s="1" t="s">
        <v>57</v>
      </c>
      <c r="D30" s="1" t="s">
        <v>22</v>
      </c>
      <c r="E30" s="1" t="s">
        <v>23</v>
      </c>
      <c r="F30" s="1" t="s">
        <v>727</v>
      </c>
      <c r="G30" s="1" t="s">
        <v>728</v>
      </c>
      <c r="H30" s="1">
        <v>60000</v>
      </c>
      <c r="I30" s="1">
        <v>33663.999807</v>
      </c>
      <c r="J30" s="1">
        <v>26336.000193</v>
      </c>
      <c r="K30" s="1">
        <v>0</v>
      </c>
      <c r="L30" s="1">
        <v>0</v>
      </c>
      <c r="M30" s="1">
        <v>33663.999807</v>
      </c>
      <c r="N30" s="1">
        <v>26336.000193</v>
      </c>
      <c r="O30" s="1">
        <v>0.43893300000000002</v>
      </c>
    </row>
    <row r="31" spans="1:15" x14ac:dyDescent="0.25">
      <c r="A31" s="1">
        <v>2018</v>
      </c>
      <c r="B31" s="1">
        <v>4</v>
      </c>
      <c r="C31" s="1" t="s">
        <v>57</v>
      </c>
      <c r="D31" s="1" t="s">
        <v>22</v>
      </c>
      <c r="E31" s="1" t="s">
        <v>23</v>
      </c>
      <c r="F31" s="1" t="s">
        <v>766</v>
      </c>
      <c r="G31" s="1" t="s">
        <v>767</v>
      </c>
      <c r="H31" s="1">
        <v>66900</v>
      </c>
      <c r="I31" s="1">
        <v>24880.9755</v>
      </c>
      <c r="J31" s="1">
        <v>42019.0245</v>
      </c>
      <c r="K31" s="1">
        <v>0</v>
      </c>
      <c r="L31" s="1">
        <v>0</v>
      </c>
      <c r="M31" s="1">
        <v>24880.9755</v>
      </c>
      <c r="N31" s="1">
        <v>42019.0245</v>
      </c>
      <c r="O31" s="1">
        <v>0.62808699999999995</v>
      </c>
    </row>
    <row r="32" spans="1:15" x14ac:dyDescent="0.25">
      <c r="A32" s="1">
        <v>2018</v>
      </c>
      <c r="B32" s="1">
        <v>4</v>
      </c>
      <c r="C32" s="1" t="s">
        <v>57</v>
      </c>
      <c r="D32" s="1" t="s">
        <v>22</v>
      </c>
      <c r="E32" s="1" t="s">
        <v>23</v>
      </c>
      <c r="F32" s="1" t="s">
        <v>768</v>
      </c>
      <c r="G32" s="1" t="s">
        <v>769</v>
      </c>
      <c r="H32" s="1">
        <v>9600</v>
      </c>
      <c r="I32" s="1">
        <v>2331.9999600000001</v>
      </c>
      <c r="J32" s="1">
        <v>7268.0000399999999</v>
      </c>
      <c r="K32" s="1">
        <v>0</v>
      </c>
      <c r="L32" s="1">
        <v>0</v>
      </c>
      <c r="M32" s="1">
        <v>2331.9999600000001</v>
      </c>
      <c r="N32" s="1">
        <v>7268.0000399999999</v>
      </c>
      <c r="O32" s="1">
        <v>0.75708299999999995</v>
      </c>
    </row>
    <row r="33" spans="1:15" x14ac:dyDescent="0.25">
      <c r="A33" s="1">
        <v>2018</v>
      </c>
      <c r="B33" s="1">
        <v>4</v>
      </c>
      <c r="C33" s="1" t="s">
        <v>57</v>
      </c>
      <c r="D33" s="1" t="s">
        <v>22</v>
      </c>
      <c r="E33" s="1" t="s">
        <v>23</v>
      </c>
      <c r="F33" s="1" t="s">
        <v>737</v>
      </c>
      <c r="G33" s="1" t="s">
        <v>738</v>
      </c>
      <c r="H33" s="1">
        <v>27150</v>
      </c>
      <c r="I33" s="1">
        <v>12353.999995</v>
      </c>
      <c r="J33" s="1">
        <v>14796.000005</v>
      </c>
      <c r="K33" s="1">
        <v>0</v>
      </c>
      <c r="L33" s="1">
        <v>0</v>
      </c>
      <c r="M33" s="1">
        <v>12353.999995</v>
      </c>
      <c r="N33" s="1">
        <v>14796.000005</v>
      </c>
      <c r="O33" s="1">
        <v>0.54497200000000001</v>
      </c>
    </row>
    <row r="34" spans="1:15" x14ac:dyDescent="0.25">
      <c r="A34" s="1">
        <v>2018</v>
      </c>
      <c r="B34" s="1">
        <v>4</v>
      </c>
      <c r="C34" s="1" t="s">
        <v>57</v>
      </c>
      <c r="D34" s="1" t="s">
        <v>22</v>
      </c>
      <c r="E34" s="1" t="s">
        <v>23</v>
      </c>
      <c r="F34" s="1" t="s">
        <v>741</v>
      </c>
      <c r="G34" s="1" t="s">
        <v>742</v>
      </c>
      <c r="H34" s="1">
        <v>15300</v>
      </c>
      <c r="I34" s="1">
        <v>7281.9999719999996</v>
      </c>
      <c r="J34" s="1">
        <v>8018.0000280000004</v>
      </c>
      <c r="K34" s="1">
        <v>0</v>
      </c>
      <c r="L34" s="1">
        <v>0</v>
      </c>
      <c r="M34" s="1">
        <v>7281.9999719999996</v>
      </c>
      <c r="N34" s="1">
        <v>8018.0000280000004</v>
      </c>
      <c r="O34" s="1">
        <v>0.52405199999999996</v>
      </c>
    </row>
    <row r="35" spans="1:15" x14ac:dyDescent="0.25">
      <c r="A35" s="1">
        <v>2018</v>
      </c>
      <c r="B35" s="1">
        <v>4</v>
      </c>
      <c r="C35" s="1" t="s">
        <v>57</v>
      </c>
      <c r="D35" s="1" t="s">
        <v>22</v>
      </c>
      <c r="E35" s="1" t="s">
        <v>23</v>
      </c>
      <c r="F35" s="1" t="s">
        <v>743</v>
      </c>
      <c r="G35" s="1" t="s">
        <v>744</v>
      </c>
      <c r="H35" s="1">
        <v>140400</v>
      </c>
      <c r="I35" s="1">
        <v>83713.999985000002</v>
      </c>
      <c r="J35" s="1">
        <v>56686.000014999998</v>
      </c>
      <c r="K35" s="1">
        <v>0</v>
      </c>
      <c r="L35" s="1">
        <v>0</v>
      </c>
      <c r="M35" s="1">
        <v>83713.999985000002</v>
      </c>
      <c r="N35" s="1">
        <v>56686.000014999998</v>
      </c>
      <c r="O35" s="1">
        <v>0.40374599999999999</v>
      </c>
    </row>
    <row r="36" spans="1:15" x14ac:dyDescent="0.25">
      <c r="A36" s="1">
        <v>2018</v>
      </c>
      <c r="B36" s="1">
        <v>4</v>
      </c>
      <c r="C36" s="1" t="s">
        <v>57</v>
      </c>
      <c r="D36" s="1" t="s">
        <v>22</v>
      </c>
      <c r="E36" s="1" t="s">
        <v>23</v>
      </c>
      <c r="F36" s="1" t="s">
        <v>745</v>
      </c>
      <c r="G36" s="1" t="s">
        <v>746</v>
      </c>
      <c r="H36" s="1">
        <v>630500</v>
      </c>
      <c r="I36" s="1">
        <v>329414.89646000002</v>
      </c>
      <c r="J36" s="1">
        <v>301085.10353999998</v>
      </c>
      <c r="K36" s="1">
        <v>0</v>
      </c>
      <c r="L36" s="1">
        <v>0</v>
      </c>
      <c r="M36" s="1">
        <v>329414.89646000002</v>
      </c>
      <c r="N36" s="1">
        <v>301085.10353999998</v>
      </c>
      <c r="O36" s="1">
        <v>0.47753299999999999</v>
      </c>
    </row>
    <row r="37" spans="1:15" x14ac:dyDescent="0.25">
      <c r="A37" s="1">
        <v>2018</v>
      </c>
      <c r="B37" s="1">
        <v>4</v>
      </c>
      <c r="C37" s="1" t="s">
        <v>57</v>
      </c>
      <c r="D37" s="1" t="s">
        <v>22</v>
      </c>
      <c r="E37" s="1" t="s">
        <v>23</v>
      </c>
      <c r="F37" s="1" t="s">
        <v>770</v>
      </c>
      <c r="G37" s="1" t="s">
        <v>771</v>
      </c>
      <c r="H37" s="1">
        <v>17442</v>
      </c>
      <c r="I37" s="1">
        <v>9894.1034450000006</v>
      </c>
      <c r="J37" s="1">
        <v>7547.8965550000003</v>
      </c>
      <c r="K37" s="1">
        <v>0</v>
      </c>
      <c r="L37" s="1">
        <v>0</v>
      </c>
      <c r="M37" s="1">
        <v>9894.1034450000006</v>
      </c>
      <c r="N37" s="1">
        <v>7547.8965550000003</v>
      </c>
      <c r="O37" s="1">
        <v>0.43274200000000002</v>
      </c>
    </row>
    <row r="38" spans="1:15" x14ac:dyDescent="0.25">
      <c r="A38" s="1">
        <v>2018</v>
      </c>
      <c r="B38" s="1">
        <v>4</v>
      </c>
      <c r="C38" s="1" t="s">
        <v>57</v>
      </c>
      <c r="D38" s="1" t="s">
        <v>22</v>
      </c>
      <c r="E38" s="1" t="s">
        <v>23</v>
      </c>
      <c r="F38" s="1" t="s">
        <v>747</v>
      </c>
      <c r="G38" s="1" t="s">
        <v>748</v>
      </c>
      <c r="H38" s="1">
        <v>643850</v>
      </c>
      <c r="I38" s="1">
        <v>297287.99982199998</v>
      </c>
      <c r="J38" s="1">
        <v>346562.00017800002</v>
      </c>
      <c r="K38" s="1">
        <v>0</v>
      </c>
      <c r="L38" s="1">
        <v>0</v>
      </c>
      <c r="M38" s="1">
        <v>297287.99982199998</v>
      </c>
      <c r="N38" s="1">
        <v>346562.00017800002</v>
      </c>
      <c r="O38" s="1">
        <v>0.53826499999999999</v>
      </c>
    </row>
    <row r="39" spans="1:15" x14ac:dyDescent="0.25">
      <c r="A39" s="1">
        <v>2018</v>
      </c>
      <c r="B39" s="1">
        <v>4</v>
      </c>
      <c r="C39" s="1" t="s">
        <v>57</v>
      </c>
      <c r="D39" s="1" t="s">
        <v>22</v>
      </c>
      <c r="E39" s="1" t="s">
        <v>23</v>
      </c>
      <c r="F39" s="1" t="s">
        <v>772</v>
      </c>
      <c r="G39" s="1" t="s">
        <v>773</v>
      </c>
      <c r="H39" s="1">
        <v>28500</v>
      </c>
      <c r="I39" s="1">
        <v>16412</v>
      </c>
      <c r="J39" s="1">
        <v>12088</v>
      </c>
      <c r="K39" s="1">
        <v>0</v>
      </c>
      <c r="L39" s="1">
        <v>0</v>
      </c>
      <c r="M39" s="1">
        <v>16412</v>
      </c>
      <c r="N39" s="1">
        <v>12088</v>
      </c>
      <c r="O39" s="1">
        <v>0.42414000000000002</v>
      </c>
    </row>
    <row r="40" spans="1:15" x14ac:dyDescent="0.25">
      <c r="A40" s="1">
        <v>2018</v>
      </c>
      <c r="B40" s="1">
        <v>4</v>
      </c>
      <c r="C40" s="1" t="s">
        <v>57</v>
      </c>
      <c r="D40" s="1" t="s">
        <v>22</v>
      </c>
      <c r="E40" s="1" t="s">
        <v>23</v>
      </c>
      <c r="F40" s="1" t="s">
        <v>774</v>
      </c>
      <c r="G40" s="1" t="s">
        <v>775</v>
      </c>
      <c r="H40" s="1">
        <v>247320</v>
      </c>
      <c r="I40" s="1">
        <v>220944.999996</v>
      </c>
      <c r="J40" s="1">
        <v>26375.000004000001</v>
      </c>
      <c r="K40" s="1">
        <v>0</v>
      </c>
      <c r="L40" s="1">
        <v>0</v>
      </c>
      <c r="M40" s="1">
        <v>220944.999996</v>
      </c>
      <c r="N40" s="1">
        <v>26375.000004000001</v>
      </c>
      <c r="O40" s="1">
        <v>0.106643</v>
      </c>
    </row>
    <row r="41" spans="1:15" x14ac:dyDescent="0.25">
      <c r="A41" s="1">
        <v>2018</v>
      </c>
      <c r="B41" s="1">
        <v>4</v>
      </c>
      <c r="C41" s="1" t="s">
        <v>57</v>
      </c>
      <c r="D41" s="1" t="s">
        <v>22</v>
      </c>
      <c r="E41" s="1" t="s">
        <v>23</v>
      </c>
      <c r="F41" s="1" t="s">
        <v>776</v>
      </c>
      <c r="G41" s="1" t="s">
        <v>777</v>
      </c>
      <c r="H41" s="1">
        <v>8000</v>
      </c>
      <c r="I41" s="1">
        <v>1658.7317</v>
      </c>
      <c r="J41" s="1">
        <v>6341.2682999999997</v>
      </c>
      <c r="K41" s="1">
        <v>0</v>
      </c>
      <c r="L41" s="1">
        <v>0</v>
      </c>
      <c r="M41" s="1">
        <v>1658.7317</v>
      </c>
      <c r="N41" s="1">
        <v>6341.2682999999997</v>
      </c>
      <c r="O41" s="1">
        <v>0.79265799999999997</v>
      </c>
    </row>
    <row r="42" spans="1:15" x14ac:dyDescent="0.25">
      <c r="A42" s="1">
        <v>2018</v>
      </c>
      <c r="B42" s="1">
        <v>4</v>
      </c>
      <c r="C42" s="1" t="s">
        <v>57</v>
      </c>
      <c r="D42" s="1" t="s">
        <v>22</v>
      </c>
      <c r="E42" s="1" t="s">
        <v>23</v>
      </c>
      <c r="F42" s="1" t="s">
        <v>757</v>
      </c>
      <c r="G42" s="1" t="s">
        <v>757</v>
      </c>
      <c r="H42" s="1">
        <v>114500</v>
      </c>
      <c r="I42" s="1">
        <v>50796.29234</v>
      </c>
      <c r="J42" s="1">
        <v>63703.70766</v>
      </c>
      <c r="K42" s="1">
        <v>0</v>
      </c>
      <c r="L42" s="1">
        <v>0</v>
      </c>
      <c r="M42" s="1">
        <v>50796.29234</v>
      </c>
      <c r="N42" s="1">
        <v>63703.70766</v>
      </c>
      <c r="O42" s="1">
        <v>0.55636399999999997</v>
      </c>
    </row>
    <row r="43" spans="1:15" x14ac:dyDescent="0.25">
      <c r="A43" s="1">
        <v>2018</v>
      </c>
      <c r="B43" s="1">
        <v>5</v>
      </c>
      <c r="C43" s="1" t="s">
        <v>63</v>
      </c>
      <c r="D43" s="1" t="s">
        <v>22</v>
      </c>
      <c r="E43" s="1" t="s">
        <v>23</v>
      </c>
      <c r="F43" s="1" t="s">
        <v>717</v>
      </c>
      <c r="G43" s="1" t="s">
        <v>718</v>
      </c>
      <c r="H43" s="1">
        <v>6400</v>
      </c>
      <c r="I43" s="1">
        <v>3997</v>
      </c>
      <c r="J43" s="1">
        <v>2403</v>
      </c>
      <c r="K43" s="1">
        <v>0</v>
      </c>
      <c r="L43" s="1">
        <v>0</v>
      </c>
      <c r="M43" s="1">
        <v>3997</v>
      </c>
      <c r="N43" s="1">
        <v>2403</v>
      </c>
      <c r="O43" s="1">
        <v>0.37546800000000002</v>
      </c>
    </row>
    <row r="44" spans="1:15" x14ac:dyDescent="0.25">
      <c r="A44" s="1">
        <v>2018</v>
      </c>
      <c r="B44" s="1">
        <v>5</v>
      </c>
      <c r="C44" s="1" t="s">
        <v>63</v>
      </c>
      <c r="D44" s="1" t="s">
        <v>22</v>
      </c>
      <c r="E44" s="1" t="s">
        <v>23</v>
      </c>
      <c r="F44" s="1" t="s">
        <v>758</v>
      </c>
      <c r="G44" s="1" t="s">
        <v>759</v>
      </c>
      <c r="H44" s="1">
        <v>21875</v>
      </c>
      <c r="I44" s="1">
        <v>17306.99985</v>
      </c>
      <c r="J44" s="1">
        <v>4568.0001499999998</v>
      </c>
      <c r="K44" s="1">
        <v>0</v>
      </c>
      <c r="L44" s="1">
        <v>0</v>
      </c>
      <c r="M44" s="1">
        <v>17306.99985</v>
      </c>
      <c r="N44" s="1">
        <v>4568.0001499999998</v>
      </c>
      <c r="O44" s="1">
        <v>0.20882200000000001</v>
      </c>
    </row>
    <row r="45" spans="1:15" x14ac:dyDescent="0.25">
      <c r="A45" s="1">
        <v>2018</v>
      </c>
      <c r="B45" s="1">
        <v>5</v>
      </c>
      <c r="C45" s="1" t="s">
        <v>63</v>
      </c>
      <c r="D45" s="1" t="s">
        <v>22</v>
      </c>
      <c r="E45" s="1" t="s">
        <v>23</v>
      </c>
      <c r="F45" s="1" t="s">
        <v>719</v>
      </c>
      <c r="G45" s="1" t="s">
        <v>720</v>
      </c>
      <c r="H45" s="1">
        <v>375000</v>
      </c>
      <c r="I45" s="1">
        <v>228151.99799999999</v>
      </c>
      <c r="J45" s="1">
        <v>146848.00200000001</v>
      </c>
      <c r="K45" s="1">
        <v>0</v>
      </c>
      <c r="L45" s="1">
        <v>0</v>
      </c>
      <c r="M45" s="1">
        <v>228151.99799999999</v>
      </c>
      <c r="N45" s="1">
        <v>146848.00200000001</v>
      </c>
      <c r="O45" s="1">
        <v>0.391594</v>
      </c>
    </row>
    <row r="46" spans="1:15" x14ac:dyDescent="0.25">
      <c r="A46" s="1">
        <v>2018</v>
      </c>
      <c r="B46" s="1">
        <v>5</v>
      </c>
      <c r="C46" s="1" t="s">
        <v>63</v>
      </c>
      <c r="D46" s="1" t="s">
        <v>22</v>
      </c>
      <c r="E46" s="1" t="s">
        <v>23</v>
      </c>
      <c r="F46" s="1" t="s">
        <v>723</v>
      </c>
      <c r="G46" s="1" t="s">
        <v>724</v>
      </c>
      <c r="H46" s="1">
        <v>15300</v>
      </c>
      <c r="I46" s="1">
        <v>11125.999980000001</v>
      </c>
      <c r="J46" s="1">
        <v>4174.0000200000004</v>
      </c>
      <c r="K46" s="1">
        <v>0</v>
      </c>
      <c r="L46" s="1">
        <v>0</v>
      </c>
      <c r="M46" s="1">
        <v>11125.999980000001</v>
      </c>
      <c r="N46" s="1">
        <v>4174.0000200000004</v>
      </c>
      <c r="O46" s="1">
        <v>0.27281</v>
      </c>
    </row>
    <row r="47" spans="1:15" x14ac:dyDescent="0.25">
      <c r="A47" s="1">
        <v>2018</v>
      </c>
      <c r="B47" s="1">
        <v>5</v>
      </c>
      <c r="C47" s="1" t="s">
        <v>63</v>
      </c>
      <c r="D47" s="1" t="s">
        <v>22</v>
      </c>
      <c r="E47" s="1" t="s">
        <v>23</v>
      </c>
      <c r="F47" s="1" t="s">
        <v>778</v>
      </c>
      <c r="G47" s="1" t="s">
        <v>779</v>
      </c>
      <c r="H47" s="1">
        <v>78408</v>
      </c>
      <c r="I47" s="1">
        <v>62731.999493000003</v>
      </c>
      <c r="J47" s="1">
        <v>15676.000507000001</v>
      </c>
      <c r="K47" s="1">
        <v>0</v>
      </c>
      <c r="L47" s="1">
        <v>0</v>
      </c>
      <c r="M47" s="1">
        <v>62731.999493000003</v>
      </c>
      <c r="N47" s="1">
        <v>15676.000507000001</v>
      </c>
      <c r="O47" s="1">
        <v>0.19992799999999999</v>
      </c>
    </row>
    <row r="48" spans="1:15" x14ac:dyDescent="0.25">
      <c r="A48" s="1">
        <v>2018</v>
      </c>
      <c r="B48" s="1">
        <v>5</v>
      </c>
      <c r="C48" s="1" t="s">
        <v>63</v>
      </c>
      <c r="D48" s="1" t="s">
        <v>22</v>
      </c>
      <c r="E48" s="1" t="s">
        <v>23</v>
      </c>
      <c r="F48" s="1" t="s">
        <v>780</v>
      </c>
      <c r="G48" s="1" t="s">
        <v>781</v>
      </c>
      <c r="H48" s="1">
        <v>9600</v>
      </c>
      <c r="I48" s="1">
        <v>7523.1785600000003</v>
      </c>
      <c r="J48" s="1">
        <v>2076.8214400000002</v>
      </c>
      <c r="K48" s="1">
        <v>0</v>
      </c>
      <c r="L48" s="1">
        <v>0</v>
      </c>
      <c r="M48" s="1">
        <v>7523.1785600000003</v>
      </c>
      <c r="N48" s="1">
        <v>2076.8214400000002</v>
      </c>
      <c r="O48" s="1">
        <v>0.216335</v>
      </c>
    </row>
    <row r="49" spans="1:15" x14ac:dyDescent="0.25">
      <c r="A49" s="1">
        <v>2018</v>
      </c>
      <c r="B49" s="1">
        <v>5</v>
      </c>
      <c r="C49" s="1" t="s">
        <v>63</v>
      </c>
      <c r="D49" s="1" t="s">
        <v>22</v>
      </c>
      <c r="E49" s="1" t="s">
        <v>23</v>
      </c>
      <c r="F49" s="1" t="s">
        <v>725</v>
      </c>
      <c r="G49" s="1" t="s">
        <v>726</v>
      </c>
      <c r="H49" s="1">
        <v>55600</v>
      </c>
      <c r="I49" s="1">
        <v>44161.928480000002</v>
      </c>
      <c r="J49" s="1">
        <v>11438.07152</v>
      </c>
      <c r="K49" s="1">
        <v>0</v>
      </c>
      <c r="L49" s="1">
        <v>0</v>
      </c>
      <c r="M49" s="1">
        <v>44161.928480000002</v>
      </c>
      <c r="N49" s="1">
        <v>11438.07152</v>
      </c>
      <c r="O49" s="1">
        <v>0.20571999999999999</v>
      </c>
    </row>
    <row r="50" spans="1:15" x14ac:dyDescent="0.25">
      <c r="A50" s="1">
        <v>2018</v>
      </c>
      <c r="B50" s="1">
        <v>5</v>
      </c>
      <c r="C50" s="1" t="s">
        <v>63</v>
      </c>
      <c r="D50" s="1" t="s">
        <v>22</v>
      </c>
      <c r="E50" s="1" t="s">
        <v>23</v>
      </c>
      <c r="F50" s="1" t="s">
        <v>727</v>
      </c>
      <c r="G50" s="1" t="s">
        <v>728</v>
      </c>
      <c r="H50" s="1">
        <v>30000</v>
      </c>
      <c r="I50" s="1">
        <v>21359.999930999998</v>
      </c>
      <c r="J50" s="1">
        <v>8640.0000689999997</v>
      </c>
      <c r="K50" s="1">
        <v>0</v>
      </c>
      <c r="L50" s="1">
        <v>0</v>
      </c>
      <c r="M50" s="1">
        <v>21359.999930999998</v>
      </c>
      <c r="N50" s="1">
        <v>8640.0000689999997</v>
      </c>
      <c r="O50" s="1">
        <v>0.28799999999999998</v>
      </c>
    </row>
    <row r="51" spans="1:15" x14ac:dyDescent="0.25">
      <c r="A51" s="1">
        <v>2018</v>
      </c>
      <c r="B51" s="1">
        <v>5</v>
      </c>
      <c r="C51" s="1" t="s">
        <v>63</v>
      </c>
      <c r="D51" s="1" t="s">
        <v>22</v>
      </c>
      <c r="E51" s="1" t="s">
        <v>23</v>
      </c>
      <c r="F51" s="1" t="s">
        <v>731</v>
      </c>
      <c r="G51" s="1" t="s">
        <v>732</v>
      </c>
      <c r="H51" s="1">
        <v>37450</v>
      </c>
      <c r="I51" s="1">
        <v>22044.999852000001</v>
      </c>
      <c r="J51" s="1">
        <v>15405.000147999999</v>
      </c>
      <c r="K51" s="1">
        <v>0</v>
      </c>
      <c r="L51" s="1">
        <v>0</v>
      </c>
      <c r="M51" s="1">
        <v>22044.999852000001</v>
      </c>
      <c r="N51" s="1">
        <v>15405.000147999999</v>
      </c>
      <c r="O51" s="1">
        <v>0.41134799999999999</v>
      </c>
    </row>
    <row r="52" spans="1:15" x14ac:dyDescent="0.25">
      <c r="A52" s="1">
        <v>2018</v>
      </c>
      <c r="B52" s="1">
        <v>5</v>
      </c>
      <c r="C52" s="1" t="s">
        <v>63</v>
      </c>
      <c r="D52" s="1" t="s">
        <v>22</v>
      </c>
      <c r="E52" s="1" t="s">
        <v>23</v>
      </c>
      <c r="F52" s="1" t="s">
        <v>735</v>
      </c>
      <c r="G52" s="1" t="s">
        <v>736</v>
      </c>
      <c r="H52" s="1">
        <v>76800</v>
      </c>
      <c r="I52" s="1">
        <v>14688</v>
      </c>
      <c r="J52" s="1">
        <v>62112</v>
      </c>
      <c r="K52" s="1">
        <v>0</v>
      </c>
      <c r="L52" s="1">
        <v>0</v>
      </c>
      <c r="M52" s="1">
        <v>14688</v>
      </c>
      <c r="N52" s="1">
        <v>62112</v>
      </c>
      <c r="O52" s="1">
        <v>0.80874999999999997</v>
      </c>
    </row>
    <row r="53" spans="1:15" x14ac:dyDescent="0.25">
      <c r="A53" s="1">
        <v>2018</v>
      </c>
      <c r="B53" s="1">
        <v>5</v>
      </c>
      <c r="C53" s="1" t="s">
        <v>63</v>
      </c>
      <c r="D53" s="1" t="s">
        <v>22</v>
      </c>
      <c r="E53" s="1" t="s">
        <v>23</v>
      </c>
      <c r="F53" s="1" t="s">
        <v>766</v>
      </c>
      <c r="G53" s="1" t="s">
        <v>767</v>
      </c>
      <c r="H53" s="1">
        <v>66900</v>
      </c>
      <c r="I53" s="1">
        <v>26415.499800000001</v>
      </c>
      <c r="J53" s="1">
        <v>40484.500200000002</v>
      </c>
      <c r="K53" s="1">
        <v>0</v>
      </c>
      <c r="L53" s="1">
        <v>0</v>
      </c>
      <c r="M53" s="1">
        <v>26415.499800000001</v>
      </c>
      <c r="N53" s="1">
        <v>40484.500200000002</v>
      </c>
      <c r="O53" s="1">
        <v>0.60514900000000005</v>
      </c>
    </row>
    <row r="54" spans="1:15" x14ac:dyDescent="0.25">
      <c r="A54" s="1">
        <v>2018</v>
      </c>
      <c r="B54" s="1">
        <v>5</v>
      </c>
      <c r="C54" s="1" t="s">
        <v>63</v>
      </c>
      <c r="D54" s="1" t="s">
        <v>22</v>
      </c>
      <c r="E54" s="1" t="s">
        <v>23</v>
      </c>
      <c r="F54" s="1" t="s">
        <v>768</v>
      </c>
      <c r="G54" s="1" t="s">
        <v>769</v>
      </c>
      <c r="H54" s="1">
        <v>9600</v>
      </c>
      <c r="I54" s="1">
        <v>2409.8823000000002</v>
      </c>
      <c r="J54" s="1">
        <v>7190.1176999999998</v>
      </c>
      <c r="K54" s="1">
        <v>0</v>
      </c>
      <c r="L54" s="1">
        <v>0</v>
      </c>
      <c r="M54" s="1">
        <v>2409.8823000000002</v>
      </c>
      <c r="N54" s="1">
        <v>7190.1176999999998</v>
      </c>
      <c r="O54" s="1">
        <v>0.74897000000000002</v>
      </c>
    </row>
    <row r="55" spans="1:15" x14ac:dyDescent="0.25">
      <c r="A55" s="1">
        <v>2018</v>
      </c>
      <c r="B55" s="1">
        <v>5</v>
      </c>
      <c r="C55" s="1" t="s">
        <v>63</v>
      </c>
      <c r="D55" s="1" t="s">
        <v>22</v>
      </c>
      <c r="E55" s="1" t="s">
        <v>23</v>
      </c>
      <c r="F55" s="1" t="s">
        <v>737</v>
      </c>
      <c r="G55" s="1" t="s">
        <v>738</v>
      </c>
      <c r="H55" s="1">
        <v>14400</v>
      </c>
      <c r="I55" s="1">
        <v>7263</v>
      </c>
      <c r="J55" s="1">
        <v>7137</v>
      </c>
      <c r="K55" s="1">
        <v>0</v>
      </c>
      <c r="L55" s="1">
        <v>0</v>
      </c>
      <c r="M55" s="1">
        <v>7263</v>
      </c>
      <c r="N55" s="1">
        <v>7137</v>
      </c>
      <c r="O55" s="1">
        <v>0.49562499999999998</v>
      </c>
    </row>
    <row r="56" spans="1:15" x14ac:dyDescent="0.25">
      <c r="A56" s="1">
        <v>2018</v>
      </c>
      <c r="B56" s="1">
        <v>5</v>
      </c>
      <c r="C56" s="1" t="s">
        <v>63</v>
      </c>
      <c r="D56" s="1" t="s">
        <v>22</v>
      </c>
      <c r="E56" s="1" t="s">
        <v>23</v>
      </c>
      <c r="F56" s="1" t="s">
        <v>782</v>
      </c>
      <c r="G56" s="1" t="s">
        <v>783</v>
      </c>
      <c r="H56" s="1">
        <v>30240</v>
      </c>
      <c r="I56" s="1">
        <v>21281.999994000002</v>
      </c>
      <c r="J56" s="1">
        <v>8958.0000060000002</v>
      </c>
      <c r="K56" s="1">
        <v>0</v>
      </c>
      <c r="L56" s="1">
        <v>0</v>
      </c>
      <c r="M56" s="1">
        <v>21281.999994000002</v>
      </c>
      <c r="N56" s="1">
        <v>8958.0000060000002</v>
      </c>
      <c r="O56" s="1">
        <v>0.29622999999999999</v>
      </c>
    </row>
    <row r="57" spans="1:15" x14ac:dyDescent="0.25">
      <c r="A57" s="1">
        <v>2018</v>
      </c>
      <c r="B57" s="1">
        <v>5</v>
      </c>
      <c r="C57" s="1" t="s">
        <v>63</v>
      </c>
      <c r="D57" s="1" t="s">
        <v>22</v>
      </c>
      <c r="E57" s="1" t="s">
        <v>23</v>
      </c>
      <c r="F57" s="1" t="s">
        <v>784</v>
      </c>
      <c r="G57" s="1" t="s">
        <v>785</v>
      </c>
      <c r="H57" s="1">
        <v>131330</v>
      </c>
      <c r="I57" s="1">
        <v>78217.999987999996</v>
      </c>
      <c r="J57" s="1">
        <v>53112.000011999997</v>
      </c>
      <c r="K57" s="1">
        <v>0</v>
      </c>
      <c r="L57" s="1">
        <v>0</v>
      </c>
      <c r="M57" s="1">
        <v>78217.999987999996</v>
      </c>
      <c r="N57" s="1">
        <v>53112.000011999997</v>
      </c>
      <c r="O57" s="1">
        <v>0.404416</v>
      </c>
    </row>
    <row r="58" spans="1:15" x14ac:dyDescent="0.25">
      <c r="A58" s="1">
        <v>2018</v>
      </c>
      <c r="B58" s="1">
        <v>5</v>
      </c>
      <c r="C58" s="1" t="s">
        <v>63</v>
      </c>
      <c r="D58" s="1" t="s">
        <v>22</v>
      </c>
      <c r="E58" s="1" t="s">
        <v>23</v>
      </c>
      <c r="F58" s="1" t="s">
        <v>786</v>
      </c>
      <c r="G58" s="1" t="s">
        <v>787</v>
      </c>
      <c r="H58" s="1">
        <v>30685</v>
      </c>
      <c r="I58" s="1">
        <v>20590.999997999999</v>
      </c>
      <c r="J58" s="1">
        <v>10094.000002000001</v>
      </c>
      <c r="K58" s="1">
        <v>0</v>
      </c>
      <c r="L58" s="1">
        <v>0</v>
      </c>
      <c r="M58" s="1">
        <v>20590.999997999999</v>
      </c>
      <c r="N58" s="1">
        <v>10094.000002000001</v>
      </c>
      <c r="O58" s="1">
        <v>0.328955</v>
      </c>
    </row>
    <row r="59" spans="1:15" x14ac:dyDescent="0.25">
      <c r="A59" s="1">
        <v>2018</v>
      </c>
      <c r="B59" s="1">
        <v>5</v>
      </c>
      <c r="C59" s="1" t="s">
        <v>63</v>
      </c>
      <c r="D59" s="1" t="s">
        <v>22</v>
      </c>
      <c r="E59" s="1" t="s">
        <v>23</v>
      </c>
      <c r="F59" s="1" t="s">
        <v>743</v>
      </c>
      <c r="G59" s="1" t="s">
        <v>744</v>
      </c>
      <c r="H59" s="1">
        <v>27200</v>
      </c>
      <c r="I59" s="1">
        <v>16378.999996</v>
      </c>
      <c r="J59" s="1">
        <v>10821.000004</v>
      </c>
      <c r="K59" s="1">
        <v>0</v>
      </c>
      <c r="L59" s="1">
        <v>0</v>
      </c>
      <c r="M59" s="1">
        <v>16378.999996</v>
      </c>
      <c r="N59" s="1">
        <v>10821.000004</v>
      </c>
      <c r="O59" s="1">
        <v>0.39783000000000002</v>
      </c>
    </row>
    <row r="60" spans="1:15" x14ac:dyDescent="0.25">
      <c r="A60" s="1">
        <v>2018</v>
      </c>
      <c r="B60" s="1">
        <v>5</v>
      </c>
      <c r="C60" s="1" t="s">
        <v>63</v>
      </c>
      <c r="D60" s="1" t="s">
        <v>22</v>
      </c>
      <c r="E60" s="1" t="s">
        <v>23</v>
      </c>
      <c r="F60" s="1" t="s">
        <v>745</v>
      </c>
      <c r="G60" s="1" t="s">
        <v>746</v>
      </c>
      <c r="H60" s="1">
        <v>118800</v>
      </c>
      <c r="I60" s="1">
        <v>55112.666652</v>
      </c>
      <c r="J60" s="1">
        <v>63687.333348</v>
      </c>
      <c r="K60" s="1">
        <v>0</v>
      </c>
      <c r="L60" s="1">
        <v>0</v>
      </c>
      <c r="M60" s="1">
        <v>55112.666652</v>
      </c>
      <c r="N60" s="1">
        <v>63687.333348</v>
      </c>
      <c r="O60" s="1">
        <v>0.53608800000000001</v>
      </c>
    </row>
    <row r="61" spans="1:15" x14ac:dyDescent="0.25">
      <c r="A61" s="1">
        <v>2018</v>
      </c>
      <c r="B61" s="1">
        <v>5</v>
      </c>
      <c r="C61" s="1" t="s">
        <v>63</v>
      </c>
      <c r="D61" s="1" t="s">
        <v>22</v>
      </c>
      <c r="E61" s="1" t="s">
        <v>23</v>
      </c>
      <c r="F61" s="1" t="s">
        <v>770</v>
      </c>
      <c r="G61" s="1" t="s">
        <v>771</v>
      </c>
      <c r="H61" s="1">
        <v>34884</v>
      </c>
      <c r="I61" s="1">
        <v>21173.999970000001</v>
      </c>
      <c r="J61" s="1">
        <v>13710.000029999999</v>
      </c>
      <c r="K61" s="1">
        <v>0</v>
      </c>
      <c r="L61" s="1">
        <v>0</v>
      </c>
      <c r="M61" s="1">
        <v>21173.999970000001</v>
      </c>
      <c r="N61" s="1">
        <v>13710.000029999999</v>
      </c>
      <c r="O61" s="1">
        <v>0.39301599999999998</v>
      </c>
    </row>
    <row r="62" spans="1:15" x14ac:dyDescent="0.25">
      <c r="A62" s="1">
        <v>2018</v>
      </c>
      <c r="B62" s="1">
        <v>5</v>
      </c>
      <c r="C62" s="1" t="s">
        <v>63</v>
      </c>
      <c r="D62" s="1" t="s">
        <v>22</v>
      </c>
      <c r="E62" s="1" t="s">
        <v>23</v>
      </c>
      <c r="F62" s="1" t="s">
        <v>747</v>
      </c>
      <c r="G62" s="1" t="s">
        <v>748</v>
      </c>
      <c r="H62" s="1">
        <v>516350</v>
      </c>
      <c r="I62" s="1">
        <v>244584.33323799999</v>
      </c>
      <c r="J62" s="1">
        <v>271765.66676200001</v>
      </c>
      <c r="K62" s="1">
        <v>0</v>
      </c>
      <c r="L62" s="1">
        <v>0</v>
      </c>
      <c r="M62" s="1">
        <v>244584.33323799999</v>
      </c>
      <c r="N62" s="1">
        <v>271765.66676200001</v>
      </c>
      <c r="O62" s="1">
        <v>0.52632000000000001</v>
      </c>
    </row>
    <row r="63" spans="1:15" x14ac:dyDescent="0.25">
      <c r="A63" s="1">
        <v>2018</v>
      </c>
      <c r="B63" s="1">
        <v>5</v>
      </c>
      <c r="C63" s="1" t="s">
        <v>63</v>
      </c>
      <c r="D63" s="1" t="s">
        <v>22</v>
      </c>
      <c r="E63" s="1" t="s">
        <v>23</v>
      </c>
      <c r="F63" s="1" t="s">
        <v>753</v>
      </c>
      <c r="G63" s="1" t="s">
        <v>754</v>
      </c>
      <c r="H63" s="1">
        <v>158982</v>
      </c>
      <c r="I63" s="1">
        <v>115597.999965</v>
      </c>
      <c r="J63" s="1">
        <v>43384.000034999997</v>
      </c>
      <c r="K63" s="1">
        <v>0</v>
      </c>
      <c r="L63" s="1">
        <v>0</v>
      </c>
      <c r="M63" s="1">
        <v>115597.999965</v>
      </c>
      <c r="N63" s="1">
        <v>43384.000034999997</v>
      </c>
      <c r="O63" s="1">
        <v>0.27288600000000002</v>
      </c>
    </row>
    <row r="64" spans="1:15" x14ac:dyDescent="0.25">
      <c r="A64" s="1">
        <v>2018</v>
      </c>
      <c r="B64" s="1">
        <v>5</v>
      </c>
      <c r="C64" s="1" t="s">
        <v>63</v>
      </c>
      <c r="D64" s="1" t="s">
        <v>22</v>
      </c>
      <c r="E64" s="1" t="s">
        <v>23</v>
      </c>
      <c r="F64" s="1" t="s">
        <v>788</v>
      </c>
      <c r="G64" s="1" t="s">
        <v>788</v>
      </c>
      <c r="H64" s="1">
        <v>64114</v>
      </c>
      <c r="I64" s="1">
        <v>75106.142720000003</v>
      </c>
      <c r="J64" s="1">
        <v>-10992.14272</v>
      </c>
      <c r="K64" s="1">
        <v>0</v>
      </c>
      <c r="L64" s="1">
        <v>0</v>
      </c>
      <c r="M64" s="1">
        <v>75106.142720000003</v>
      </c>
      <c r="N64" s="1">
        <v>-10992.14272</v>
      </c>
      <c r="O64" s="1">
        <v>-0.17144599999999999</v>
      </c>
    </row>
    <row r="65" spans="1:15" x14ac:dyDescent="0.25">
      <c r="A65" s="1">
        <v>2018</v>
      </c>
      <c r="B65" s="1">
        <v>5</v>
      </c>
      <c r="C65" s="1" t="s">
        <v>63</v>
      </c>
      <c r="D65" s="1" t="s">
        <v>22</v>
      </c>
      <c r="E65" s="1" t="s">
        <v>23</v>
      </c>
      <c r="F65" s="1" t="s">
        <v>789</v>
      </c>
      <c r="G65" s="1" t="s">
        <v>789</v>
      </c>
      <c r="H65" s="1">
        <v>11400</v>
      </c>
      <c r="I65" s="1">
        <v>10794.75</v>
      </c>
      <c r="J65" s="1">
        <v>605.25</v>
      </c>
      <c r="K65" s="1">
        <v>0</v>
      </c>
      <c r="L65" s="1">
        <v>0</v>
      </c>
      <c r="M65" s="1">
        <v>10794.75</v>
      </c>
      <c r="N65" s="1">
        <v>605.25</v>
      </c>
      <c r="O65" s="1">
        <v>5.3092E-2</v>
      </c>
    </row>
    <row r="66" spans="1:15" x14ac:dyDescent="0.25">
      <c r="A66" s="1">
        <v>2018</v>
      </c>
      <c r="B66" s="1">
        <v>5</v>
      </c>
      <c r="C66" s="1" t="s">
        <v>63</v>
      </c>
      <c r="D66" s="1" t="s">
        <v>22</v>
      </c>
      <c r="E66" s="1" t="s">
        <v>23</v>
      </c>
      <c r="F66" s="1" t="s">
        <v>757</v>
      </c>
      <c r="G66" s="1" t="s">
        <v>757</v>
      </c>
      <c r="H66" s="1">
        <v>122250</v>
      </c>
      <c r="I66" s="1">
        <v>44489.617050000001</v>
      </c>
      <c r="J66" s="1">
        <v>77760.382949999999</v>
      </c>
      <c r="K66" s="1">
        <v>0</v>
      </c>
      <c r="L66" s="1">
        <v>0</v>
      </c>
      <c r="M66" s="1">
        <v>44489.617050000001</v>
      </c>
      <c r="N66" s="1">
        <v>77760.382949999999</v>
      </c>
      <c r="O66" s="1">
        <v>0.63607599999999997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80"/>
  <sheetViews>
    <sheetView workbookViewId="0">
      <selection activeCell="F16" sqref="F16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12.5703125" style="1" bestFit="1" customWidth="1"/>
    <col min="7" max="7" width="58.5703125" style="1" bestFit="1" customWidth="1"/>
    <col min="8" max="9" width="11.28515625" style="1" bestFit="1" customWidth="1"/>
    <col min="10" max="12" width="16.85546875" style="1" bestFit="1" customWidth="1"/>
    <col min="13" max="13" width="16.42578125" style="1" bestFit="1" customWidth="1"/>
    <col min="14" max="14" width="21.5703125" style="1" bestFit="1" customWidth="1"/>
    <col min="15" max="15" width="21.28515625" style="1" bestFit="1" customWidth="1"/>
    <col min="16" max="16" width="16.85546875" style="1" bestFit="1" customWidth="1"/>
    <col min="17" max="17" width="21.5703125" style="1" bestFit="1" customWidth="1"/>
    <col min="18" max="18" width="18" style="1" bestFit="1" customWidth="1"/>
    <col min="19" max="19" width="13.8554687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790</v>
      </c>
      <c r="G1" s="1" t="s">
        <v>281</v>
      </c>
      <c r="H1" s="1" t="s">
        <v>791</v>
      </c>
      <c r="I1" s="1" t="s">
        <v>712</v>
      </c>
      <c r="J1" s="1" t="s">
        <v>595</v>
      </c>
      <c r="K1" s="1" t="s">
        <v>792</v>
      </c>
      <c r="L1" s="1" t="s">
        <v>713</v>
      </c>
      <c r="M1" s="1" t="s">
        <v>714</v>
      </c>
      <c r="N1" s="1" t="s">
        <v>715</v>
      </c>
      <c r="O1" s="1" t="s">
        <v>793</v>
      </c>
      <c r="P1" s="1" t="s">
        <v>594</v>
      </c>
      <c r="Q1" s="1" t="s">
        <v>794</v>
      </c>
      <c r="R1" s="1" t="s">
        <v>597</v>
      </c>
      <c r="S1" s="1" t="s">
        <v>795</v>
      </c>
    </row>
    <row r="2" spans="1:19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253</v>
      </c>
      <c r="G2" s="1" t="s">
        <v>796</v>
      </c>
      <c r="H2" s="1">
        <v>300</v>
      </c>
      <c r="I2" s="1">
        <v>43500</v>
      </c>
      <c r="J2" s="1">
        <v>25264.999800000001</v>
      </c>
      <c r="K2" s="1">
        <v>145</v>
      </c>
      <c r="L2" s="1">
        <v>18235.000199999999</v>
      </c>
      <c r="M2" s="1">
        <v>0</v>
      </c>
      <c r="N2" s="1">
        <v>0</v>
      </c>
      <c r="O2" s="1">
        <v>0</v>
      </c>
      <c r="P2" s="1">
        <v>25264.999800000001</v>
      </c>
      <c r="Q2" s="1">
        <v>84.216666000000004</v>
      </c>
      <c r="R2" s="1">
        <v>18235.000199999999</v>
      </c>
      <c r="S2" s="1">
        <v>0.41919499999999998</v>
      </c>
    </row>
    <row r="3" spans="1:19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255</v>
      </c>
      <c r="G3" s="1" t="s">
        <v>797</v>
      </c>
      <c r="H3" s="1">
        <v>150</v>
      </c>
      <c r="I3" s="1">
        <v>26400</v>
      </c>
      <c r="J3" s="1">
        <v>5829.9998999999998</v>
      </c>
      <c r="K3" s="1">
        <v>176</v>
      </c>
      <c r="L3" s="1">
        <v>20570.000100000001</v>
      </c>
      <c r="M3" s="1">
        <v>0</v>
      </c>
      <c r="N3" s="1">
        <v>0</v>
      </c>
      <c r="O3" s="1">
        <v>0</v>
      </c>
      <c r="P3" s="1">
        <v>5829.9998999999998</v>
      </c>
      <c r="Q3" s="1">
        <v>38.866666000000002</v>
      </c>
      <c r="R3" s="1">
        <v>20570.000100000001</v>
      </c>
      <c r="S3" s="1">
        <v>0.77916600000000003</v>
      </c>
    </row>
    <row r="4" spans="1:19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256</v>
      </c>
      <c r="G4" s="1" t="s">
        <v>798</v>
      </c>
      <c r="H4" s="1">
        <v>480</v>
      </c>
      <c r="I4" s="1">
        <v>76800</v>
      </c>
      <c r="J4" s="1">
        <v>15966</v>
      </c>
      <c r="K4" s="1">
        <v>160</v>
      </c>
      <c r="L4" s="1">
        <v>60834</v>
      </c>
      <c r="M4" s="1">
        <v>0</v>
      </c>
      <c r="N4" s="1">
        <v>0</v>
      </c>
      <c r="O4" s="1">
        <v>0</v>
      </c>
      <c r="P4" s="1">
        <v>15966</v>
      </c>
      <c r="Q4" s="1">
        <v>33.262500000000003</v>
      </c>
      <c r="R4" s="1">
        <v>60834</v>
      </c>
      <c r="S4" s="1">
        <v>0.79210899999999995</v>
      </c>
    </row>
    <row r="5" spans="1:19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257</v>
      </c>
      <c r="G5" s="1" t="s">
        <v>799</v>
      </c>
      <c r="H5" s="1">
        <v>20</v>
      </c>
      <c r="I5" s="1">
        <v>6400</v>
      </c>
      <c r="J5" s="1">
        <v>2637</v>
      </c>
      <c r="K5" s="1">
        <v>320</v>
      </c>
      <c r="L5" s="1">
        <v>3763</v>
      </c>
      <c r="M5" s="1">
        <v>0</v>
      </c>
      <c r="N5" s="1">
        <v>0</v>
      </c>
      <c r="O5" s="1">
        <v>0</v>
      </c>
      <c r="P5" s="1">
        <v>2637</v>
      </c>
      <c r="Q5" s="1">
        <v>131.85</v>
      </c>
      <c r="R5" s="1">
        <v>3763</v>
      </c>
      <c r="S5" s="1">
        <v>0.58796800000000005</v>
      </c>
    </row>
    <row r="6" spans="1:19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258</v>
      </c>
      <c r="G6" s="1" t="s">
        <v>800</v>
      </c>
      <c r="H6" s="1">
        <v>20</v>
      </c>
      <c r="I6" s="1">
        <v>9600</v>
      </c>
      <c r="J6" s="1">
        <v>4592</v>
      </c>
      <c r="K6" s="1">
        <v>480</v>
      </c>
      <c r="L6" s="1">
        <v>5008</v>
      </c>
      <c r="M6" s="1">
        <v>0</v>
      </c>
      <c r="N6" s="1">
        <v>0</v>
      </c>
      <c r="O6" s="1">
        <v>0</v>
      </c>
      <c r="P6" s="1">
        <v>4592</v>
      </c>
      <c r="Q6" s="1">
        <v>229.6</v>
      </c>
      <c r="R6" s="1">
        <v>5008</v>
      </c>
      <c r="S6" s="1">
        <v>0.52166599999999996</v>
      </c>
    </row>
    <row r="7" spans="1:19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259</v>
      </c>
      <c r="G7" s="1" t="s">
        <v>801</v>
      </c>
      <c r="H7" s="1">
        <v>60</v>
      </c>
      <c r="I7" s="1">
        <v>13500</v>
      </c>
      <c r="J7" s="1">
        <v>7261.9999799999996</v>
      </c>
      <c r="K7" s="1">
        <v>225</v>
      </c>
      <c r="L7" s="1">
        <v>6238.0000200000004</v>
      </c>
      <c r="M7" s="1">
        <v>0</v>
      </c>
      <c r="N7" s="1">
        <v>0</v>
      </c>
      <c r="O7" s="1">
        <v>0</v>
      </c>
      <c r="P7" s="1">
        <v>7261.9999799999996</v>
      </c>
      <c r="Q7" s="1">
        <v>121.033333</v>
      </c>
      <c r="R7" s="1">
        <v>6238.0000200000004</v>
      </c>
      <c r="S7" s="1">
        <v>0.46207399999999998</v>
      </c>
    </row>
    <row r="8" spans="1:19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260</v>
      </c>
      <c r="G8" s="1" t="s">
        <v>802</v>
      </c>
      <c r="H8" s="1">
        <v>428</v>
      </c>
      <c r="I8" s="1">
        <v>74900</v>
      </c>
      <c r="J8" s="1">
        <v>44090.999940000002</v>
      </c>
      <c r="K8" s="1">
        <v>175</v>
      </c>
      <c r="L8" s="1">
        <v>30809.000059999998</v>
      </c>
      <c r="M8" s="1">
        <v>0</v>
      </c>
      <c r="N8" s="1">
        <v>0</v>
      </c>
      <c r="O8" s="1">
        <v>0</v>
      </c>
      <c r="P8" s="1">
        <v>44090.999940000002</v>
      </c>
      <c r="Q8" s="1">
        <v>103.016355</v>
      </c>
      <c r="R8" s="1">
        <v>30809.000059999998</v>
      </c>
      <c r="S8" s="1">
        <v>0.41133500000000001</v>
      </c>
    </row>
    <row r="9" spans="1:19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261</v>
      </c>
      <c r="G9" s="1" t="s">
        <v>803</v>
      </c>
      <c r="H9" s="1">
        <v>1000</v>
      </c>
      <c r="I9" s="1">
        <v>125000</v>
      </c>
      <c r="J9" s="1">
        <v>71469</v>
      </c>
      <c r="K9" s="1">
        <v>125</v>
      </c>
      <c r="L9" s="1">
        <v>53531</v>
      </c>
      <c r="M9" s="1">
        <v>0</v>
      </c>
      <c r="N9" s="1">
        <v>0</v>
      </c>
      <c r="O9" s="1">
        <v>0</v>
      </c>
      <c r="P9" s="1">
        <v>71469</v>
      </c>
      <c r="Q9" s="1">
        <v>71.468999999999994</v>
      </c>
      <c r="R9" s="1">
        <v>53531</v>
      </c>
      <c r="S9" s="1">
        <v>0.42824800000000002</v>
      </c>
    </row>
    <row r="10" spans="1:19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262</v>
      </c>
      <c r="G10" s="1" t="s">
        <v>804</v>
      </c>
      <c r="H10" s="1">
        <v>415.6</v>
      </c>
      <c r="I10" s="1">
        <v>60000</v>
      </c>
      <c r="J10" s="1">
        <v>33663.999807</v>
      </c>
      <c r="K10" s="1">
        <v>144.369586</v>
      </c>
      <c r="L10" s="1">
        <v>26336.000193</v>
      </c>
      <c r="M10" s="1">
        <v>0</v>
      </c>
      <c r="N10" s="1">
        <v>0</v>
      </c>
      <c r="O10" s="1">
        <v>0</v>
      </c>
      <c r="P10" s="1">
        <v>33663.999807</v>
      </c>
      <c r="Q10" s="1">
        <v>81.000961000000004</v>
      </c>
      <c r="R10" s="1">
        <v>26336.000193</v>
      </c>
      <c r="S10" s="1">
        <v>0.43893300000000002</v>
      </c>
    </row>
    <row r="11" spans="1:19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263</v>
      </c>
      <c r="G11" s="1" t="s">
        <v>805</v>
      </c>
      <c r="H11" s="1">
        <v>36</v>
      </c>
      <c r="I11" s="1">
        <v>16200</v>
      </c>
      <c r="J11" s="1">
        <v>13291.999991999999</v>
      </c>
      <c r="K11" s="1">
        <v>450</v>
      </c>
      <c r="L11" s="1">
        <v>2908.000008</v>
      </c>
      <c r="M11" s="1">
        <v>0</v>
      </c>
      <c r="N11" s="1">
        <v>0</v>
      </c>
      <c r="O11" s="1">
        <v>0</v>
      </c>
      <c r="P11" s="1">
        <v>13291.999991999999</v>
      </c>
      <c r="Q11" s="1">
        <v>369.22222199999999</v>
      </c>
      <c r="R11" s="1">
        <v>2908.000008</v>
      </c>
      <c r="S11" s="1">
        <v>0.179506</v>
      </c>
    </row>
    <row r="12" spans="1:19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264</v>
      </c>
      <c r="G12" s="1" t="s">
        <v>806</v>
      </c>
      <c r="H12" s="1">
        <v>1250</v>
      </c>
      <c r="I12" s="1">
        <v>312500</v>
      </c>
      <c r="J12" s="1">
        <v>190000</v>
      </c>
      <c r="K12" s="1">
        <v>250</v>
      </c>
      <c r="L12" s="1">
        <v>122500</v>
      </c>
      <c r="M12" s="1">
        <v>0</v>
      </c>
      <c r="N12" s="1">
        <v>0</v>
      </c>
      <c r="O12" s="1">
        <v>0</v>
      </c>
      <c r="P12" s="1">
        <v>190000</v>
      </c>
      <c r="Q12" s="1">
        <v>152</v>
      </c>
      <c r="R12" s="1">
        <v>122500</v>
      </c>
      <c r="S12" s="1">
        <v>0.39200000000000002</v>
      </c>
    </row>
    <row r="13" spans="1:19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265</v>
      </c>
      <c r="G13" s="1" t="s">
        <v>807</v>
      </c>
      <c r="H13" s="1">
        <v>90</v>
      </c>
      <c r="I13" s="1">
        <v>38250</v>
      </c>
      <c r="J13" s="1">
        <v>27814.999950000001</v>
      </c>
      <c r="K13" s="1">
        <v>425</v>
      </c>
      <c r="L13" s="1">
        <v>10435.000050000001</v>
      </c>
      <c r="M13" s="1">
        <v>0</v>
      </c>
      <c r="N13" s="1">
        <v>0</v>
      </c>
      <c r="O13" s="1">
        <v>0</v>
      </c>
      <c r="P13" s="1">
        <v>27814.999950000001</v>
      </c>
      <c r="Q13" s="1">
        <v>309.05555500000003</v>
      </c>
      <c r="R13" s="1">
        <v>10435.000050000001</v>
      </c>
      <c r="S13" s="1">
        <v>0.27281</v>
      </c>
    </row>
    <row r="14" spans="1:19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266</v>
      </c>
      <c r="G14" s="1" t="s">
        <v>808</v>
      </c>
      <c r="H14" s="1">
        <v>260</v>
      </c>
      <c r="I14" s="1">
        <v>52000</v>
      </c>
      <c r="J14" s="1">
        <v>36400</v>
      </c>
      <c r="K14" s="1">
        <v>200</v>
      </c>
      <c r="L14" s="1">
        <v>15600</v>
      </c>
      <c r="M14" s="1">
        <v>0</v>
      </c>
      <c r="N14" s="1">
        <v>0</v>
      </c>
      <c r="O14" s="1">
        <v>0</v>
      </c>
      <c r="P14" s="1">
        <v>36400</v>
      </c>
      <c r="Q14" s="1">
        <v>140</v>
      </c>
      <c r="R14" s="1">
        <v>15600</v>
      </c>
      <c r="S14" s="1">
        <v>0.3</v>
      </c>
    </row>
    <row r="15" spans="1:19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267</v>
      </c>
      <c r="G15" s="1" t="s">
        <v>809</v>
      </c>
      <c r="H15" s="1">
        <v>17</v>
      </c>
      <c r="I15" s="1">
        <v>30600</v>
      </c>
      <c r="J15" s="1">
        <v>21133.99999</v>
      </c>
      <c r="K15" s="1">
        <v>1800</v>
      </c>
      <c r="L15" s="1">
        <v>9466.0000099999997</v>
      </c>
      <c r="M15" s="1">
        <v>0</v>
      </c>
      <c r="N15" s="1">
        <v>0</v>
      </c>
      <c r="O15" s="1">
        <v>1090.1453839999999</v>
      </c>
      <c r="P15" s="1">
        <v>22224.145374</v>
      </c>
      <c r="Q15" s="1">
        <v>1307.3026689999999</v>
      </c>
      <c r="R15" s="1">
        <v>8375.8546260000003</v>
      </c>
      <c r="S15" s="1">
        <v>0.27372000000000002</v>
      </c>
    </row>
    <row r="16" spans="1:19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268</v>
      </c>
      <c r="G16" s="1" t="s">
        <v>810</v>
      </c>
      <c r="H16" s="1">
        <v>26</v>
      </c>
      <c r="I16" s="1">
        <v>27066</v>
      </c>
      <c r="J16" s="1">
        <v>18538</v>
      </c>
      <c r="K16" s="1">
        <v>1041</v>
      </c>
      <c r="L16" s="1">
        <v>8528</v>
      </c>
      <c r="M16" s="1">
        <v>0</v>
      </c>
      <c r="N16" s="1">
        <v>0</v>
      </c>
      <c r="O16" s="1">
        <v>0</v>
      </c>
      <c r="P16" s="1">
        <v>18538</v>
      </c>
      <c r="Q16" s="1">
        <v>713</v>
      </c>
      <c r="R16" s="1">
        <v>8528</v>
      </c>
      <c r="S16" s="1">
        <v>0.315081</v>
      </c>
    </row>
    <row r="17" spans="1:19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269</v>
      </c>
      <c r="G17" s="1" t="s">
        <v>811</v>
      </c>
      <c r="H17" s="1">
        <v>45</v>
      </c>
      <c r="I17" s="1">
        <v>60210</v>
      </c>
      <c r="J17" s="1">
        <v>40291.999965000003</v>
      </c>
      <c r="K17" s="1">
        <v>1338</v>
      </c>
      <c r="L17" s="1">
        <v>19918.000035000001</v>
      </c>
      <c r="M17" s="1">
        <v>0</v>
      </c>
      <c r="N17" s="1">
        <v>0</v>
      </c>
      <c r="O17" s="1">
        <v>0</v>
      </c>
      <c r="P17" s="1">
        <v>40291.999965000003</v>
      </c>
      <c r="Q17" s="1">
        <v>895.37777700000004</v>
      </c>
      <c r="R17" s="1">
        <v>19918.000035000001</v>
      </c>
      <c r="S17" s="1">
        <v>0.33080799999999999</v>
      </c>
    </row>
    <row r="18" spans="1:19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270</v>
      </c>
      <c r="G18" s="1" t="s">
        <v>812</v>
      </c>
      <c r="H18" s="1">
        <v>72</v>
      </c>
      <c r="I18" s="1">
        <v>30600</v>
      </c>
      <c r="J18" s="1">
        <v>14563.999943999999</v>
      </c>
      <c r="K18" s="1">
        <v>425</v>
      </c>
      <c r="L18" s="1">
        <v>16036.000056000001</v>
      </c>
      <c r="M18" s="1">
        <v>0</v>
      </c>
      <c r="N18" s="1">
        <v>0</v>
      </c>
      <c r="O18" s="1">
        <v>0</v>
      </c>
      <c r="P18" s="1">
        <v>14563.999943999999</v>
      </c>
      <c r="Q18" s="1">
        <v>202.27777699999999</v>
      </c>
      <c r="R18" s="1">
        <v>16036.000056000001</v>
      </c>
      <c r="S18" s="1">
        <v>0.52405199999999996</v>
      </c>
    </row>
    <row r="19" spans="1:19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271</v>
      </c>
      <c r="G19" s="1" t="s">
        <v>813</v>
      </c>
      <c r="H19" s="1">
        <v>187</v>
      </c>
      <c r="I19" s="1">
        <v>201025</v>
      </c>
      <c r="J19" s="1">
        <v>110517.999889</v>
      </c>
      <c r="K19" s="1">
        <v>1075</v>
      </c>
      <c r="L19" s="1">
        <v>90507.000111000001</v>
      </c>
      <c r="M19" s="1">
        <v>0</v>
      </c>
      <c r="N19" s="1">
        <v>0</v>
      </c>
      <c r="O19" s="1">
        <v>7161.649539</v>
      </c>
      <c r="P19" s="1">
        <v>117679.649428</v>
      </c>
      <c r="Q19" s="1">
        <v>629.30293800000004</v>
      </c>
      <c r="R19" s="1">
        <v>83345.350571999996</v>
      </c>
      <c r="S19" s="1">
        <v>0.414601</v>
      </c>
    </row>
    <row r="20" spans="1:19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23</v>
      </c>
      <c r="F20" s="1" t="s">
        <v>272</v>
      </c>
      <c r="G20" s="1" t="s">
        <v>814</v>
      </c>
      <c r="H20" s="1">
        <v>17</v>
      </c>
      <c r="I20" s="1">
        <v>79900</v>
      </c>
      <c r="J20" s="1">
        <v>32759</v>
      </c>
      <c r="K20" s="1">
        <v>4700</v>
      </c>
      <c r="L20" s="1">
        <v>47141</v>
      </c>
      <c r="M20" s="1">
        <v>0</v>
      </c>
      <c r="N20" s="1">
        <v>0</v>
      </c>
      <c r="O20" s="1">
        <v>1241.5159369999999</v>
      </c>
      <c r="P20" s="1">
        <v>34000.515936999996</v>
      </c>
      <c r="Q20" s="1">
        <v>2000.0303489999999</v>
      </c>
      <c r="R20" s="1">
        <v>45899.484063000004</v>
      </c>
      <c r="S20" s="1">
        <v>0.574461</v>
      </c>
    </row>
    <row r="21" spans="1:19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23</v>
      </c>
      <c r="F21" s="1" t="s">
        <v>273</v>
      </c>
      <c r="G21" s="1" t="s">
        <v>815</v>
      </c>
      <c r="H21" s="1">
        <v>19</v>
      </c>
      <c r="I21" s="1">
        <v>68400</v>
      </c>
      <c r="J21" s="1">
        <v>42108.999983000002</v>
      </c>
      <c r="K21" s="1">
        <v>3600</v>
      </c>
      <c r="L21" s="1">
        <v>26291.000016999998</v>
      </c>
      <c r="M21" s="1">
        <v>0</v>
      </c>
      <c r="N21" s="1">
        <v>0</v>
      </c>
      <c r="O21" s="1">
        <v>1062.8246569999999</v>
      </c>
      <c r="P21" s="1">
        <v>43171.824639999999</v>
      </c>
      <c r="Q21" s="1">
        <v>2272.2012960000002</v>
      </c>
      <c r="R21" s="1">
        <v>25228.175360000001</v>
      </c>
      <c r="S21" s="1">
        <v>0.36883199999999999</v>
      </c>
    </row>
    <row r="22" spans="1:19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23</v>
      </c>
      <c r="F22" s="1" t="s">
        <v>274</v>
      </c>
      <c r="G22" s="1" t="s">
        <v>816</v>
      </c>
      <c r="H22" s="1">
        <v>17</v>
      </c>
      <c r="I22" s="1">
        <v>37400</v>
      </c>
      <c r="J22" s="1">
        <v>18686.999997999999</v>
      </c>
      <c r="K22" s="1">
        <v>2200</v>
      </c>
      <c r="L22" s="1">
        <v>18713.000002000001</v>
      </c>
      <c r="M22" s="1">
        <v>0</v>
      </c>
      <c r="N22" s="1">
        <v>0</v>
      </c>
      <c r="O22" s="1">
        <v>4723.0471600000001</v>
      </c>
      <c r="P22" s="1">
        <v>23410.047158000001</v>
      </c>
      <c r="Q22" s="1">
        <v>1377.0615969999999</v>
      </c>
      <c r="R22" s="1">
        <v>13989.952842000001</v>
      </c>
      <c r="S22" s="1">
        <v>0.37406200000000001</v>
      </c>
    </row>
    <row r="23" spans="1:19" x14ac:dyDescent="0.25">
      <c r="A23" s="1">
        <v>2018</v>
      </c>
      <c r="B23" s="1">
        <v>3</v>
      </c>
      <c r="C23" s="1" t="s">
        <v>21</v>
      </c>
      <c r="D23" s="1" t="s">
        <v>22</v>
      </c>
      <c r="E23" s="1" t="s">
        <v>23</v>
      </c>
      <c r="F23" s="1" t="s">
        <v>275</v>
      </c>
      <c r="G23" s="1" t="s">
        <v>817</v>
      </c>
      <c r="H23" s="1">
        <v>54</v>
      </c>
      <c r="I23" s="1">
        <v>187200</v>
      </c>
      <c r="J23" s="1">
        <v>79785.999972000005</v>
      </c>
      <c r="K23" s="1">
        <v>3466.6666660000001</v>
      </c>
      <c r="L23" s="1">
        <v>107414.00002799999</v>
      </c>
      <c r="M23" s="1">
        <v>0</v>
      </c>
      <c r="N23" s="1">
        <v>0</v>
      </c>
      <c r="O23" s="1">
        <v>12870.201485</v>
      </c>
      <c r="P23" s="1">
        <v>92656.201457000003</v>
      </c>
      <c r="Q23" s="1">
        <v>1715.8555819999999</v>
      </c>
      <c r="R23" s="1">
        <v>94543.798542999997</v>
      </c>
      <c r="S23" s="1">
        <v>0.50504099999999996</v>
      </c>
    </row>
    <row r="24" spans="1:19" x14ac:dyDescent="0.25">
      <c r="A24" s="1">
        <v>2018</v>
      </c>
      <c r="B24" s="1">
        <v>3</v>
      </c>
      <c r="C24" s="1" t="s">
        <v>21</v>
      </c>
      <c r="D24" s="1" t="s">
        <v>22</v>
      </c>
      <c r="E24" s="1" t="s">
        <v>23</v>
      </c>
      <c r="F24" s="1" t="s">
        <v>276</v>
      </c>
      <c r="G24" s="1" t="s">
        <v>818</v>
      </c>
      <c r="H24" s="1">
        <v>3</v>
      </c>
      <c r="I24" s="1">
        <v>24600</v>
      </c>
      <c r="J24" s="1">
        <v>9741</v>
      </c>
      <c r="K24" s="1">
        <v>8200</v>
      </c>
      <c r="L24" s="1">
        <v>14859</v>
      </c>
      <c r="M24" s="1">
        <v>0</v>
      </c>
      <c r="N24" s="1">
        <v>0</v>
      </c>
      <c r="O24" s="1">
        <v>5643.6811900000002</v>
      </c>
      <c r="P24" s="1">
        <v>15384.681189999999</v>
      </c>
      <c r="Q24" s="1">
        <v>5128.2270630000003</v>
      </c>
      <c r="R24" s="1">
        <v>9215.3188100000007</v>
      </c>
      <c r="S24" s="1">
        <v>0.37460599999999999</v>
      </c>
    </row>
    <row r="25" spans="1:19" x14ac:dyDescent="0.25">
      <c r="A25" s="1">
        <v>2018</v>
      </c>
      <c r="B25" s="1">
        <v>3</v>
      </c>
      <c r="C25" s="1" t="s">
        <v>21</v>
      </c>
      <c r="D25" s="1" t="s">
        <v>22</v>
      </c>
      <c r="E25" s="1" t="s">
        <v>23</v>
      </c>
      <c r="F25" s="1" t="s">
        <v>277</v>
      </c>
      <c r="G25" s="1" t="s">
        <v>819</v>
      </c>
      <c r="H25" s="1">
        <v>16</v>
      </c>
      <c r="I25" s="1">
        <v>15360</v>
      </c>
      <c r="J25" s="1">
        <v>5248</v>
      </c>
      <c r="K25" s="1">
        <v>960</v>
      </c>
      <c r="L25" s="1">
        <v>10112</v>
      </c>
      <c r="M25" s="1">
        <v>0</v>
      </c>
      <c r="N25" s="1">
        <v>0</v>
      </c>
      <c r="O25" s="1">
        <v>1536.227063</v>
      </c>
      <c r="P25" s="1">
        <v>6784.2270630000003</v>
      </c>
      <c r="Q25" s="1">
        <v>424.01419099999998</v>
      </c>
      <c r="R25" s="1">
        <v>8575.7729369999997</v>
      </c>
      <c r="S25" s="1">
        <v>0.55831799999999998</v>
      </c>
    </row>
    <row r="26" spans="1:19" x14ac:dyDescent="0.25">
      <c r="A26" s="1">
        <v>2018</v>
      </c>
      <c r="B26" s="1">
        <v>3</v>
      </c>
      <c r="C26" s="1" t="s">
        <v>21</v>
      </c>
      <c r="D26" s="1" t="s">
        <v>22</v>
      </c>
      <c r="E26" s="1" t="s">
        <v>23</v>
      </c>
      <c r="F26" s="1" t="s">
        <v>278</v>
      </c>
      <c r="G26" s="1" t="s">
        <v>820</v>
      </c>
      <c r="H26" s="1">
        <v>16</v>
      </c>
      <c r="I26" s="1">
        <v>20480</v>
      </c>
      <c r="J26" s="1">
        <v>2222</v>
      </c>
      <c r="K26" s="1">
        <v>1280</v>
      </c>
      <c r="L26" s="1">
        <v>18258</v>
      </c>
      <c r="M26" s="1">
        <v>0</v>
      </c>
      <c r="N26" s="1">
        <v>0</v>
      </c>
      <c r="O26" s="1">
        <v>8910.1169659999996</v>
      </c>
      <c r="P26" s="1">
        <v>11132.116966</v>
      </c>
      <c r="Q26" s="1">
        <v>695.75730999999996</v>
      </c>
      <c r="R26" s="1">
        <v>9347.8830340000004</v>
      </c>
      <c r="S26" s="1">
        <v>0.45643899999999998</v>
      </c>
    </row>
    <row r="27" spans="1:19" x14ac:dyDescent="0.25">
      <c r="A27" s="1">
        <v>2018</v>
      </c>
      <c r="B27" s="1">
        <v>3</v>
      </c>
      <c r="C27" s="1" t="s">
        <v>21</v>
      </c>
      <c r="D27" s="1" t="s">
        <v>22</v>
      </c>
      <c r="E27" s="1" t="s">
        <v>23</v>
      </c>
      <c r="F27" s="1" t="s">
        <v>279</v>
      </c>
      <c r="G27" s="1" t="s">
        <v>821</v>
      </c>
      <c r="H27" s="1">
        <v>16</v>
      </c>
      <c r="I27" s="1">
        <v>14400</v>
      </c>
      <c r="J27" s="1">
        <v>5896</v>
      </c>
      <c r="K27" s="1">
        <v>900</v>
      </c>
      <c r="L27" s="1">
        <v>8504</v>
      </c>
      <c r="M27" s="1">
        <v>0</v>
      </c>
      <c r="N27" s="1">
        <v>0</v>
      </c>
      <c r="O27" s="1">
        <v>0</v>
      </c>
      <c r="P27" s="1">
        <v>5896</v>
      </c>
      <c r="Q27" s="1">
        <v>368.5</v>
      </c>
      <c r="R27" s="1">
        <v>8504</v>
      </c>
      <c r="S27" s="1">
        <v>0.59055500000000005</v>
      </c>
    </row>
    <row r="28" spans="1:19" x14ac:dyDescent="0.25">
      <c r="A28" s="1">
        <v>2018</v>
      </c>
      <c r="B28" s="1">
        <v>3</v>
      </c>
      <c r="C28" s="1" t="s">
        <v>21</v>
      </c>
      <c r="D28" s="1" t="s">
        <v>22</v>
      </c>
      <c r="E28" s="1" t="s">
        <v>23</v>
      </c>
      <c r="F28" s="1" t="s">
        <v>280</v>
      </c>
      <c r="G28" s="1" t="s">
        <v>822</v>
      </c>
      <c r="H28" s="1">
        <v>30</v>
      </c>
      <c r="I28" s="1">
        <v>25500</v>
      </c>
      <c r="J28" s="1">
        <v>13297.999980000001</v>
      </c>
      <c r="K28" s="1">
        <v>850</v>
      </c>
      <c r="L28" s="1">
        <v>12202.000019999999</v>
      </c>
      <c r="M28" s="1">
        <v>0</v>
      </c>
      <c r="N28" s="1">
        <v>0</v>
      </c>
      <c r="O28" s="1">
        <v>0</v>
      </c>
      <c r="P28" s="1">
        <v>13297.999980000001</v>
      </c>
      <c r="Q28" s="1">
        <v>443.26666599999999</v>
      </c>
      <c r="R28" s="1">
        <v>12202.000019999999</v>
      </c>
      <c r="S28" s="1">
        <v>0.47850900000000002</v>
      </c>
    </row>
    <row r="29" spans="1:19" x14ac:dyDescent="0.25">
      <c r="A29" s="1">
        <v>2018</v>
      </c>
      <c r="B29" s="1">
        <v>4</v>
      </c>
      <c r="C29" s="1" t="s">
        <v>57</v>
      </c>
      <c r="D29" s="1" t="s">
        <v>22</v>
      </c>
      <c r="E29" s="1" t="s">
        <v>23</v>
      </c>
      <c r="F29" s="1" t="s">
        <v>253</v>
      </c>
      <c r="G29" s="1" t="s">
        <v>796</v>
      </c>
      <c r="H29" s="1">
        <v>820</v>
      </c>
      <c r="I29" s="1">
        <v>147400</v>
      </c>
      <c r="J29" s="1">
        <v>68007.9997</v>
      </c>
      <c r="K29" s="1">
        <v>179.75609700000001</v>
      </c>
      <c r="L29" s="1">
        <v>79392.0003</v>
      </c>
      <c r="M29" s="1">
        <v>0</v>
      </c>
      <c r="N29" s="1">
        <v>0</v>
      </c>
      <c r="O29" s="1">
        <v>67368.193612000003</v>
      </c>
      <c r="P29" s="1">
        <v>135376.19331199999</v>
      </c>
      <c r="Q29" s="1">
        <v>165.092918</v>
      </c>
      <c r="R29" s="1">
        <v>12023.806688000001</v>
      </c>
      <c r="S29" s="1">
        <v>8.1572000000000006E-2</v>
      </c>
    </row>
    <row r="30" spans="1:19" x14ac:dyDescent="0.25">
      <c r="A30" s="1">
        <v>2018</v>
      </c>
      <c r="B30" s="1">
        <v>4</v>
      </c>
      <c r="C30" s="1" t="s">
        <v>57</v>
      </c>
      <c r="D30" s="1" t="s">
        <v>22</v>
      </c>
      <c r="E30" s="1" t="s">
        <v>23</v>
      </c>
      <c r="F30" s="1" t="s">
        <v>255</v>
      </c>
      <c r="G30" s="1" t="s">
        <v>797</v>
      </c>
      <c r="H30" s="1">
        <v>300</v>
      </c>
      <c r="I30" s="1">
        <v>51600</v>
      </c>
      <c r="J30" s="1">
        <v>11659.9998</v>
      </c>
      <c r="K30" s="1">
        <v>172</v>
      </c>
      <c r="L30" s="1">
        <v>39940.000200000002</v>
      </c>
      <c r="M30" s="1">
        <v>0</v>
      </c>
      <c r="N30" s="1">
        <v>0</v>
      </c>
      <c r="O30" s="1">
        <v>21406.524455999999</v>
      </c>
      <c r="P30" s="1">
        <v>33066.524255999997</v>
      </c>
      <c r="Q30" s="1">
        <v>110.22174699999999</v>
      </c>
      <c r="R30" s="1">
        <v>18533.475743999999</v>
      </c>
      <c r="S30" s="1">
        <v>0.35917500000000002</v>
      </c>
    </row>
    <row r="31" spans="1:19" x14ac:dyDescent="0.25">
      <c r="A31" s="1">
        <v>2018</v>
      </c>
      <c r="B31" s="1">
        <v>4</v>
      </c>
      <c r="C31" s="1" t="s">
        <v>57</v>
      </c>
      <c r="D31" s="1" t="s">
        <v>22</v>
      </c>
      <c r="E31" s="1" t="s">
        <v>23</v>
      </c>
      <c r="F31" s="1" t="s">
        <v>257</v>
      </c>
      <c r="G31" s="1" t="s">
        <v>799</v>
      </c>
      <c r="H31" s="1">
        <v>20</v>
      </c>
      <c r="I31" s="1">
        <v>6400</v>
      </c>
      <c r="J31" s="1">
        <v>2597</v>
      </c>
      <c r="K31" s="1">
        <v>320</v>
      </c>
      <c r="L31" s="1">
        <v>3803</v>
      </c>
      <c r="M31" s="1">
        <v>0</v>
      </c>
      <c r="N31" s="1">
        <v>0</v>
      </c>
      <c r="O31" s="1">
        <v>0</v>
      </c>
      <c r="P31" s="1">
        <v>2597</v>
      </c>
      <c r="Q31" s="1">
        <v>129.85</v>
      </c>
      <c r="R31" s="1">
        <v>3803</v>
      </c>
      <c r="S31" s="1">
        <v>0.59421800000000002</v>
      </c>
    </row>
    <row r="32" spans="1:19" x14ac:dyDescent="0.25">
      <c r="A32" s="1">
        <v>2018</v>
      </c>
      <c r="B32" s="1">
        <v>4</v>
      </c>
      <c r="C32" s="1" t="s">
        <v>57</v>
      </c>
      <c r="D32" s="1" t="s">
        <v>22</v>
      </c>
      <c r="E32" s="1" t="s">
        <v>23</v>
      </c>
      <c r="F32" s="1" t="s">
        <v>283</v>
      </c>
      <c r="G32" s="1" t="s">
        <v>823</v>
      </c>
      <c r="H32" s="1">
        <v>19.7</v>
      </c>
      <c r="I32" s="1">
        <v>4925</v>
      </c>
      <c r="J32" s="1">
        <v>1285.999984</v>
      </c>
      <c r="K32" s="1">
        <v>250</v>
      </c>
      <c r="L32" s="1">
        <v>3639.000016</v>
      </c>
      <c r="M32" s="1">
        <v>0</v>
      </c>
      <c r="N32" s="1">
        <v>0</v>
      </c>
      <c r="O32" s="1">
        <v>218.38329400000001</v>
      </c>
      <c r="P32" s="1">
        <v>1504.383278</v>
      </c>
      <c r="Q32" s="1">
        <v>76.364632999999998</v>
      </c>
      <c r="R32" s="1">
        <v>3420.6167220000002</v>
      </c>
      <c r="S32" s="1">
        <v>0.69454099999999996</v>
      </c>
    </row>
    <row r="33" spans="1:19" x14ac:dyDescent="0.25">
      <c r="A33" s="1">
        <v>2018</v>
      </c>
      <c r="B33" s="1">
        <v>4</v>
      </c>
      <c r="C33" s="1" t="s">
        <v>57</v>
      </c>
      <c r="D33" s="1" t="s">
        <v>22</v>
      </c>
      <c r="E33" s="1" t="s">
        <v>23</v>
      </c>
      <c r="F33" s="1" t="s">
        <v>259</v>
      </c>
      <c r="G33" s="1" t="s">
        <v>801</v>
      </c>
      <c r="H33" s="1">
        <v>20</v>
      </c>
      <c r="I33" s="1">
        <v>5000</v>
      </c>
      <c r="J33" s="1">
        <v>2383</v>
      </c>
      <c r="K33" s="1">
        <v>250</v>
      </c>
      <c r="L33" s="1">
        <v>2617</v>
      </c>
      <c r="M33" s="1">
        <v>0</v>
      </c>
      <c r="N33" s="1">
        <v>0</v>
      </c>
      <c r="O33" s="1">
        <v>0</v>
      </c>
      <c r="P33" s="1">
        <v>2383</v>
      </c>
      <c r="Q33" s="1">
        <v>119.15</v>
      </c>
      <c r="R33" s="1">
        <v>2617</v>
      </c>
      <c r="S33" s="1">
        <v>0.52339999999999998</v>
      </c>
    </row>
    <row r="34" spans="1:19" x14ac:dyDescent="0.25">
      <c r="A34" s="1">
        <v>2018</v>
      </c>
      <c r="B34" s="1">
        <v>4</v>
      </c>
      <c r="C34" s="1" t="s">
        <v>57</v>
      </c>
      <c r="D34" s="1" t="s">
        <v>22</v>
      </c>
      <c r="E34" s="1" t="s">
        <v>23</v>
      </c>
      <c r="F34" s="1" t="s">
        <v>284</v>
      </c>
      <c r="G34" s="1" t="s">
        <v>824</v>
      </c>
      <c r="H34" s="1">
        <v>40</v>
      </c>
      <c r="I34" s="1">
        <v>6800</v>
      </c>
      <c r="J34" s="1">
        <v>3850</v>
      </c>
      <c r="K34" s="1">
        <v>170</v>
      </c>
      <c r="L34" s="1">
        <v>2950</v>
      </c>
      <c r="M34" s="1">
        <v>0</v>
      </c>
      <c r="N34" s="1">
        <v>0</v>
      </c>
      <c r="O34" s="1">
        <v>0</v>
      </c>
      <c r="P34" s="1">
        <v>3850</v>
      </c>
      <c r="Q34" s="1">
        <v>96.25</v>
      </c>
      <c r="R34" s="1">
        <v>2950</v>
      </c>
      <c r="S34" s="1">
        <v>0.43382300000000001</v>
      </c>
    </row>
    <row r="35" spans="1:19" x14ac:dyDescent="0.25">
      <c r="A35" s="1">
        <v>2018</v>
      </c>
      <c r="B35" s="1">
        <v>4</v>
      </c>
      <c r="C35" s="1" t="s">
        <v>57</v>
      </c>
      <c r="D35" s="1" t="s">
        <v>22</v>
      </c>
      <c r="E35" s="1" t="s">
        <v>23</v>
      </c>
      <c r="F35" s="1" t="s">
        <v>260</v>
      </c>
      <c r="G35" s="1" t="s">
        <v>802</v>
      </c>
      <c r="H35" s="1">
        <v>80</v>
      </c>
      <c r="I35" s="1">
        <v>14000</v>
      </c>
      <c r="J35" s="1">
        <v>8241</v>
      </c>
      <c r="K35" s="1">
        <v>175</v>
      </c>
      <c r="L35" s="1">
        <v>5759</v>
      </c>
      <c r="M35" s="1">
        <v>0</v>
      </c>
      <c r="N35" s="1">
        <v>0</v>
      </c>
      <c r="O35" s="1">
        <v>0</v>
      </c>
      <c r="P35" s="1">
        <v>8241</v>
      </c>
      <c r="Q35" s="1">
        <v>103.0125</v>
      </c>
      <c r="R35" s="1">
        <v>5759</v>
      </c>
      <c r="S35" s="1">
        <v>0.41135699999999997</v>
      </c>
    </row>
    <row r="36" spans="1:19" x14ac:dyDescent="0.25">
      <c r="A36" s="1">
        <v>2018</v>
      </c>
      <c r="B36" s="1">
        <v>4</v>
      </c>
      <c r="C36" s="1" t="s">
        <v>57</v>
      </c>
      <c r="D36" s="1" t="s">
        <v>22</v>
      </c>
      <c r="E36" s="1" t="s">
        <v>23</v>
      </c>
      <c r="F36" s="1" t="s">
        <v>261</v>
      </c>
      <c r="G36" s="1" t="s">
        <v>803</v>
      </c>
      <c r="H36" s="1">
        <v>2500</v>
      </c>
      <c r="I36" s="1">
        <v>312500</v>
      </c>
      <c r="J36" s="1">
        <v>178673</v>
      </c>
      <c r="K36" s="1">
        <v>125</v>
      </c>
      <c r="L36" s="1">
        <v>133827</v>
      </c>
      <c r="M36" s="1">
        <v>0</v>
      </c>
      <c r="N36" s="1">
        <v>0</v>
      </c>
      <c r="O36" s="1">
        <v>0</v>
      </c>
      <c r="P36" s="1">
        <v>178673</v>
      </c>
      <c r="Q36" s="1">
        <v>71.469200000000001</v>
      </c>
      <c r="R36" s="1">
        <v>133827</v>
      </c>
      <c r="S36" s="1">
        <v>0.42824600000000002</v>
      </c>
    </row>
    <row r="37" spans="1:19" x14ac:dyDescent="0.25">
      <c r="A37" s="1">
        <v>2018</v>
      </c>
      <c r="B37" s="1">
        <v>4</v>
      </c>
      <c r="C37" s="1" t="s">
        <v>57</v>
      </c>
      <c r="D37" s="1" t="s">
        <v>22</v>
      </c>
      <c r="E37" s="1" t="s">
        <v>23</v>
      </c>
      <c r="F37" s="1" t="s">
        <v>262</v>
      </c>
      <c r="G37" s="1" t="s">
        <v>804</v>
      </c>
      <c r="H37" s="1">
        <v>415.6</v>
      </c>
      <c r="I37" s="1">
        <v>60000</v>
      </c>
      <c r="J37" s="1">
        <v>33663.999807</v>
      </c>
      <c r="K37" s="1">
        <v>144.369586</v>
      </c>
      <c r="L37" s="1">
        <v>26336.000193</v>
      </c>
      <c r="M37" s="1">
        <v>0</v>
      </c>
      <c r="N37" s="1">
        <v>0</v>
      </c>
      <c r="O37" s="1">
        <v>0</v>
      </c>
      <c r="P37" s="1">
        <v>33663.999807</v>
      </c>
      <c r="Q37" s="1">
        <v>81.000961000000004</v>
      </c>
      <c r="R37" s="1">
        <v>26336.000193</v>
      </c>
      <c r="S37" s="1">
        <v>0.43893300000000002</v>
      </c>
    </row>
    <row r="38" spans="1:19" x14ac:dyDescent="0.25">
      <c r="A38" s="1">
        <v>2018</v>
      </c>
      <c r="B38" s="1">
        <v>4</v>
      </c>
      <c r="C38" s="1" t="s">
        <v>57</v>
      </c>
      <c r="D38" s="1" t="s">
        <v>22</v>
      </c>
      <c r="E38" s="1" t="s">
        <v>23</v>
      </c>
      <c r="F38" s="1" t="s">
        <v>285</v>
      </c>
      <c r="G38" s="1" t="s">
        <v>825</v>
      </c>
      <c r="H38" s="1">
        <v>232.4</v>
      </c>
      <c r="I38" s="1">
        <v>46480</v>
      </c>
      <c r="J38" s="1">
        <v>12549.999959999999</v>
      </c>
      <c r="K38" s="1">
        <v>200</v>
      </c>
      <c r="L38" s="1">
        <v>33930.000039999999</v>
      </c>
      <c r="M38" s="1">
        <v>0</v>
      </c>
      <c r="N38" s="1">
        <v>0</v>
      </c>
      <c r="O38" s="1">
        <v>2061.006198</v>
      </c>
      <c r="P38" s="1">
        <v>14611.006158</v>
      </c>
      <c r="Q38" s="1">
        <v>62.870077999999999</v>
      </c>
      <c r="R38" s="1">
        <v>31868.993842</v>
      </c>
      <c r="S38" s="1">
        <v>0.68564899999999995</v>
      </c>
    </row>
    <row r="39" spans="1:19" x14ac:dyDescent="0.25">
      <c r="A39" s="1">
        <v>2018</v>
      </c>
      <c r="B39" s="1">
        <v>4</v>
      </c>
      <c r="C39" s="1" t="s">
        <v>57</v>
      </c>
      <c r="D39" s="1" t="s">
        <v>22</v>
      </c>
      <c r="E39" s="1" t="s">
        <v>23</v>
      </c>
      <c r="F39" s="1" t="s">
        <v>286</v>
      </c>
      <c r="G39" s="1" t="s">
        <v>826</v>
      </c>
      <c r="H39" s="1">
        <v>108</v>
      </c>
      <c r="I39" s="1">
        <v>247320</v>
      </c>
      <c r="J39" s="1">
        <v>220944.999996</v>
      </c>
      <c r="K39" s="1">
        <v>2290</v>
      </c>
      <c r="L39" s="1">
        <v>26375.000004000001</v>
      </c>
      <c r="M39" s="1">
        <v>0</v>
      </c>
      <c r="N39" s="1">
        <v>0</v>
      </c>
      <c r="O39" s="1">
        <v>9000.1454549999999</v>
      </c>
      <c r="P39" s="1">
        <v>229945.14545099999</v>
      </c>
      <c r="Q39" s="1">
        <v>2129.121717</v>
      </c>
      <c r="R39" s="1">
        <v>17374.854549</v>
      </c>
      <c r="S39" s="1">
        <v>7.0251999999999995E-2</v>
      </c>
    </row>
    <row r="40" spans="1:19" x14ac:dyDescent="0.25">
      <c r="A40" s="1">
        <v>2018</v>
      </c>
      <c r="B40" s="1">
        <v>4</v>
      </c>
      <c r="C40" s="1" t="s">
        <v>57</v>
      </c>
      <c r="D40" s="1" t="s">
        <v>22</v>
      </c>
      <c r="E40" s="1" t="s">
        <v>23</v>
      </c>
      <c r="F40" s="1" t="s">
        <v>287</v>
      </c>
      <c r="G40" s="1" t="s">
        <v>827</v>
      </c>
      <c r="H40" s="1">
        <v>175</v>
      </c>
      <c r="I40" s="1">
        <v>21875</v>
      </c>
      <c r="J40" s="1">
        <v>16492</v>
      </c>
      <c r="K40" s="1">
        <v>125</v>
      </c>
      <c r="L40" s="1">
        <v>5383</v>
      </c>
      <c r="M40" s="1">
        <v>0</v>
      </c>
      <c r="N40" s="1">
        <v>0</v>
      </c>
      <c r="O40" s="1">
        <v>0</v>
      </c>
      <c r="P40" s="1">
        <v>16492</v>
      </c>
      <c r="Q40" s="1">
        <v>94.24</v>
      </c>
      <c r="R40" s="1">
        <v>5383</v>
      </c>
      <c r="S40" s="1">
        <v>0.24607999999999999</v>
      </c>
    </row>
    <row r="41" spans="1:19" x14ac:dyDescent="0.25">
      <c r="A41" s="1">
        <v>2018</v>
      </c>
      <c r="B41" s="1">
        <v>4</v>
      </c>
      <c r="C41" s="1" t="s">
        <v>57</v>
      </c>
      <c r="D41" s="1" t="s">
        <v>22</v>
      </c>
      <c r="E41" s="1" t="s">
        <v>23</v>
      </c>
      <c r="F41" s="1" t="s">
        <v>266</v>
      </c>
      <c r="G41" s="1" t="s">
        <v>808</v>
      </c>
      <c r="H41" s="1">
        <v>300</v>
      </c>
      <c r="I41" s="1">
        <v>60000</v>
      </c>
      <c r="J41" s="1">
        <v>42000</v>
      </c>
      <c r="K41" s="1">
        <v>200</v>
      </c>
      <c r="L41" s="1">
        <v>18000</v>
      </c>
      <c r="M41" s="1">
        <v>0</v>
      </c>
      <c r="N41" s="1">
        <v>0</v>
      </c>
      <c r="O41" s="1">
        <v>0</v>
      </c>
      <c r="P41" s="1">
        <v>42000</v>
      </c>
      <c r="Q41" s="1">
        <v>140</v>
      </c>
      <c r="R41" s="1">
        <v>18000</v>
      </c>
      <c r="S41" s="1">
        <v>0.3</v>
      </c>
    </row>
    <row r="42" spans="1:19" x14ac:dyDescent="0.25">
      <c r="A42" s="1">
        <v>2018</v>
      </c>
      <c r="B42" s="1">
        <v>4</v>
      </c>
      <c r="C42" s="1" t="s">
        <v>57</v>
      </c>
      <c r="D42" s="1" t="s">
        <v>22</v>
      </c>
      <c r="E42" s="1" t="s">
        <v>23</v>
      </c>
      <c r="F42" s="1" t="s">
        <v>288</v>
      </c>
      <c r="G42" s="1" t="s">
        <v>828</v>
      </c>
      <c r="H42" s="1">
        <v>1</v>
      </c>
      <c r="I42" s="1">
        <v>28500</v>
      </c>
      <c r="J42" s="1">
        <v>16412</v>
      </c>
      <c r="K42" s="1">
        <v>28500</v>
      </c>
      <c r="L42" s="1">
        <v>12088</v>
      </c>
      <c r="M42" s="1">
        <v>0</v>
      </c>
      <c r="N42" s="1">
        <v>0</v>
      </c>
      <c r="O42" s="1">
        <v>1044.0090909999999</v>
      </c>
      <c r="P42" s="1">
        <v>17456.009091</v>
      </c>
      <c r="Q42" s="1">
        <v>17456.009091</v>
      </c>
      <c r="R42" s="1">
        <v>11043.990909</v>
      </c>
      <c r="S42" s="1">
        <v>0.38750800000000002</v>
      </c>
    </row>
    <row r="43" spans="1:19" x14ac:dyDescent="0.25">
      <c r="A43" s="1">
        <v>2018</v>
      </c>
      <c r="B43" s="1">
        <v>4</v>
      </c>
      <c r="C43" s="1" t="s">
        <v>57</v>
      </c>
      <c r="D43" s="1" t="s">
        <v>22</v>
      </c>
      <c r="E43" s="1" t="s">
        <v>23</v>
      </c>
      <c r="F43" s="1" t="s">
        <v>270</v>
      </c>
      <c r="G43" s="1" t="s">
        <v>812</v>
      </c>
      <c r="H43" s="1">
        <v>36</v>
      </c>
      <c r="I43" s="1">
        <v>15300</v>
      </c>
      <c r="J43" s="1">
        <v>7281.9999719999996</v>
      </c>
      <c r="K43" s="1">
        <v>425</v>
      </c>
      <c r="L43" s="1">
        <v>8018.0000280000004</v>
      </c>
      <c r="M43" s="1">
        <v>0</v>
      </c>
      <c r="N43" s="1">
        <v>0</v>
      </c>
      <c r="O43" s="1">
        <v>4698.0409090000003</v>
      </c>
      <c r="P43" s="1">
        <v>11980.040881000001</v>
      </c>
      <c r="Q43" s="1">
        <v>332.77891299999999</v>
      </c>
      <c r="R43" s="1">
        <v>3319.9591190000001</v>
      </c>
      <c r="S43" s="1">
        <v>0.21698999999999999</v>
      </c>
    </row>
    <row r="44" spans="1:19" x14ac:dyDescent="0.25">
      <c r="A44" s="1">
        <v>2018</v>
      </c>
      <c r="B44" s="1">
        <v>4</v>
      </c>
      <c r="C44" s="1" t="s">
        <v>57</v>
      </c>
      <c r="D44" s="1" t="s">
        <v>22</v>
      </c>
      <c r="E44" s="1" t="s">
        <v>23</v>
      </c>
      <c r="F44" s="1" t="s">
        <v>271</v>
      </c>
      <c r="G44" s="1" t="s">
        <v>813</v>
      </c>
      <c r="H44" s="1">
        <v>493</v>
      </c>
      <c r="I44" s="1">
        <v>529142</v>
      </c>
      <c r="J44" s="1">
        <v>286928.99990499998</v>
      </c>
      <c r="K44" s="1">
        <v>1073.310344</v>
      </c>
      <c r="L44" s="1">
        <v>242213.000095</v>
      </c>
      <c r="M44" s="1">
        <v>0</v>
      </c>
      <c r="N44" s="1">
        <v>0</v>
      </c>
      <c r="O44" s="1">
        <v>4876.1658889999999</v>
      </c>
      <c r="P44" s="1">
        <v>291805.16579399997</v>
      </c>
      <c r="Q44" s="1">
        <v>591.89688799999999</v>
      </c>
      <c r="R44" s="1">
        <v>237336.834206</v>
      </c>
      <c r="S44" s="1">
        <v>0.44853100000000001</v>
      </c>
    </row>
    <row r="45" spans="1:19" x14ac:dyDescent="0.25">
      <c r="A45" s="1">
        <v>2018</v>
      </c>
      <c r="B45" s="1">
        <v>4</v>
      </c>
      <c r="C45" s="1" t="s">
        <v>57</v>
      </c>
      <c r="D45" s="1" t="s">
        <v>22</v>
      </c>
      <c r="E45" s="1" t="s">
        <v>23</v>
      </c>
      <c r="F45" s="1" t="s">
        <v>289</v>
      </c>
      <c r="G45" s="1" t="s">
        <v>829</v>
      </c>
      <c r="H45" s="1">
        <v>102</v>
      </c>
      <c r="I45" s="1">
        <v>255000</v>
      </c>
      <c r="J45" s="1">
        <v>133569.99990600001</v>
      </c>
      <c r="K45" s="1">
        <v>2500</v>
      </c>
      <c r="L45" s="1">
        <v>121430.000094</v>
      </c>
      <c r="M45" s="1">
        <v>0</v>
      </c>
      <c r="N45" s="1">
        <v>0</v>
      </c>
      <c r="O45" s="1">
        <v>0</v>
      </c>
      <c r="P45" s="1">
        <v>133569.99990600001</v>
      </c>
      <c r="Q45" s="1">
        <v>1309.5098029999999</v>
      </c>
      <c r="R45" s="1">
        <v>121430.000094</v>
      </c>
      <c r="S45" s="1">
        <v>0.47619600000000001</v>
      </c>
    </row>
    <row r="46" spans="1:19" x14ac:dyDescent="0.25">
      <c r="A46" s="1">
        <v>2018</v>
      </c>
      <c r="B46" s="1">
        <v>4</v>
      </c>
      <c r="C46" s="1" t="s">
        <v>57</v>
      </c>
      <c r="D46" s="1" t="s">
        <v>22</v>
      </c>
      <c r="E46" s="1" t="s">
        <v>23</v>
      </c>
      <c r="F46" s="1" t="s">
        <v>273</v>
      </c>
      <c r="G46" s="1" t="s">
        <v>815</v>
      </c>
      <c r="H46" s="1">
        <v>19</v>
      </c>
      <c r="I46" s="1">
        <v>68400</v>
      </c>
      <c r="J46" s="1">
        <v>41467.999985000002</v>
      </c>
      <c r="K46" s="1">
        <v>3600</v>
      </c>
      <c r="L46" s="1">
        <v>26932.000015000001</v>
      </c>
      <c r="M46" s="1">
        <v>0</v>
      </c>
      <c r="N46" s="1">
        <v>0</v>
      </c>
      <c r="O46" s="1">
        <v>0</v>
      </c>
      <c r="P46" s="1">
        <v>41467.999985000002</v>
      </c>
      <c r="Q46" s="1">
        <v>2182.5263150000001</v>
      </c>
      <c r="R46" s="1">
        <v>26932.000015000001</v>
      </c>
      <c r="S46" s="1">
        <v>0.39374199999999998</v>
      </c>
    </row>
    <row r="47" spans="1:19" x14ac:dyDescent="0.25">
      <c r="A47" s="1">
        <v>2018</v>
      </c>
      <c r="B47" s="1">
        <v>4</v>
      </c>
      <c r="C47" s="1" t="s">
        <v>57</v>
      </c>
      <c r="D47" s="1" t="s">
        <v>22</v>
      </c>
      <c r="E47" s="1" t="s">
        <v>23</v>
      </c>
      <c r="F47" s="1" t="s">
        <v>290</v>
      </c>
      <c r="G47" s="1" t="s">
        <v>830</v>
      </c>
      <c r="H47" s="1">
        <v>18</v>
      </c>
      <c r="I47" s="1">
        <v>72000</v>
      </c>
      <c r="J47" s="1">
        <v>42246</v>
      </c>
      <c r="K47" s="1">
        <v>4000</v>
      </c>
      <c r="L47" s="1">
        <v>29754</v>
      </c>
      <c r="M47" s="1">
        <v>0</v>
      </c>
      <c r="N47" s="1">
        <v>0</v>
      </c>
      <c r="O47" s="1">
        <v>0</v>
      </c>
      <c r="P47" s="1">
        <v>42246</v>
      </c>
      <c r="Q47" s="1">
        <v>2347</v>
      </c>
      <c r="R47" s="1">
        <v>29754</v>
      </c>
      <c r="S47" s="1">
        <v>0.41325000000000001</v>
      </c>
    </row>
    <row r="48" spans="1:19" x14ac:dyDescent="0.25">
      <c r="A48" s="1">
        <v>2018</v>
      </c>
      <c r="B48" s="1">
        <v>4</v>
      </c>
      <c r="C48" s="1" t="s">
        <v>57</v>
      </c>
      <c r="D48" s="1" t="s">
        <v>22</v>
      </c>
      <c r="E48" s="1" t="s">
        <v>23</v>
      </c>
      <c r="F48" s="1" t="s">
        <v>274</v>
      </c>
      <c r="G48" s="1" t="s">
        <v>816</v>
      </c>
      <c r="H48" s="1">
        <v>34</v>
      </c>
      <c r="I48" s="1">
        <v>74800</v>
      </c>
      <c r="J48" s="1">
        <v>33639.999975999999</v>
      </c>
      <c r="K48" s="1">
        <v>2200</v>
      </c>
      <c r="L48" s="1">
        <v>41160.000024000001</v>
      </c>
      <c r="M48" s="1">
        <v>0</v>
      </c>
      <c r="N48" s="1">
        <v>0</v>
      </c>
      <c r="O48" s="1">
        <v>0</v>
      </c>
      <c r="P48" s="1">
        <v>33639.999975999999</v>
      </c>
      <c r="Q48" s="1">
        <v>989.41176399999995</v>
      </c>
      <c r="R48" s="1">
        <v>41160.000024000001</v>
      </c>
      <c r="S48" s="1">
        <v>0.55026699999999995</v>
      </c>
    </row>
    <row r="49" spans="1:19" x14ac:dyDescent="0.25">
      <c r="A49" s="1">
        <v>2018</v>
      </c>
      <c r="B49" s="1">
        <v>4</v>
      </c>
      <c r="C49" s="1" t="s">
        <v>57</v>
      </c>
      <c r="D49" s="1" t="s">
        <v>22</v>
      </c>
      <c r="E49" s="1" t="s">
        <v>23</v>
      </c>
      <c r="F49" s="1" t="s">
        <v>275</v>
      </c>
      <c r="G49" s="1" t="s">
        <v>817</v>
      </c>
      <c r="H49" s="1">
        <v>54</v>
      </c>
      <c r="I49" s="1">
        <v>187200</v>
      </c>
      <c r="J49" s="1">
        <v>78570</v>
      </c>
      <c r="K49" s="1">
        <v>3466.6666660000001</v>
      </c>
      <c r="L49" s="1">
        <v>108630</v>
      </c>
      <c r="M49" s="1">
        <v>0</v>
      </c>
      <c r="N49" s="1">
        <v>0</v>
      </c>
      <c r="O49" s="1">
        <v>301.47501999999997</v>
      </c>
      <c r="P49" s="1">
        <v>78871.475019999998</v>
      </c>
      <c r="Q49" s="1">
        <v>1460.58287</v>
      </c>
      <c r="R49" s="1">
        <v>108328.52498</v>
      </c>
      <c r="S49" s="1">
        <v>0.57867800000000003</v>
      </c>
    </row>
    <row r="50" spans="1:19" x14ac:dyDescent="0.25">
      <c r="A50" s="1">
        <v>2018</v>
      </c>
      <c r="B50" s="1">
        <v>4</v>
      </c>
      <c r="C50" s="1" t="s">
        <v>57</v>
      </c>
      <c r="D50" s="1" t="s">
        <v>22</v>
      </c>
      <c r="E50" s="1" t="s">
        <v>23</v>
      </c>
      <c r="F50" s="1" t="s">
        <v>291</v>
      </c>
      <c r="G50" s="1" t="s">
        <v>831</v>
      </c>
      <c r="H50" s="1">
        <v>85</v>
      </c>
      <c r="I50" s="1">
        <v>245650</v>
      </c>
      <c r="J50" s="1">
        <v>103887.99993999999</v>
      </c>
      <c r="K50" s="1">
        <v>2890</v>
      </c>
      <c r="L50" s="1">
        <v>141762.00005999999</v>
      </c>
      <c r="M50" s="1">
        <v>0</v>
      </c>
      <c r="N50" s="1">
        <v>0</v>
      </c>
      <c r="O50" s="1">
        <v>0</v>
      </c>
      <c r="P50" s="1">
        <v>103887.99993999999</v>
      </c>
      <c r="Q50" s="1">
        <v>1222.2117639999999</v>
      </c>
      <c r="R50" s="1">
        <v>141762.00005999999</v>
      </c>
      <c r="S50" s="1">
        <v>0.57708899999999996</v>
      </c>
    </row>
    <row r="51" spans="1:19" x14ac:dyDescent="0.25">
      <c r="A51" s="1">
        <v>2018</v>
      </c>
      <c r="B51" s="1">
        <v>4</v>
      </c>
      <c r="C51" s="1" t="s">
        <v>57</v>
      </c>
      <c r="D51" s="1" t="s">
        <v>22</v>
      </c>
      <c r="E51" s="1" t="s">
        <v>23</v>
      </c>
      <c r="F51" s="1" t="s">
        <v>279</v>
      </c>
      <c r="G51" s="1" t="s">
        <v>821</v>
      </c>
      <c r="H51" s="1">
        <v>16</v>
      </c>
      <c r="I51" s="1">
        <v>14400</v>
      </c>
      <c r="J51" s="1">
        <v>5806</v>
      </c>
      <c r="K51" s="1">
        <v>900</v>
      </c>
      <c r="L51" s="1">
        <v>8594</v>
      </c>
      <c r="M51" s="1">
        <v>0</v>
      </c>
      <c r="N51" s="1">
        <v>0</v>
      </c>
      <c r="O51" s="1">
        <v>1620.669011</v>
      </c>
      <c r="P51" s="1">
        <v>7426.669011</v>
      </c>
      <c r="Q51" s="1">
        <v>464.16681299999999</v>
      </c>
      <c r="R51" s="1">
        <v>6973.330989</v>
      </c>
      <c r="S51" s="1">
        <v>0.484259</v>
      </c>
    </row>
    <row r="52" spans="1:19" x14ac:dyDescent="0.25">
      <c r="A52" s="1">
        <v>2018</v>
      </c>
      <c r="B52" s="1">
        <v>4</v>
      </c>
      <c r="C52" s="1" t="s">
        <v>57</v>
      </c>
      <c r="D52" s="1" t="s">
        <v>22</v>
      </c>
      <c r="E52" s="1" t="s">
        <v>23</v>
      </c>
      <c r="F52" s="1" t="s">
        <v>280</v>
      </c>
      <c r="G52" s="1" t="s">
        <v>822</v>
      </c>
      <c r="H52" s="1">
        <v>15</v>
      </c>
      <c r="I52" s="1">
        <v>12750</v>
      </c>
      <c r="J52" s="1">
        <v>6547.9999950000001</v>
      </c>
      <c r="K52" s="1">
        <v>850</v>
      </c>
      <c r="L52" s="1">
        <v>6202.0000049999999</v>
      </c>
      <c r="M52" s="1">
        <v>0</v>
      </c>
      <c r="N52" s="1">
        <v>0</v>
      </c>
      <c r="O52" s="1">
        <v>1434.967353</v>
      </c>
      <c r="P52" s="1">
        <v>7982.9673480000001</v>
      </c>
      <c r="Q52" s="1">
        <v>532.19782299999997</v>
      </c>
      <c r="R52" s="1">
        <v>4767.0326519999999</v>
      </c>
      <c r="S52" s="1">
        <v>0.37388399999999999</v>
      </c>
    </row>
    <row r="53" spans="1:19" x14ac:dyDescent="0.25">
      <c r="A53" s="1">
        <v>2018</v>
      </c>
      <c r="B53" s="1">
        <v>5</v>
      </c>
      <c r="C53" s="1" t="s">
        <v>63</v>
      </c>
      <c r="D53" s="1" t="s">
        <v>22</v>
      </c>
      <c r="E53" s="1" t="s">
        <v>23</v>
      </c>
      <c r="F53" s="1" t="s">
        <v>253</v>
      </c>
      <c r="G53" s="1" t="s">
        <v>796</v>
      </c>
      <c r="H53" s="1">
        <v>600</v>
      </c>
      <c r="I53" s="1">
        <v>110400</v>
      </c>
      <c r="J53" s="1">
        <v>52830.999600000003</v>
      </c>
      <c r="K53" s="1">
        <v>184</v>
      </c>
      <c r="L53" s="1">
        <v>57569.000399999997</v>
      </c>
      <c r="M53" s="1">
        <v>0</v>
      </c>
      <c r="N53" s="1">
        <v>0</v>
      </c>
      <c r="O53" s="1">
        <v>4456.5179870000002</v>
      </c>
      <c r="P53" s="1">
        <v>57287.517587000002</v>
      </c>
      <c r="Q53" s="1">
        <v>95.479195000000004</v>
      </c>
      <c r="R53" s="1">
        <v>53112.482412999998</v>
      </c>
      <c r="S53" s="1">
        <v>0.48109099999999999</v>
      </c>
    </row>
    <row r="54" spans="1:19" x14ac:dyDescent="0.25">
      <c r="A54" s="1">
        <v>2018</v>
      </c>
      <c r="B54" s="1">
        <v>5</v>
      </c>
      <c r="C54" s="1" t="s">
        <v>63</v>
      </c>
      <c r="D54" s="1" t="s">
        <v>22</v>
      </c>
      <c r="E54" s="1" t="s">
        <v>23</v>
      </c>
      <c r="F54" s="1" t="s">
        <v>255</v>
      </c>
      <c r="G54" s="1" t="s">
        <v>797</v>
      </c>
      <c r="H54" s="1">
        <v>510</v>
      </c>
      <c r="I54" s="1">
        <v>88350</v>
      </c>
      <c r="J54" s="1">
        <v>20483.99955</v>
      </c>
      <c r="K54" s="1">
        <v>173.23529400000001</v>
      </c>
      <c r="L54" s="1">
        <v>67866.000450000007</v>
      </c>
      <c r="M54" s="1">
        <v>0</v>
      </c>
      <c r="N54" s="1">
        <v>0</v>
      </c>
      <c r="O54" s="1">
        <v>8067.8342860000002</v>
      </c>
      <c r="P54" s="1">
        <v>28551.833836000002</v>
      </c>
      <c r="Q54" s="1">
        <v>55.983986999999999</v>
      </c>
      <c r="R54" s="1">
        <v>59798.166164000002</v>
      </c>
      <c r="S54" s="1">
        <v>0.67683199999999999</v>
      </c>
    </row>
    <row r="55" spans="1:19" x14ac:dyDescent="0.25">
      <c r="A55" s="1">
        <v>2018</v>
      </c>
      <c r="B55" s="1">
        <v>5</v>
      </c>
      <c r="C55" s="1" t="s">
        <v>63</v>
      </c>
      <c r="D55" s="1" t="s">
        <v>22</v>
      </c>
      <c r="E55" s="1" t="s">
        <v>23</v>
      </c>
      <c r="F55" s="1" t="s">
        <v>256</v>
      </c>
      <c r="G55" s="1" t="s">
        <v>798</v>
      </c>
      <c r="H55" s="1">
        <v>480</v>
      </c>
      <c r="I55" s="1">
        <v>76800</v>
      </c>
      <c r="J55" s="1">
        <v>14688</v>
      </c>
      <c r="K55" s="1">
        <v>160</v>
      </c>
      <c r="L55" s="1">
        <v>62112</v>
      </c>
      <c r="M55" s="1">
        <v>0</v>
      </c>
      <c r="N55" s="1">
        <v>0</v>
      </c>
      <c r="O55" s="1">
        <v>0</v>
      </c>
      <c r="P55" s="1">
        <v>14688</v>
      </c>
      <c r="Q55" s="1">
        <v>30.6</v>
      </c>
      <c r="R55" s="1">
        <v>62112</v>
      </c>
      <c r="S55" s="1">
        <v>0.80874999999999997</v>
      </c>
    </row>
    <row r="56" spans="1:19" x14ac:dyDescent="0.25">
      <c r="A56" s="1">
        <v>2018</v>
      </c>
      <c r="B56" s="1">
        <v>5</v>
      </c>
      <c r="C56" s="1" t="s">
        <v>63</v>
      </c>
      <c r="D56" s="1" t="s">
        <v>22</v>
      </c>
      <c r="E56" s="1" t="s">
        <v>23</v>
      </c>
      <c r="F56" s="1" t="s">
        <v>257</v>
      </c>
      <c r="G56" s="1" t="s">
        <v>799</v>
      </c>
      <c r="H56" s="1">
        <v>20</v>
      </c>
      <c r="I56" s="1">
        <v>6400</v>
      </c>
      <c r="J56" s="1">
        <v>3997</v>
      </c>
      <c r="K56" s="1">
        <v>320</v>
      </c>
      <c r="L56" s="1">
        <v>2403</v>
      </c>
      <c r="M56" s="1">
        <v>0</v>
      </c>
      <c r="N56" s="1">
        <v>0</v>
      </c>
      <c r="O56" s="1">
        <v>0</v>
      </c>
      <c r="P56" s="1">
        <v>3997</v>
      </c>
      <c r="Q56" s="1">
        <v>199.85</v>
      </c>
      <c r="R56" s="1">
        <v>2403</v>
      </c>
      <c r="S56" s="1">
        <v>0.37546800000000002</v>
      </c>
    </row>
    <row r="57" spans="1:19" x14ac:dyDescent="0.25">
      <c r="A57" s="1">
        <v>2018</v>
      </c>
      <c r="B57" s="1">
        <v>5</v>
      </c>
      <c r="C57" s="1" t="s">
        <v>63</v>
      </c>
      <c r="D57" s="1" t="s">
        <v>22</v>
      </c>
      <c r="E57" s="1" t="s">
        <v>23</v>
      </c>
      <c r="F57" s="1" t="s">
        <v>292</v>
      </c>
      <c r="G57" s="1" t="s">
        <v>832</v>
      </c>
      <c r="H57" s="1">
        <v>80</v>
      </c>
      <c r="I57" s="1">
        <v>15400</v>
      </c>
      <c r="J57" s="1">
        <v>14393</v>
      </c>
      <c r="K57" s="1">
        <v>192.5</v>
      </c>
      <c r="L57" s="1">
        <v>1007</v>
      </c>
      <c r="M57" s="1">
        <v>0</v>
      </c>
      <c r="N57" s="1">
        <v>0</v>
      </c>
      <c r="O57" s="1">
        <v>1987.0751330000001</v>
      </c>
      <c r="P57" s="1">
        <v>16380.075133</v>
      </c>
      <c r="Q57" s="1">
        <v>204.75093899999999</v>
      </c>
      <c r="R57" s="1">
        <v>-980.07513300000005</v>
      </c>
      <c r="S57" s="1">
        <v>-6.3641000000000003E-2</v>
      </c>
    </row>
    <row r="58" spans="1:19" x14ac:dyDescent="0.25">
      <c r="A58" s="1">
        <v>2018</v>
      </c>
      <c r="B58" s="1">
        <v>5</v>
      </c>
      <c r="C58" s="1" t="s">
        <v>63</v>
      </c>
      <c r="D58" s="1" t="s">
        <v>22</v>
      </c>
      <c r="E58" s="1" t="s">
        <v>23</v>
      </c>
      <c r="F58" s="1" t="s">
        <v>293</v>
      </c>
      <c r="G58" s="1" t="s">
        <v>833</v>
      </c>
      <c r="H58" s="1">
        <v>160</v>
      </c>
      <c r="I58" s="1">
        <v>26434</v>
      </c>
      <c r="J58" s="1">
        <v>32008</v>
      </c>
      <c r="K58" s="1">
        <v>165.21250000000001</v>
      </c>
      <c r="L58" s="1">
        <v>-5574</v>
      </c>
      <c r="M58" s="1">
        <v>0</v>
      </c>
      <c r="N58" s="1">
        <v>0</v>
      </c>
      <c r="O58" s="1">
        <v>0</v>
      </c>
      <c r="P58" s="1">
        <v>32008</v>
      </c>
      <c r="Q58" s="1">
        <v>200.05</v>
      </c>
      <c r="R58" s="1">
        <v>-5574</v>
      </c>
      <c r="S58" s="1">
        <v>-0.210864</v>
      </c>
    </row>
    <row r="59" spans="1:19" x14ac:dyDescent="0.25">
      <c r="A59" s="1">
        <v>2018</v>
      </c>
      <c r="B59" s="1">
        <v>5</v>
      </c>
      <c r="C59" s="1" t="s">
        <v>63</v>
      </c>
      <c r="D59" s="1" t="s">
        <v>22</v>
      </c>
      <c r="E59" s="1" t="s">
        <v>23</v>
      </c>
      <c r="F59" s="1" t="s">
        <v>294</v>
      </c>
      <c r="G59" s="1" t="s">
        <v>834</v>
      </c>
      <c r="H59" s="1">
        <v>280</v>
      </c>
      <c r="I59" s="1">
        <v>50880</v>
      </c>
      <c r="J59" s="1">
        <v>54948.999839999997</v>
      </c>
      <c r="K59" s="1">
        <v>181.71428499999999</v>
      </c>
      <c r="L59" s="1">
        <v>-4068.9998399999999</v>
      </c>
      <c r="M59" s="1">
        <v>0</v>
      </c>
      <c r="N59" s="1">
        <v>0</v>
      </c>
      <c r="O59" s="1">
        <v>2781.905186</v>
      </c>
      <c r="P59" s="1">
        <v>57730.905026</v>
      </c>
      <c r="Q59" s="1">
        <v>206.181803</v>
      </c>
      <c r="R59" s="1">
        <v>-6850.9050260000004</v>
      </c>
      <c r="S59" s="1">
        <v>-0.13464799999999999</v>
      </c>
    </row>
    <row r="60" spans="1:19" x14ac:dyDescent="0.25">
      <c r="A60" s="1">
        <v>2018</v>
      </c>
      <c r="B60" s="1">
        <v>5</v>
      </c>
      <c r="C60" s="1" t="s">
        <v>63</v>
      </c>
      <c r="D60" s="1" t="s">
        <v>22</v>
      </c>
      <c r="E60" s="1" t="s">
        <v>23</v>
      </c>
      <c r="F60" s="1" t="s">
        <v>260</v>
      </c>
      <c r="G60" s="1" t="s">
        <v>802</v>
      </c>
      <c r="H60" s="1">
        <v>214</v>
      </c>
      <c r="I60" s="1">
        <v>37450</v>
      </c>
      <c r="J60" s="1">
        <v>22044.999852000001</v>
      </c>
      <c r="K60" s="1">
        <v>175</v>
      </c>
      <c r="L60" s="1">
        <v>15405.000147999999</v>
      </c>
      <c r="M60" s="1">
        <v>0</v>
      </c>
      <c r="N60" s="1">
        <v>0</v>
      </c>
      <c r="O60" s="1">
        <v>0</v>
      </c>
      <c r="P60" s="1">
        <v>22044.999852000001</v>
      </c>
      <c r="Q60" s="1">
        <v>103.01401799999999</v>
      </c>
      <c r="R60" s="1">
        <v>15405.000147999999</v>
      </c>
      <c r="S60" s="1">
        <v>0.41134799999999999</v>
      </c>
    </row>
    <row r="61" spans="1:19" x14ac:dyDescent="0.25">
      <c r="A61" s="1">
        <v>2018</v>
      </c>
      <c r="B61" s="1">
        <v>5</v>
      </c>
      <c r="C61" s="1" t="s">
        <v>63</v>
      </c>
      <c r="D61" s="1" t="s">
        <v>22</v>
      </c>
      <c r="E61" s="1" t="s">
        <v>23</v>
      </c>
      <c r="F61" s="1" t="s">
        <v>261</v>
      </c>
      <c r="G61" s="1" t="s">
        <v>803</v>
      </c>
      <c r="H61" s="1">
        <v>3000</v>
      </c>
      <c r="I61" s="1">
        <v>375000</v>
      </c>
      <c r="J61" s="1">
        <v>228151.99799999999</v>
      </c>
      <c r="K61" s="1">
        <v>125</v>
      </c>
      <c r="L61" s="1">
        <v>146848.00200000001</v>
      </c>
      <c r="M61" s="1">
        <v>0</v>
      </c>
      <c r="N61" s="1">
        <v>0</v>
      </c>
      <c r="O61" s="1">
        <v>0</v>
      </c>
      <c r="P61" s="1">
        <v>228151.99799999999</v>
      </c>
      <c r="Q61" s="1">
        <v>76.050666000000007</v>
      </c>
      <c r="R61" s="1">
        <v>146848.00200000001</v>
      </c>
      <c r="S61" s="1">
        <v>0.391594</v>
      </c>
    </row>
    <row r="62" spans="1:19" x14ac:dyDescent="0.25">
      <c r="A62" s="1">
        <v>2018</v>
      </c>
      <c r="B62" s="1">
        <v>5</v>
      </c>
      <c r="C62" s="1" t="s">
        <v>63</v>
      </c>
      <c r="D62" s="1" t="s">
        <v>22</v>
      </c>
      <c r="E62" s="1" t="s">
        <v>23</v>
      </c>
      <c r="F62" s="1" t="s">
        <v>295</v>
      </c>
      <c r="G62" s="1" t="s">
        <v>835</v>
      </c>
      <c r="H62" s="1">
        <v>580.79999999999995</v>
      </c>
      <c r="I62" s="1">
        <v>78408</v>
      </c>
      <c r="J62" s="1">
        <v>62731.999493000003</v>
      </c>
      <c r="K62" s="1">
        <v>135</v>
      </c>
      <c r="L62" s="1">
        <v>15676.000507000001</v>
      </c>
      <c r="M62" s="1">
        <v>0</v>
      </c>
      <c r="N62" s="1">
        <v>0</v>
      </c>
      <c r="O62" s="1">
        <v>0</v>
      </c>
      <c r="P62" s="1">
        <v>62731.999493000003</v>
      </c>
      <c r="Q62" s="1">
        <v>108.009641</v>
      </c>
      <c r="R62" s="1">
        <v>15676.000507000001</v>
      </c>
      <c r="S62" s="1">
        <v>0.19992799999999999</v>
      </c>
    </row>
    <row r="63" spans="1:19" x14ac:dyDescent="0.25">
      <c r="A63" s="1">
        <v>2018</v>
      </c>
      <c r="B63" s="1">
        <v>5</v>
      </c>
      <c r="C63" s="1" t="s">
        <v>63</v>
      </c>
      <c r="D63" s="1" t="s">
        <v>22</v>
      </c>
      <c r="E63" s="1" t="s">
        <v>23</v>
      </c>
      <c r="F63" s="1" t="s">
        <v>262</v>
      </c>
      <c r="G63" s="1" t="s">
        <v>804</v>
      </c>
      <c r="H63" s="1">
        <v>207.8</v>
      </c>
      <c r="I63" s="1">
        <v>30000</v>
      </c>
      <c r="J63" s="1">
        <v>21359.999930999998</v>
      </c>
      <c r="K63" s="1">
        <v>144.369586</v>
      </c>
      <c r="L63" s="1">
        <v>8640.0000689999997</v>
      </c>
      <c r="M63" s="1">
        <v>0</v>
      </c>
      <c r="N63" s="1">
        <v>0</v>
      </c>
      <c r="O63" s="1">
        <v>0</v>
      </c>
      <c r="P63" s="1">
        <v>21359.999930999998</v>
      </c>
      <c r="Q63" s="1">
        <v>102.791145</v>
      </c>
      <c r="R63" s="1">
        <v>8640.0000689999997</v>
      </c>
      <c r="S63" s="1">
        <v>0.28799999999999998</v>
      </c>
    </row>
    <row r="64" spans="1:19" x14ac:dyDescent="0.25">
      <c r="A64" s="1">
        <v>2018</v>
      </c>
      <c r="B64" s="1">
        <v>5</v>
      </c>
      <c r="C64" s="1" t="s">
        <v>63</v>
      </c>
      <c r="D64" s="1" t="s">
        <v>22</v>
      </c>
      <c r="E64" s="1" t="s">
        <v>23</v>
      </c>
      <c r="F64" s="1" t="s">
        <v>265</v>
      </c>
      <c r="G64" s="1" t="s">
        <v>807</v>
      </c>
      <c r="H64" s="1">
        <v>36</v>
      </c>
      <c r="I64" s="1">
        <v>15300</v>
      </c>
      <c r="J64" s="1">
        <v>11125.999980000001</v>
      </c>
      <c r="K64" s="1">
        <v>425</v>
      </c>
      <c r="L64" s="1">
        <v>4174.0000200000004</v>
      </c>
      <c r="M64" s="1">
        <v>0</v>
      </c>
      <c r="N64" s="1">
        <v>0</v>
      </c>
      <c r="O64" s="1">
        <v>0</v>
      </c>
      <c r="P64" s="1">
        <v>11125.999980000001</v>
      </c>
      <c r="Q64" s="1">
        <v>309.05555500000003</v>
      </c>
      <c r="R64" s="1">
        <v>4174.0000200000004</v>
      </c>
      <c r="S64" s="1">
        <v>0.27281</v>
      </c>
    </row>
    <row r="65" spans="1:19" x14ac:dyDescent="0.25">
      <c r="A65" s="1">
        <v>2018</v>
      </c>
      <c r="B65" s="1">
        <v>5</v>
      </c>
      <c r="C65" s="1" t="s">
        <v>63</v>
      </c>
      <c r="D65" s="1" t="s">
        <v>22</v>
      </c>
      <c r="E65" s="1" t="s">
        <v>23</v>
      </c>
      <c r="F65" s="1" t="s">
        <v>287</v>
      </c>
      <c r="G65" s="1" t="s">
        <v>827</v>
      </c>
      <c r="H65" s="1">
        <v>175</v>
      </c>
      <c r="I65" s="1">
        <v>21875</v>
      </c>
      <c r="J65" s="1">
        <v>17306.99985</v>
      </c>
      <c r="K65" s="1">
        <v>125</v>
      </c>
      <c r="L65" s="1">
        <v>4568.0001499999998</v>
      </c>
      <c r="M65" s="1">
        <v>0</v>
      </c>
      <c r="N65" s="1">
        <v>0</v>
      </c>
      <c r="O65" s="1">
        <v>0</v>
      </c>
      <c r="P65" s="1">
        <v>17306.99985</v>
      </c>
      <c r="Q65" s="1">
        <v>98.897142000000002</v>
      </c>
      <c r="R65" s="1">
        <v>4568.0001499999998</v>
      </c>
      <c r="S65" s="1">
        <v>0.20882200000000001</v>
      </c>
    </row>
    <row r="66" spans="1:19" x14ac:dyDescent="0.25">
      <c r="A66" s="1">
        <v>2018</v>
      </c>
      <c r="B66" s="1">
        <v>5</v>
      </c>
      <c r="C66" s="1" t="s">
        <v>63</v>
      </c>
      <c r="D66" s="1" t="s">
        <v>22</v>
      </c>
      <c r="E66" s="1" t="s">
        <v>23</v>
      </c>
      <c r="F66" s="1" t="s">
        <v>266</v>
      </c>
      <c r="G66" s="1" t="s">
        <v>808</v>
      </c>
      <c r="H66" s="1">
        <v>240</v>
      </c>
      <c r="I66" s="1">
        <v>48000</v>
      </c>
      <c r="J66" s="1">
        <v>36235.999920000002</v>
      </c>
      <c r="K66" s="1">
        <v>200</v>
      </c>
      <c r="L66" s="1">
        <v>11764.00008</v>
      </c>
      <c r="M66" s="1">
        <v>0</v>
      </c>
      <c r="N66" s="1">
        <v>0</v>
      </c>
      <c r="O66" s="1">
        <v>0</v>
      </c>
      <c r="P66" s="1">
        <v>36235.999920000002</v>
      </c>
      <c r="Q66" s="1">
        <v>150.98333299999999</v>
      </c>
      <c r="R66" s="1">
        <v>11764.00008</v>
      </c>
      <c r="S66" s="1">
        <v>0.245083</v>
      </c>
    </row>
    <row r="67" spans="1:19" x14ac:dyDescent="0.25">
      <c r="A67" s="1">
        <v>2018</v>
      </c>
      <c r="B67" s="1">
        <v>5</v>
      </c>
      <c r="C67" s="1" t="s">
        <v>63</v>
      </c>
      <c r="D67" s="1" t="s">
        <v>22</v>
      </c>
      <c r="E67" s="1" t="s">
        <v>23</v>
      </c>
      <c r="F67" s="1" t="s">
        <v>296</v>
      </c>
      <c r="G67" s="1" t="s">
        <v>836</v>
      </c>
      <c r="H67" s="1">
        <v>18</v>
      </c>
      <c r="I67" s="1">
        <v>30240</v>
      </c>
      <c r="J67" s="1">
        <v>21281.999994000002</v>
      </c>
      <c r="K67" s="1">
        <v>1680</v>
      </c>
      <c r="L67" s="1">
        <v>8958.0000060000002</v>
      </c>
      <c r="M67" s="1">
        <v>0</v>
      </c>
      <c r="N67" s="1">
        <v>0</v>
      </c>
      <c r="O67" s="1">
        <v>5454.9955900000004</v>
      </c>
      <c r="P67" s="1">
        <v>26736.995584</v>
      </c>
      <c r="Q67" s="1">
        <v>1485.388643</v>
      </c>
      <c r="R67" s="1">
        <v>3503.0044160000002</v>
      </c>
      <c r="S67" s="1">
        <v>0.11584</v>
      </c>
    </row>
    <row r="68" spans="1:19" x14ac:dyDescent="0.25">
      <c r="A68" s="1">
        <v>2018</v>
      </c>
      <c r="B68" s="1">
        <v>5</v>
      </c>
      <c r="C68" s="1" t="s">
        <v>63</v>
      </c>
      <c r="D68" s="1" t="s">
        <v>22</v>
      </c>
      <c r="E68" s="1" t="s">
        <v>23</v>
      </c>
      <c r="F68" s="1" t="s">
        <v>297</v>
      </c>
      <c r="G68" s="1" t="s">
        <v>837</v>
      </c>
      <c r="H68" s="1">
        <v>90</v>
      </c>
      <c r="I68" s="1">
        <v>84780</v>
      </c>
      <c r="J68" s="1">
        <v>63173.999969999997</v>
      </c>
      <c r="K68" s="1">
        <v>942</v>
      </c>
      <c r="L68" s="1">
        <v>21606.000029999999</v>
      </c>
      <c r="M68" s="1">
        <v>0</v>
      </c>
      <c r="N68" s="1">
        <v>0</v>
      </c>
      <c r="O68" s="1">
        <v>0</v>
      </c>
      <c r="P68" s="1">
        <v>63173.999969999997</v>
      </c>
      <c r="Q68" s="1">
        <v>701.93333299999995</v>
      </c>
      <c r="R68" s="1">
        <v>21606.000029999999</v>
      </c>
      <c r="S68" s="1">
        <v>0.25484699999999999</v>
      </c>
    </row>
    <row r="69" spans="1:19" x14ac:dyDescent="0.25">
      <c r="A69" s="1">
        <v>2018</v>
      </c>
      <c r="B69" s="1">
        <v>5</v>
      </c>
      <c r="C69" s="1" t="s">
        <v>63</v>
      </c>
      <c r="D69" s="1" t="s">
        <v>22</v>
      </c>
      <c r="E69" s="1" t="s">
        <v>23</v>
      </c>
      <c r="F69" s="1" t="s">
        <v>268</v>
      </c>
      <c r="G69" s="1" t="s">
        <v>810</v>
      </c>
      <c r="H69" s="1">
        <v>52</v>
      </c>
      <c r="I69" s="1">
        <v>54132</v>
      </c>
      <c r="J69" s="1">
        <v>38259</v>
      </c>
      <c r="K69" s="1">
        <v>1041</v>
      </c>
      <c r="L69" s="1">
        <v>15873</v>
      </c>
      <c r="M69" s="1">
        <v>0</v>
      </c>
      <c r="N69" s="1">
        <v>0</v>
      </c>
      <c r="O69" s="1">
        <v>0</v>
      </c>
      <c r="P69" s="1">
        <v>38259</v>
      </c>
      <c r="Q69" s="1">
        <v>735.75</v>
      </c>
      <c r="R69" s="1">
        <v>15873</v>
      </c>
      <c r="S69" s="1">
        <v>0.29322700000000002</v>
      </c>
    </row>
    <row r="70" spans="1:19" x14ac:dyDescent="0.25">
      <c r="A70" s="1">
        <v>2018</v>
      </c>
      <c r="B70" s="1">
        <v>5</v>
      </c>
      <c r="C70" s="1" t="s">
        <v>63</v>
      </c>
      <c r="D70" s="1" t="s">
        <v>22</v>
      </c>
      <c r="E70" s="1" t="s">
        <v>23</v>
      </c>
      <c r="F70" s="1" t="s">
        <v>298</v>
      </c>
      <c r="G70" s="1" t="s">
        <v>838</v>
      </c>
      <c r="H70" s="1">
        <v>18</v>
      </c>
      <c r="I70" s="1">
        <v>27000</v>
      </c>
      <c r="J70" s="1">
        <v>17768.999988</v>
      </c>
      <c r="K70" s="1">
        <v>1500</v>
      </c>
      <c r="L70" s="1">
        <v>9231.0000120000004</v>
      </c>
      <c r="M70" s="1">
        <v>0</v>
      </c>
      <c r="N70" s="1">
        <v>0</v>
      </c>
      <c r="O70" s="1">
        <v>1182.3625930000001</v>
      </c>
      <c r="P70" s="1">
        <v>18951.362581000001</v>
      </c>
      <c r="Q70" s="1">
        <v>1052.853476</v>
      </c>
      <c r="R70" s="1">
        <v>8048.6374189999997</v>
      </c>
      <c r="S70" s="1">
        <v>0.298097</v>
      </c>
    </row>
    <row r="71" spans="1:19" x14ac:dyDescent="0.25">
      <c r="A71" s="1">
        <v>2018</v>
      </c>
      <c r="B71" s="1">
        <v>5</v>
      </c>
      <c r="C71" s="1" t="s">
        <v>63</v>
      </c>
      <c r="D71" s="1" t="s">
        <v>22</v>
      </c>
      <c r="E71" s="1" t="s">
        <v>23</v>
      </c>
      <c r="F71" s="1" t="s">
        <v>269</v>
      </c>
      <c r="G71" s="1" t="s">
        <v>811</v>
      </c>
      <c r="H71" s="1">
        <v>15</v>
      </c>
      <c r="I71" s="1">
        <v>20070</v>
      </c>
      <c r="J71" s="1">
        <v>14164.999995</v>
      </c>
      <c r="K71" s="1">
        <v>1338</v>
      </c>
      <c r="L71" s="1">
        <v>5905.0000049999999</v>
      </c>
      <c r="M71" s="1">
        <v>0</v>
      </c>
      <c r="N71" s="1">
        <v>0</v>
      </c>
      <c r="O71" s="1">
        <v>0</v>
      </c>
      <c r="P71" s="1">
        <v>14164.999995</v>
      </c>
      <c r="Q71" s="1">
        <v>944.33333300000004</v>
      </c>
      <c r="R71" s="1">
        <v>5905.0000049999999</v>
      </c>
      <c r="S71" s="1">
        <v>0.29421999999999998</v>
      </c>
    </row>
    <row r="72" spans="1:19" x14ac:dyDescent="0.25">
      <c r="A72" s="1">
        <v>2018</v>
      </c>
      <c r="B72" s="1">
        <v>5</v>
      </c>
      <c r="C72" s="1" t="s">
        <v>63</v>
      </c>
      <c r="D72" s="1" t="s">
        <v>22</v>
      </c>
      <c r="E72" s="1" t="s">
        <v>23</v>
      </c>
      <c r="F72" s="1" t="s">
        <v>299</v>
      </c>
      <c r="G72" s="1" t="s">
        <v>839</v>
      </c>
      <c r="H72" s="1">
        <v>17</v>
      </c>
      <c r="I72" s="1">
        <v>30685</v>
      </c>
      <c r="J72" s="1">
        <v>20590.999997999999</v>
      </c>
      <c r="K72" s="1">
        <v>1805</v>
      </c>
      <c r="L72" s="1">
        <v>10094.000002000001</v>
      </c>
      <c r="M72" s="1">
        <v>0</v>
      </c>
      <c r="N72" s="1">
        <v>0</v>
      </c>
      <c r="O72" s="1">
        <v>0</v>
      </c>
      <c r="P72" s="1">
        <v>20590.999997999999</v>
      </c>
      <c r="Q72" s="1">
        <v>1211.2352940000001</v>
      </c>
      <c r="R72" s="1">
        <v>10094.000002000001</v>
      </c>
      <c r="S72" s="1">
        <v>0.328955</v>
      </c>
    </row>
    <row r="73" spans="1:19" x14ac:dyDescent="0.25">
      <c r="A73" s="1">
        <v>2018</v>
      </c>
      <c r="B73" s="1">
        <v>5</v>
      </c>
      <c r="C73" s="1" t="s">
        <v>63</v>
      </c>
      <c r="D73" s="1" t="s">
        <v>22</v>
      </c>
      <c r="E73" s="1" t="s">
        <v>23</v>
      </c>
      <c r="F73" s="1" t="s">
        <v>271</v>
      </c>
      <c r="G73" s="1" t="s">
        <v>813</v>
      </c>
      <c r="H73" s="1">
        <v>34</v>
      </c>
      <c r="I73" s="1">
        <v>34884</v>
      </c>
      <c r="J73" s="1">
        <v>21173.999970000001</v>
      </c>
      <c r="K73" s="1">
        <v>1026</v>
      </c>
      <c r="L73" s="1">
        <v>13710.000029999999</v>
      </c>
      <c r="M73" s="1">
        <v>0</v>
      </c>
      <c r="N73" s="1">
        <v>0</v>
      </c>
      <c r="O73" s="1">
        <v>0</v>
      </c>
      <c r="P73" s="1">
        <v>21173.999970000001</v>
      </c>
      <c r="Q73" s="1">
        <v>622.76470500000005</v>
      </c>
      <c r="R73" s="1">
        <v>13710.000029999999</v>
      </c>
      <c r="S73" s="1">
        <v>0.39301599999999998</v>
      </c>
    </row>
    <row r="74" spans="1:19" x14ac:dyDescent="0.25">
      <c r="A74" s="1">
        <v>2018</v>
      </c>
      <c r="B74" s="1">
        <v>5</v>
      </c>
      <c r="C74" s="1" t="s">
        <v>63</v>
      </c>
      <c r="D74" s="1" t="s">
        <v>22</v>
      </c>
      <c r="E74" s="1" t="s">
        <v>23</v>
      </c>
      <c r="F74" s="1" t="s">
        <v>300</v>
      </c>
      <c r="G74" s="1" t="s">
        <v>840</v>
      </c>
      <c r="H74" s="1">
        <v>17</v>
      </c>
      <c r="I74" s="1">
        <v>27200</v>
      </c>
      <c r="J74" s="1">
        <v>16378.999996</v>
      </c>
      <c r="K74" s="1">
        <v>1600</v>
      </c>
      <c r="L74" s="1">
        <v>10821.000004</v>
      </c>
      <c r="M74" s="1">
        <v>0</v>
      </c>
      <c r="N74" s="1">
        <v>0</v>
      </c>
      <c r="O74" s="1">
        <v>0</v>
      </c>
      <c r="P74" s="1">
        <v>16378.999996</v>
      </c>
      <c r="Q74" s="1">
        <v>963.47058800000002</v>
      </c>
      <c r="R74" s="1">
        <v>10821.000004</v>
      </c>
      <c r="S74" s="1">
        <v>0.39783000000000002</v>
      </c>
    </row>
    <row r="75" spans="1:19" x14ac:dyDescent="0.25">
      <c r="A75" s="1">
        <v>2018</v>
      </c>
      <c r="B75" s="1">
        <v>5</v>
      </c>
      <c r="C75" s="1" t="s">
        <v>63</v>
      </c>
      <c r="D75" s="1" t="s">
        <v>22</v>
      </c>
      <c r="E75" s="1" t="s">
        <v>23</v>
      </c>
      <c r="F75" s="1" t="s">
        <v>289</v>
      </c>
      <c r="G75" s="1" t="s">
        <v>829</v>
      </c>
      <c r="H75" s="1">
        <v>51</v>
      </c>
      <c r="I75" s="1">
        <v>127500</v>
      </c>
      <c r="J75" s="1">
        <v>70607.999987999996</v>
      </c>
      <c r="K75" s="1">
        <v>2500</v>
      </c>
      <c r="L75" s="1">
        <v>56892.000011999997</v>
      </c>
      <c r="M75" s="1">
        <v>0</v>
      </c>
      <c r="N75" s="1">
        <v>0</v>
      </c>
      <c r="O75" s="1">
        <v>0</v>
      </c>
      <c r="P75" s="1">
        <v>70607.999987999996</v>
      </c>
      <c r="Q75" s="1">
        <v>1384.4705879999999</v>
      </c>
      <c r="R75" s="1">
        <v>56892.000011999997</v>
      </c>
      <c r="S75" s="1">
        <v>0.44621100000000002</v>
      </c>
    </row>
    <row r="76" spans="1:19" x14ac:dyDescent="0.25">
      <c r="A76" s="1">
        <v>2018</v>
      </c>
      <c r="B76" s="1">
        <v>5</v>
      </c>
      <c r="C76" s="1" t="s">
        <v>63</v>
      </c>
      <c r="D76" s="1" t="s">
        <v>22</v>
      </c>
      <c r="E76" s="1" t="s">
        <v>23</v>
      </c>
      <c r="F76" s="1" t="s">
        <v>274</v>
      </c>
      <c r="G76" s="1" t="s">
        <v>816</v>
      </c>
      <c r="H76" s="1">
        <v>34</v>
      </c>
      <c r="I76" s="1">
        <v>74800</v>
      </c>
      <c r="J76" s="1">
        <v>35422.999993999998</v>
      </c>
      <c r="K76" s="1">
        <v>2200</v>
      </c>
      <c r="L76" s="1">
        <v>39377.000006000002</v>
      </c>
      <c r="M76" s="1">
        <v>0</v>
      </c>
      <c r="N76" s="1">
        <v>0</v>
      </c>
      <c r="O76" s="1">
        <v>0</v>
      </c>
      <c r="P76" s="1">
        <v>35422.999993999998</v>
      </c>
      <c r="Q76" s="1">
        <v>1041.8529410000001</v>
      </c>
      <c r="R76" s="1">
        <v>39377.000006000002</v>
      </c>
      <c r="S76" s="1">
        <v>0.52642999999999995</v>
      </c>
    </row>
    <row r="77" spans="1:19" x14ac:dyDescent="0.25">
      <c r="A77" s="1">
        <v>2018</v>
      </c>
      <c r="B77" s="1">
        <v>5</v>
      </c>
      <c r="C77" s="1" t="s">
        <v>63</v>
      </c>
      <c r="D77" s="1" t="s">
        <v>22</v>
      </c>
      <c r="E77" s="1" t="s">
        <v>23</v>
      </c>
      <c r="F77" s="1" t="s">
        <v>275</v>
      </c>
      <c r="G77" s="1" t="s">
        <v>817</v>
      </c>
      <c r="H77" s="1">
        <v>54</v>
      </c>
      <c r="I77" s="1">
        <v>187200</v>
      </c>
      <c r="J77" s="1">
        <v>82668.999978000007</v>
      </c>
      <c r="K77" s="1">
        <v>3466.6666660000001</v>
      </c>
      <c r="L77" s="1">
        <v>104531.00002199999</v>
      </c>
      <c r="M77" s="1">
        <v>0</v>
      </c>
      <c r="N77" s="1">
        <v>0</v>
      </c>
      <c r="O77" s="1">
        <v>0</v>
      </c>
      <c r="P77" s="1">
        <v>82668.999978000007</v>
      </c>
      <c r="Q77" s="1">
        <v>1530.9074069999999</v>
      </c>
      <c r="R77" s="1">
        <v>104531.00002199999</v>
      </c>
      <c r="S77" s="1">
        <v>0.558392</v>
      </c>
    </row>
    <row r="78" spans="1:19" x14ac:dyDescent="0.25">
      <c r="A78" s="1">
        <v>2018</v>
      </c>
      <c r="B78" s="1">
        <v>5</v>
      </c>
      <c r="C78" s="1" t="s">
        <v>63</v>
      </c>
      <c r="D78" s="1" t="s">
        <v>22</v>
      </c>
      <c r="E78" s="1" t="s">
        <v>23</v>
      </c>
      <c r="F78" s="1" t="s">
        <v>291</v>
      </c>
      <c r="G78" s="1" t="s">
        <v>831</v>
      </c>
      <c r="H78" s="1">
        <v>85</v>
      </c>
      <c r="I78" s="1">
        <v>245650</v>
      </c>
      <c r="J78" s="1">
        <v>110996.99993000001</v>
      </c>
      <c r="K78" s="1">
        <v>2890</v>
      </c>
      <c r="L78" s="1">
        <v>134653.00007000001</v>
      </c>
      <c r="M78" s="1">
        <v>0</v>
      </c>
      <c r="N78" s="1">
        <v>0</v>
      </c>
      <c r="O78" s="1">
        <v>0</v>
      </c>
      <c r="P78" s="1">
        <v>110996.99993000001</v>
      </c>
      <c r="Q78" s="1">
        <v>1305.8470580000001</v>
      </c>
      <c r="R78" s="1">
        <v>134653.00007000001</v>
      </c>
      <c r="S78" s="1">
        <v>0.548149</v>
      </c>
    </row>
    <row r="79" spans="1:19" x14ac:dyDescent="0.25">
      <c r="A79" s="1">
        <v>2018</v>
      </c>
      <c r="B79" s="1">
        <v>5</v>
      </c>
      <c r="C79" s="1" t="s">
        <v>63</v>
      </c>
      <c r="D79" s="1" t="s">
        <v>22</v>
      </c>
      <c r="E79" s="1" t="s">
        <v>23</v>
      </c>
      <c r="F79" s="1" t="s">
        <v>279</v>
      </c>
      <c r="G79" s="1" t="s">
        <v>821</v>
      </c>
      <c r="H79" s="1">
        <v>16</v>
      </c>
      <c r="I79" s="1">
        <v>14400</v>
      </c>
      <c r="J79" s="1">
        <v>7263</v>
      </c>
      <c r="K79" s="1">
        <v>900</v>
      </c>
      <c r="L79" s="1">
        <v>7137</v>
      </c>
      <c r="M79" s="1">
        <v>0</v>
      </c>
      <c r="N79" s="1">
        <v>0</v>
      </c>
      <c r="O79" s="1">
        <v>0</v>
      </c>
      <c r="P79" s="1">
        <v>7263</v>
      </c>
      <c r="Q79" s="1">
        <v>453.9375</v>
      </c>
      <c r="R79" s="1">
        <v>7137</v>
      </c>
      <c r="S79" s="1">
        <v>0.49562499999999998</v>
      </c>
    </row>
    <row r="80" spans="1:19" x14ac:dyDescent="0.25">
      <c r="A80" s="1">
        <v>2018</v>
      </c>
      <c r="B80" s="1">
        <v>5</v>
      </c>
      <c r="C80" s="1" t="s">
        <v>63</v>
      </c>
      <c r="D80" s="1" t="s">
        <v>22</v>
      </c>
      <c r="E80" s="1" t="s">
        <v>23</v>
      </c>
      <c r="F80" s="1" t="s">
        <v>301</v>
      </c>
      <c r="G80" s="1" t="s">
        <v>841</v>
      </c>
      <c r="H80" s="1">
        <v>5</v>
      </c>
      <c r="I80" s="1">
        <v>104330</v>
      </c>
      <c r="J80" s="1">
        <v>60449</v>
      </c>
      <c r="K80" s="1">
        <v>20866</v>
      </c>
      <c r="L80" s="1">
        <v>43881</v>
      </c>
      <c r="M80" s="1">
        <v>0</v>
      </c>
      <c r="N80" s="1">
        <v>0</v>
      </c>
      <c r="O80" s="1">
        <v>4568.7366419999998</v>
      </c>
      <c r="P80" s="1">
        <v>65017.736642000003</v>
      </c>
      <c r="Q80" s="1">
        <v>13003.547328000001</v>
      </c>
      <c r="R80" s="1">
        <v>39312.263357999997</v>
      </c>
      <c r="S80" s="1">
        <v>0.37680599999999997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05"/>
  <sheetViews>
    <sheetView workbookViewId="0">
      <selection activeCell="E13" sqref="E13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53" style="1" bestFit="1" customWidth="1"/>
    <col min="6" max="6" width="36.7109375" style="1" bestFit="1" customWidth="1"/>
    <col min="7" max="7" width="12.28515625" style="1" hidden="1" customWidth="1"/>
    <col min="8" max="8" width="23.85546875" style="1" hidden="1" customWidth="1"/>
    <col min="9" max="9" width="53" style="1" hidden="1" customWidth="1"/>
    <col min="10" max="10" width="70.85546875" style="1" hidden="1" customWidth="1"/>
    <col min="11" max="11" width="11.28515625" style="1" bestFit="1" customWidth="1"/>
    <col min="12" max="13" width="16.85546875" style="1" bestFit="1" customWidth="1"/>
    <col min="14" max="14" width="34.42578125" style="1" bestFit="1" customWidth="1"/>
    <col min="15" max="15" width="26.42578125" style="1" bestFit="1" customWidth="1"/>
    <col min="16" max="16" width="21.28515625" style="1" bestFit="1" customWidth="1"/>
    <col min="17" max="17" width="16.85546875" style="1" bestFit="1" customWidth="1"/>
    <col min="18" max="18" width="18" style="1" bestFit="1" customWidth="1"/>
    <col min="19" max="19" width="8.42578125" style="1" bestFit="1" customWidth="1"/>
    <col min="20" max="20" width="13.5703125" style="1" bestFit="1" customWidth="1"/>
    <col min="21" max="21" width="13.85546875" style="1" bestFit="1" customWidth="1"/>
    <col min="22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842</v>
      </c>
      <c r="F1" s="1" t="s">
        <v>711</v>
      </c>
      <c r="G1" s="1" t="s">
        <v>593</v>
      </c>
      <c r="H1" s="1" t="s">
        <v>843</v>
      </c>
      <c r="I1" s="1" t="s">
        <v>844</v>
      </c>
      <c r="J1" s="1" t="s">
        <v>281</v>
      </c>
      <c r="K1" s="1" t="s">
        <v>712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793</v>
      </c>
      <c r="Q1" s="1" t="s">
        <v>594</v>
      </c>
      <c r="R1" s="1" t="s">
        <v>849</v>
      </c>
      <c r="S1" s="1" t="s">
        <v>251</v>
      </c>
      <c r="T1" s="1" t="s">
        <v>850</v>
      </c>
      <c r="U1" s="1" t="s">
        <v>598</v>
      </c>
    </row>
    <row r="2" spans="1:21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851</v>
      </c>
      <c r="F2" s="1" t="s">
        <v>852</v>
      </c>
      <c r="G2" s="1" t="s">
        <v>600</v>
      </c>
      <c r="H2" s="1" t="s">
        <v>34</v>
      </c>
      <c r="I2" s="1" t="s">
        <v>851</v>
      </c>
      <c r="J2" s="1" t="s">
        <v>853</v>
      </c>
      <c r="K2" s="1">
        <v>30600</v>
      </c>
      <c r="L2" s="1">
        <v>14563.999943999999</v>
      </c>
      <c r="M2" s="1">
        <v>16036.000056000001</v>
      </c>
      <c r="N2" s="1">
        <v>0</v>
      </c>
      <c r="O2" s="1">
        <v>0</v>
      </c>
      <c r="P2" s="1">
        <v>0</v>
      </c>
      <c r="Q2" s="1">
        <v>14563.999943999999</v>
      </c>
      <c r="R2" s="1">
        <v>16036.000056000001</v>
      </c>
      <c r="S2" s="1">
        <v>72</v>
      </c>
      <c r="T2" s="1">
        <v>0.52405199999999996</v>
      </c>
      <c r="U2" s="1" t="s">
        <v>601</v>
      </c>
    </row>
    <row r="3" spans="1:21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851</v>
      </c>
      <c r="F3" s="1" t="s">
        <v>854</v>
      </c>
      <c r="G3" s="1" t="s">
        <v>603</v>
      </c>
      <c r="H3" s="1" t="s">
        <v>32</v>
      </c>
      <c r="I3" s="1" t="s">
        <v>851</v>
      </c>
      <c r="J3" s="1" t="s">
        <v>855</v>
      </c>
      <c r="K3" s="1">
        <v>16200</v>
      </c>
      <c r="L3" s="1">
        <v>13291.999991999999</v>
      </c>
      <c r="M3" s="1">
        <v>2908.000008</v>
      </c>
      <c r="N3" s="1">
        <v>0</v>
      </c>
      <c r="O3" s="1">
        <v>0</v>
      </c>
      <c r="P3" s="1">
        <v>0</v>
      </c>
      <c r="Q3" s="1">
        <v>13291.999991999999</v>
      </c>
      <c r="R3" s="1">
        <v>2908.000008</v>
      </c>
      <c r="S3" s="1">
        <v>36</v>
      </c>
      <c r="T3" s="1">
        <v>0.179506</v>
      </c>
      <c r="U3" s="1" t="s">
        <v>604</v>
      </c>
    </row>
    <row r="4" spans="1:21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851</v>
      </c>
      <c r="F4" s="1" t="s">
        <v>856</v>
      </c>
      <c r="G4" s="1" t="s">
        <v>605</v>
      </c>
      <c r="H4" s="1" t="s">
        <v>32</v>
      </c>
      <c r="I4" s="1" t="s">
        <v>851</v>
      </c>
      <c r="J4" s="1" t="s">
        <v>857</v>
      </c>
      <c r="K4" s="1">
        <v>74900</v>
      </c>
      <c r="L4" s="1">
        <v>44090.999940000002</v>
      </c>
      <c r="M4" s="1">
        <v>30809.000059999998</v>
      </c>
      <c r="N4" s="1">
        <v>0</v>
      </c>
      <c r="O4" s="1">
        <v>0</v>
      </c>
      <c r="P4" s="1">
        <v>0</v>
      </c>
      <c r="Q4" s="1">
        <v>44090.999940000002</v>
      </c>
      <c r="R4" s="1">
        <v>30809.000059999998</v>
      </c>
      <c r="S4" s="1">
        <v>428</v>
      </c>
      <c r="T4" s="1">
        <v>0.41133500000000001</v>
      </c>
      <c r="U4" s="1" t="s">
        <v>604</v>
      </c>
    </row>
    <row r="5" spans="1:21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851</v>
      </c>
      <c r="F5" s="1" t="s">
        <v>858</v>
      </c>
      <c r="G5" s="1" t="s">
        <v>606</v>
      </c>
      <c r="H5" s="1" t="s">
        <v>32</v>
      </c>
      <c r="I5" s="1" t="s">
        <v>851</v>
      </c>
      <c r="J5" s="1" t="s">
        <v>859</v>
      </c>
      <c r="K5" s="1">
        <v>9600</v>
      </c>
      <c r="L5" s="1">
        <v>4592</v>
      </c>
      <c r="M5" s="1">
        <v>5008</v>
      </c>
      <c r="N5" s="1">
        <v>0</v>
      </c>
      <c r="O5" s="1">
        <v>0</v>
      </c>
      <c r="P5" s="1">
        <v>0</v>
      </c>
      <c r="Q5" s="1">
        <v>4592</v>
      </c>
      <c r="R5" s="1">
        <v>5008</v>
      </c>
      <c r="S5" s="1">
        <v>20</v>
      </c>
      <c r="T5" s="1">
        <v>0.52166599999999996</v>
      </c>
      <c r="U5" s="1" t="s">
        <v>604</v>
      </c>
    </row>
    <row r="6" spans="1:21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851</v>
      </c>
      <c r="F6" s="1" t="s">
        <v>858</v>
      </c>
      <c r="G6" s="1" t="s">
        <v>607</v>
      </c>
      <c r="H6" s="1" t="s">
        <v>32</v>
      </c>
      <c r="I6" s="1" t="s">
        <v>851</v>
      </c>
      <c r="J6" s="1" t="s">
        <v>860</v>
      </c>
      <c r="K6" s="1">
        <v>6400</v>
      </c>
      <c r="L6" s="1">
        <v>2637</v>
      </c>
      <c r="M6" s="1">
        <v>3763</v>
      </c>
      <c r="N6" s="1">
        <v>0</v>
      </c>
      <c r="O6" s="1">
        <v>0</v>
      </c>
      <c r="P6" s="1">
        <v>0</v>
      </c>
      <c r="Q6" s="1">
        <v>2637</v>
      </c>
      <c r="R6" s="1">
        <v>3763</v>
      </c>
      <c r="S6" s="1">
        <v>20</v>
      </c>
      <c r="T6" s="1">
        <v>0.58796800000000005</v>
      </c>
      <c r="U6" s="1" t="s">
        <v>604</v>
      </c>
    </row>
    <row r="7" spans="1:21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851</v>
      </c>
      <c r="F7" s="1" t="s">
        <v>861</v>
      </c>
      <c r="G7" s="1" t="s">
        <v>608</v>
      </c>
      <c r="H7" s="1" t="s">
        <v>32</v>
      </c>
      <c r="I7" s="1" t="s">
        <v>851</v>
      </c>
      <c r="J7" s="1" t="s">
        <v>862</v>
      </c>
      <c r="K7" s="1">
        <v>125000</v>
      </c>
      <c r="L7" s="1">
        <v>71469</v>
      </c>
      <c r="M7" s="1">
        <v>53531</v>
      </c>
      <c r="N7" s="1">
        <v>0</v>
      </c>
      <c r="O7" s="1">
        <v>0</v>
      </c>
      <c r="P7" s="1">
        <v>0</v>
      </c>
      <c r="Q7" s="1">
        <v>71469</v>
      </c>
      <c r="R7" s="1">
        <v>53531</v>
      </c>
      <c r="S7" s="1">
        <v>1000</v>
      </c>
      <c r="T7" s="1">
        <v>0.42824800000000002</v>
      </c>
      <c r="U7" s="1" t="s">
        <v>604</v>
      </c>
    </row>
    <row r="8" spans="1:21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851</v>
      </c>
      <c r="F8" s="1" t="s">
        <v>863</v>
      </c>
      <c r="G8" s="1" t="s">
        <v>609</v>
      </c>
      <c r="H8" s="1" t="s">
        <v>34</v>
      </c>
      <c r="I8" s="1" t="s">
        <v>851</v>
      </c>
      <c r="J8" s="1" t="s">
        <v>864</v>
      </c>
      <c r="K8" s="1">
        <v>15360</v>
      </c>
      <c r="L8" s="1">
        <v>5248</v>
      </c>
      <c r="M8" s="1">
        <v>10112</v>
      </c>
      <c r="N8" s="1">
        <v>0</v>
      </c>
      <c r="O8" s="1">
        <v>0</v>
      </c>
      <c r="P8" s="1">
        <v>1536.227063</v>
      </c>
      <c r="Q8" s="1">
        <v>6784.2270630000003</v>
      </c>
      <c r="R8" s="1">
        <v>8575.7729369999997</v>
      </c>
      <c r="S8" s="1">
        <v>16</v>
      </c>
      <c r="T8" s="1">
        <v>0.55831799999999998</v>
      </c>
      <c r="U8" s="1" t="s">
        <v>610</v>
      </c>
    </row>
    <row r="9" spans="1:21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851</v>
      </c>
      <c r="F9" s="1" t="s">
        <v>865</v>
      </c>
      <c r="G9" s="1" t="s">
        <v>611</v>
      </c>
      <c r="H9" s="1" t="s">
        <v>32</v>
      </c>
      <c r="I9" s="1" t="s">
        <v>851</v>
      </c>
      <c r="J9" s="1" t="s">
        <v>866</v>
      </c>
      <c r="K9" s="1">
        <v>60000</v>
      </c>
      <c r="L9" s="1">
        <v>33663.999807</v>
      </c>
      <c r="M9" s="1">
        <v>26336.000193</v>
      </c>
      <c r="N9" s="1">
        <v>0</v>
      </c>
      <c r="O9" s="1">
        <v>0</v>
      </c>
      <c r="P9" s="1">
        <v>0</v>
      </c>
      <c r="Q9" s="1">
        <v>33663.999807</v>
      </c>
      <c r="R9" s="1">
        <v>26336.000193</v>
      </c>
      <c r="S9" s="1">
        <v>415.6</v>
      </c>
      <c r="T9" s="1">
        <v>0.43893300000000002</v>
      </c>
      <c r="U9" s="1" t="s">
        <v>604</v>
      </c>
    </row>
    <row r="10" spans="1:21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851</v>
      </c>
      <c r="F10" s="1" t="s">
        <v>867</v>
      </c>
      <c r="G10" s="1" t="s">
        <v>612</v>
      </c>
      <c r="H10" s="1" t="s">
        <v>34</v>
      </c>
      <c r="I10" s="1" t="s">
        <v>851</v>
      </c>
      <c r="J10" s="1" t="s">
        <v>868</v>
      </c>
      <c r="K10" s="1">
        <v>60210</v>
      </c>
      <c r="L10" s="1">
        <v>40291.999965000003</v>
      </c>
      <c r="M10" s="1">
        <v>19918.000035000001</v>
      </c>
      <c r="N10" s="1">
        <v>0</v>
      </c>
      <c r="O10" s="1">
        <v>0</v>
      </c>
      <c r="P10" s="1">
        <v>0</v>
      </c>
      <c r="Q10" s="1">
        <v>40291.999965000003</v>
      </c>
      <c r="R10" s="1">
        <v>19918.000035000001</v>
      </c>
      <c r="S10" s="1">
        <v>45</v>
      </c>
      <c r="T10" s="1">
        <v>0.33080799999999999</v>
      </c>
      <c r="U10" s="1" t="s">
        <v>610</v>
      </c>
    </row>
    <row r="11" spans="1:21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851</v>
      </c>
      <c r="F11" s="1" t="s">
        <v>867</v>
      </c>
      <c r="G11" s="1" t="s">
        <v>613</v>
      </c>
      <c r="H11" s="1" t="s">
        <v>34</v>
      </c>
      <c r="I11" s="1" t="s">
        <v>851</v>
      </c>
      <c r="J11" s="1" t="s">
        <v>869</v>
      </c>
      <c r="K11" s="1">
        <v>27066</v>
      </c>
      <c r="L11" s="1">
        <v>18538</v>
      </c>
      <c r="M11" s="1">
        <v>8528</v>
      </c>
      <c r="N11" s="1">
        <v>0</v>
      </c>
      <c r="O11" s="1">
        <v>0</v>
      </c>
      <c r="P11" s="1">
        <v>0</v>
      </c>
      <c r="Q11" s="1">
        <v>18538</v>
      </c>
      <c r="R11" s="1">
        <v>8528</v>
      </c>
      <c r="S11" s="1">
        <v>26</v>
      </c>
      <c r="T11" s="1">
        <v>0.315081</v>
      </c>
      <c r="U11" s="1" t="s">
        <v>610</v>
      </c>
    </row>
    <row r="12" spans="1:21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851</v>
      </c>
      <c r="F12" s="1" t="s">
        <v>870</v>
      </c>
      <c r="G12" s="1" t="s">
        <v>614</v>
      </c>
      <c r="H12" s="1" t="s">
        <v>32</v>
      </c>
      <c r="I12" s="1" t="s">
        <v>851</v>
      </c>
      <c r="J12" s="1" t="s">
        <v>871</v>
      </c>
      <c r="K12" s="1">
        <v>52000</v>
      </c>
      <c r="L12" s="1">
        <v>36400</v>
      </c>
      <c r="M12" s="1">
        <v>15600</v>
      </c>
      <c r="N12" s="1">
        <v>0</v>
      </c>
      <c r="O12" s="1">
        <v>0</v>
      </c>
      <c r="P12" s="1">
        <v>0</v>
      </c>
      <c r="Q12" s="1">
        <v>36400</v>
      </c>
      <c r="R12" s="1">
        <v>15600</v>
      </c>
      <c r="S12" s="1">
        <v>260</v>
      </c>
      <c r="T12" s="1">
        <v>0.3</v>
      </c>
      <c r="U12" s="1" t="s">
        <v>604</v>
      </c>
    </row>
    <row r="13" spans="1:21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851</v>
      </c>
      <c r="F13" s="1" t="s">
        <v>872</v>
      </c>
      <c r="G13" s="1" t="s">
        <v>615</v>
      </c>
      <c r="H13" s="1" t="s">
        <v>34</v>
      </c>
      <c r="I13" s="1" t="s">
        <v>851</v>
      </c>
      <c r="J13" s="1" t="s">
        <v>873</v>
      </c>
      <c r="K13" s="1">
        <v>68400</v>
      </c>
      <c r="L13" s="1">
        <v>26595.333323999999</v>
      </c>
      <c r="M13" s="1">
        <v>41804.666676000001</v>
      </c>
      <c r="N13" s="1">
        <v>0</v>
      </c>
      <c r="O13" s="1">
        <v>0</v>
      </c>
      <c r="P13" s="1">
        <v>8637.8723460000001</v>
      </c>
      <c r="Q13" s="1">
        <v>35233.205670000003</v>
      </c>
      <c r="R13" s="1">
        <v>33166.794329999997</v>
      </c>
      <c r="S13" s="1">
        <v>18</v>
      </c>
      <c r="T13" s="1">
        <v>0.48489399999999999</v>
      </c>
      <c r="U13" s="1" t="s">
        <v>610</v>
      </c>
    </row>
    <row r="14" spans="1:21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851</v>
      </c>
      <c r="F14" s="1" t="s">
        <v>872</v>
      </c>
      <c r="G14" s="1" t="s">
        <v>616</v>
      </c>
      <c r="H14" s="1" t="s">
        <v>34</v>
      </c>
      <c r="I14" s="1" t="s">
        <v>851</v>
      </c>
      <c r="J14" s="1" t="s">
        <v>874</v>
      </c>
      <c r="K14" s="1">
        <v>37400</v>
      </c>
      <c r="L14" s="1">
        <v>18686.999997999999</v>
      </c>
      <c r="M14" s="1">
        <v>18713.000002000001</v>
      </c>
      <c r="N14" s="1">
        <v>0</v>
      </c>
      <c r="O14" s="1">
        <v>0</v>
      </c>
      <c r="P14" s="1">
        <v>4723.0471600000001</v>
      </c>
      <c r="Q14" s="1">
        <v>23410.047158000001</v>
      </c>
      <c r="R14" s="1">
        <v>13989.952842000001</v>
      </c>
      <c r="S14" s="1">
        <v>17</v>
      </c>
      <c r="T14" s="1">
        <v>0.37406200000000001</v>
      </c>
      <c r="U14" s="1" t="s">
        <v>610</v>
      </c>
    </row>
    <row r="15" spans="1:21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851</v>
      </c>
      <c r="F15" s="1" t="s">
        <v>875</v>
      </c>
      <c r="G15" s="1" t="s">
        <v>617</v>
      </c>
      <c r="H15" s="1" t="s">
        <v>34</v>
      </c>
      <c r="I15" s="1" t="s">
        <v>851</v>
      </c>
      <c r="J15" s="1" t="s">
        <v>876</v>
      </c>
      <c r="K15" s="1">
        <v>30600</v>
      </c>
      <c r="L15" s="1">
        <v>21133.99999</v>
      </c>
      <c r="M15" s="1">
        <v>9466.0000099999997</v>
      </c>
      <c r="N15" s="1">
        <v>0</v>
      </c>
      <c r="O15" s="1">
        <v>0</v>
      </c>
      <c r="P15" s="1">
        <v>1090.1453839999999</v>
      </c>
      <c r="Q15" s="1">
        <v>22224.145374</v>
      </c>
      <c r="R15" s="1">
        <v>8375.8546260000003</v>
      </c>
      <c r="S15" s="1">
        <v>17</v>
      </c>
      <c r="T15" s="1">
        <v>0.27372000000000002</v>
      </c>
      <c r="U15" s="1" t="s">
        <v>610</v>
      </c>
    </row>
    <row r="16" spans="1:21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851</v>
      </c>
      <c r="F16" s="1" t="s">
        <v>875</v>
      </c>
      <c r="G16" s="1" t="s">
        <v>618</v>
      </c>
      <c r="H16" s="1" t="s">
        <v>34</v>
      </c>
      <c r="I16" s="1" t="s">
        <v>851</v>
      </c>
      <c r="J16" s="1" t="s">
        <v>877</v>
      </c>
      <c r="K16" s="1">
        <v>36550</v>
      </c>
      <c r="L16" s="1">
        <v>20094.181798000001</v>
      </c>
      <c r="M16" s="1">
        <v>16455.818201999999</v>
      </c>
      <c r="N16" s="1">
        <v>0</v>
      </c>
      <c r="O16" s="1">
        <v>0</v>
      </c>
      <c r="P16" s="1">
        <v>1302.1180979999999</v>
      </c>
      <c r="Q16" s="1">
        <v>21396.299896</v>
      </c>
      <c r="R16" s="1">
        <v>15153.700104</v>
      </c>
      <c r="S16" s="1">
        <v>34</v>
      </c>
      <c r="T16" s="1">
        <v>0.414601</v>
      </c>
      <c r="U16" s="1" t="s">
        <v>610</v>
      </c>
    </row>
    <row r="17" spans="1:21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851</v>
      </c>
      <c r="F17" s="1" t="s">
        <v>875</v>
      </c>
      <c r="G17" s="1" t="s">
        <v>619</v>
      </c>
      <c r="H17" s="1" t="s">
        <v>34</v>
      </c>
      <c r="I17" s="1" t="s">
        <v>851</v>
      </c>
      <c r="J17" s="1" t="s">
        <v>873</v>
      </c>
      <c r="K17" s="1">
        <v>118800</v>
      </c>
      <c r="L17" s="1">
        <v>53190.666647999999</v>
      </c>
      <c r="M17" s="1">
        <v>65609.333352000001</v>
      </c>
      <c r="N17" s="1">
        <v>0</v>
      </c>
      <c r="O17" s="1">
        <v>0</v>
      </c>
      <c r="P17" s="1">
        <v>4232.3291390000004</v>
      </c>
      <c r="Q17" s="1">
        <v>57422.995787</v>
      </c>
      <c r="R17" s="1">
        <v>61377.004213</v>
      </c>
      <c r="S17" s="1">
        <v>36</v>
      </c>
      <c r="T17" s="1">
        <v>0.51664100000000002</v>
      </c>
      <c r="U17" s="1" t="s">
        <v>610</v>
      </c>
    </row>
    <row r="18" spans="1:21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851</v>
      </c>
      <c r="F18" s="1" t="s">
        <v>875</v>
      </c>
      <c r="G18" s="1" t="s">
        <v>620</v>
      </c>
      <c r="H18" s="1" t="s">
        <v>34</v>
      </c>
      <c r="I18" s="1" t="s">
        <v>851</v>
      </c>
      <c r="J18" s="1" t="s">
        <v>877</v>
      </c>
      <c r="K18" s="1">
        <v>164475</v>
      </c>
      <c r="L18" s="1">
        <v>90423.818090999994</v>
      </c>
      <c r="M18" s="1">
        <v>74051.181909000006</v>
      </c>
      <c r="N18" s="1">
        <v>0</v>
      </c>
      <c r="O18" s="1">
        <v>0</v>
      </c>
      <c r="P18" s="1">
        <v>5859.5314410000001</v>
      </c>
      <c r="Q18" s="1">
        <v>96283.349531999993</v>
      </c>
      <c r="R18" s="1">
        <v>68191.650468000007</v>
      </c>
      <c r="S18" s="1">
        <v>153</v>
      </c>
      <c r="T18" s="1">
        <v>0.414601</v>
      </c>
      <c r="U18" s="1" t="s">
        <v>610</v>
      </c>
    </row>
    <row r="19" spans="1:21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851</v>
      </c>
      <c r="F19" s="1" t="s">
        <v>878</v>
      </c>
      <c r="G19" s="1" t="s">
        <v>621</v>
      </c>
      <c r="H19" s="1" t="s">
        <v>32</v>
      </c>
      <c r="I19" s="1" t="s">
        <v>851</v>
      </c>
      <c r="J19" s="1" t="s">
        <v>879</v>
      </c>
      <c r="K19" s="1">
        <v>21000</v>
      </c>
      <c r="L19" s="1">
        <v>4663.9999200000002</v>
      </c>
      <c r="M19" s="1">
        <v>16336.00008</v>
      </c>
      <c r="N19" s="1">
        <v>0</v>
      </c>
      <c r="O19" s="1">
        <v>0</v>
      </c>
      <c r="P19" s="1">
        <v>0</v>
      </c>
      <c r="Q19" s="1">
        <v>4663.9999200000002</v>
      </c>
      <c r="R19" s="1">
        <v>16336.00008</v>
      </c>
      <c r="S19" s="1">
        <v>120</v>
      </c>
      <c r="T19" s="1">
        <v>0.77790400000000004</v>
      </c>
      <c r="U19" s="1" t="s">
        <v>622</v>
      </c>
    </row>
    <row r="20" spans="1:21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851</v>
      </c>
      <c r="F20" s="1" t="s">
        <v>878</v>
      </c>
      <c r="G20" s="1" t="s">
        <v>623</v>
      </c>
      <c r="H20" s="1" t="s">
        <v>32</v>
      </c>
      <c r="I20" s="1" t="s">
        <v>851</v>
      </c>
      <c r="J20" s="1" t="s">
        <v>880</v>
      </c>
      <c r="K20" s="1">
        <v>43500</v>
      </c>
      <c r="L20" s="1">
        <v>25264.999800000001</v>
      </c>
      <c r="M20" s="1">
        <v>18235.000199999999</v>
      </c>
      <c r="N20" s="1">
        <v>0</v>
      </c>
      <c r="O20" s="1">
        <v>0</v>
      </c>
      <c r="P20" s="1">
        <v>0</v>
      </c>
      <c r="Q20" s="1">
        <v>25264.999800000001</v>
      </c>
      <c r="R20" s="1">
        <v>18235.000199999999</v>
      </c>
      <c r="S20" s="1">
        <v>300</v>
      </c>
      <c r="T20" s="1">
        <v>0.41919499999999998</v>
      </c>
      <c r="U20" s="1" t="s">
        <v>622</v>
      </c>
    </row>
    <row r="21" spans="1:21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851</v>
      </c>
      <c r="F21" s="1" t="s">
        <v>881</v>
      </c>
      <c r="G21" s="1" t="s">
        <v>624</v>
      </c>
      <c r="H21" s="1" t="s">
        <v>34</v>
      </c>
      <c r="I21" s="1" t="s">
        <v>851</v>
      </c>
      <c r="J21" s="1" t="s">
        <v>882</v>
      </c>
      <c r="K21" s="1">
        <v>79900</v>
      </c>
      <c r="L21" s="1">
        <v>32759</v>
      </c>
      <c r="M21" s="1">
        <v>47141</v>
      </c>
      <c r="N21" s="1">
        <v>0</v>
      </c>
      <c r="O21" s="1">
        <v>0</v>
      </c>
      <c r="P21" s="1">
        <v>1241.5159369999999</v>
      </c>
      <c r="Q21" s="1">
        <v>34000.515936999996</v>
      </c>
      <c r="R21" s="1">
        <v>45899.484063000004</v>
      </c>
      <c r="S21" s="1">
        <v>17</v>
      </c>
      <c r="T21" s="1">
        <v>0.574461</v>
      </c>
      <c r="U21" s="1" t="s">
        <v>610</v>
      </c>
    </row>
    <row r="22" spans="1:21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851</v>
      </c>
      <c r="F22" s="1" t="s">
        <v>881</v>
      </c>
      <c r="G22" s="1" t="s">
        <v>625</v>
      </c>
      <c r="H22" s="1" t="s">
        <v>34</v>
      </c>
      <c r="I22" s="1" t="s">
        <v>851</v>
      </c>
      <c r="J22" s="1" t="s">
        <v>883</v>
      </c>
      <c r="K22" s="1">
        <v>68400</v>
      </c>
      <c r="L22" s="1">
        <v>42108.999983000002</v>
      </c>
      <c r="M22" s="1">
        <v>26291.000016999998</v>
      </c>
      <c r="N22" s="1">
        <v>0</v>
      </c>
      <c r="O22" s="1">
        <v>0</v>
      </c>
      <c r="P22" s="1">
        <v>1062.8246569999999</v>
      </c>
      <c r="Q22" s="1">
        <v>43171.824639999999</v>
      </c>
      <c r="R22" s="1">
        <v>25228.175360000001</v>
      </c>
      <c r="S22" s="1">
        <v>19</v>
      </c>
      <c r="T22" s="1">
        <v>0.36883199999999999</v>
      </c>
      <c r="U22" s="1" t="s">
        <v>610</v>
      </c>
    </row>
    <row r="23" spans="1:21" x14ac:dyDescent="0.25">
      <c r="A23" s="1">
        <v>2018</v>
      </c>
      <c r="B23" s="1">
        <v>3</v>
      </c>
      <c r="C23" s="1" t="s">
        <v>21</v>
      </c>
      <c r="D23" s="1" t="s">
        <v>22</v>
      </c>
      <c r="E23" s="1" t="s">
        <v>851</v>
      </c>
      <c r="F23" s="1" t="s">
        <v>884</v>
      </c>
      <c r="G23" s="1" t="s">
        <v>626</v>
      </c>
      <c r="H23" s="1" t="s">
        <v>32</v>
      </c>
      <c r="I23" s="1" t="s">
        <v>851</v>
      </c>
      <c r="J23" s="1" t="s">
        <v>885</v>
      </c>
      <c r="K23" s="1">
        <v>187500</v>
      </c>
      <c r="L23" s="1">
        <v>114000</v>
      </c>
      <c r="M23" s="1">
        <v>73500</v>
      </c>
      <c r="N23" s="1">
        <v>0</v>
      </c>
      <c r="O23" s="1">
        <v>0</v>
      </c>
      <c r="P23" s="1">
        <v>0</v>
      </c>
      <c r="Q23" s="1">
        <v>114000</v>
      </c>
      <c r="R23" s="1">
        <v>73500</v>
      </c>
      <c r="S23" s="1">
        <v>750</v>
      </c>
      <c r="T23" s="1">
        <v>0.39200000000000002</v>
      </c>
      <c r="U23" s="1" t="s">
        <v>604</v>
      </c>
    </row>
    <row r="24" spans="1:21" x14ac:dyDescent="0.25">
      <c r="A24" s="1">
        <v>2018</v>
      </c>
      <c r="B24" s="1">
        <v>3</v>
      </c>
      <c r="C24" s="1" t="s">
        <v>21</v>
      </c>
      <c r="D24" s="1" t="s">
        <v>22</v>
      </c>
      <c r="E24" s="1" t="s">
        <v>851</v>
      </c>
      <c r="F24" s="1" t="s">
        <v>884</v>
      </c>
      <c r="G24" s="1" t="s">
        <v>627</v>
      </c>
      <c r="H24" s="1" t="s">
        <v>32</v>
      </c>
      <c r="I24" s="1" t="s">
        <v>851</v>
      </c>
      <c r="J24" s="1" t="s">
        <v>885</v>
      </c>
      <c r="K24" s="1">
        <v>125000</v>
      </c>
      <c r="L24" s="1">
        <v>76000</v>
      </c>
      <c r="M24" s="1">
        <v>49000</v>
      </c>
      <c r="N24" s="1">
        <v>0</v>
      </c>
      <c r="O24" s="1">
        <v>0</v>
      </c>
      <c r="P24" s="1">
        <v>0</v>
      </c>
      <c r="Q24" s="1">
        <v>76000</v>
      </c>
      <c r="R24" s="1">
        <v>49000</v>
      </c>
      <c r="S24" s="1">
        <v>500</v>
      </c>
      <c r="T24" s="1">
        <v>0.39200000000000002</v>
      </c>
      <c r="U24" s="1" t="s">
        <v>604</v>
      </c>
    </row>
    <row r="25" spans="1:21" x14ac:dyDescent="0.25">
      <c r="A25" s="1">
        <v>2018</v>
      </c>
      <c r="B25" s="1">
        <v>3</v>
      </c>
      <c r="C25" s="1" t="s">
        <v>21</v>
      </c>
      <c r="D25" s="1" t="s">
        <v>22</v>
      </c>
      <c r="E25" s="1" t="s">
        <v>851</v>
      </c>
      <c r="F25" s="1" t="s">
        <v>886</v>
      </c>
      <c r="G25" s="1" t="s">
        <v>628</v>
      </c>
      <c r="H25" s="1" t="s">
        <v>32</v>
      </c>
      <c r="I25" s="1" t="s">
        <v>851</v>
      </c>
      <c r="J25" s="1" t="s">
        <v>887</v>
      </c>
      <c r="K25" s="1">
        <v>4500</v>
      </c>
      <c r="L25" s="1">
        <v>2420.6666599999999</v>
      </c>
      <c r="M25" s="1">
        <v>2079.3333400000001</v>
      </c>
      <c r="N25" s="1">
        <v>0</v>
      </c>
      <c r="O25" s="1">
        <v>0</v>
      </c>
      <c r="P25" s="1">
        <v>0</v>
      </c>
      <c r="Q25" s="1">
        <v>2420.6666599999999</v>
      </c>
      <c r="R25" s="1">
        <v>2079.3333400000001</v>
      </c>
      <c r="S25" s="1">
        <v>20</v>
      </c>
      <c r="T25" s="1">
        <v>0.46207399999999998</v>
      </c>
      <c r="U25" s="1" t="s">
        <v>604</v>
      </c>
    </row>
    <row r="26" spans="1:21" x14ac:dyDescent="0.25">
      <c r="A26" s="1">
        <v>2018</v>
      </c>
      <c r="B26" s="1">
        <v>3</v>
      </c>
      <c r="C26" s="1" t="s">
        <v>21</v>
      </c>
      <c r="D26" s="1" t="s">
        <v>22</v>
      </c>
      <c r="E26" s="1" t="s">
        <v>851</v>
      </c>
      <c r="F26" s="1" t="s">
        <v>886</v>
      </c>
      <c r="G26" s="1" t="s">
        <v>629</v>
      </c>
      <c r="H26" s="1" t="s">
        <v>32</v>
      </c>
      <c r="I26" s="1" t="s">
        <v>851</v>
      </c>
      <c r="J26" s="1" t="s">
        <v>887</v>
      </c>
      <c r="K26" s="1">
        <v>9000</v>
      </c>
      <c r="L26" s="1">
        <v>4841.3333199999997</v>
      </c>
      <c r="M26" s="1">
        <v>4158.6666800000003</v>
      </c>
      <c r="N26" s="1">
        <v>0</v>
      </c>
      <c r="O26" s="1">
        <v>0</v>
      </c>
      <c r="P26" s="1">
        <v>0</v>
      </c>
      <c r="Q26" s="1">
        <v>4841.3333199999997</v>
      </c>
      <c r="R26" s="1">
        <v>4158.6666800000003</v>
      </c>
      <c r="S26" s="1">
        <v>40</v>
      </c>
      <c r="T26" s="1">
        <v>0.46207399999999998</v>
      </c>
      <c r="U26" s="1" t="s">
        <v>604</v>
      </c>
    </row>
    <row r="27" spans="1:21" x14ac:dyDescent="0.25">
      <c r="A27" s="1">
        <v>2018</v>
      </c>
      <c r="B27" s="1">
        <v>3</v>
      </c>
      <c r="C27" s="1" t="s">
        <v>21</v>
      </c>
      <c r="D27" s="1" t="s">
        <v>22</v>
      </c>
      <c r="E27" s="1" t="s">
        <v>851</v>
      </c>
      <c r="F27" s="1" t="s">
        <v>888</v>
      </c>
      <c r="G27" s="1" t="s">
        <v>630</v>
      </c>
      <c r="H27" s="1" t="s">
        <v>32</v>
      </c>
      <c r="I27" s="1" t="s">
        <v>851</v>
      </c>
      <c r="J27" s="1" t="s">
        <v>889</v>
      </c>
      <c r="K27" s="1">
        <v>38250</v>
      </c>
      <c r="L27" s="1">
        <v>27814.999950000001</v>
      </c>
      <c r="M27" s="1">
        <v>10435.000050000001</v>
      </c>
      <c r="N27" s="1">
        <v>0</v>
      </c>
      <c r="O27" s="1">
        <v>0</v>
      </c>
      <c r="P27" s="1">
        <v>0</v>
      </c>
      <c r="Q27" s="1">
        <v>27814.999950000001</v>
      </c>
      <c r="R27" s="1">
        <v>10435.000050000001</v>
      </c>
      <c r="S27" s="1">
        <v>90</v>
      </c>
      <c r="T27" s="1">
        <v>0.27281</v>
      </c>
      <c r="U27" s="1" t="s">
        <v>604</v>
      </c>
    </row>
    <row r="28" spans="1:21" x14ac:dyDescent="0.25">
      <c r="A28" s="1">
        <v>2018</v>
      </c>
      <c r="B28" s="1">
        <v>3</v>
      </c>
      <c r="C28" s="1" t="s">
        <v>21</v>
      </c>
      <c r="D28" s="1" t="s">
        <v>22</v>
      </c>
      <c r="E28" s="1" t="s">
        <v>851</v>
      </c>
      <c r="F28" s="1" t="s">
        <v>890</v>
      </c>
      <c r="G28" s="1" t="s">
        <v>631</v>
      </c>
      <c r="H28" s="1" t="s">
        <v>34</v>
      </c>
      <c r="I28" s="1" t="s">
        <v>851</v>
      </c>
      <c r="J28" s="1" t="s">
        <v>891</v>
      </c>
      <c r="K28" s="1">
        <v>24600</v>
      </c>
      <c r="L28" s="1">
        <v>9741</v>
      </c>
      <c r="M28" s="1">
        <v>14859</v>
      </c>
      <c r="N28" s="1">
        <v>0</v>
      </c>
      <c r="O28" s="1">
        <v>0</v>
      </c>
      <c r="P28" s="1">
        <v>5643.6811900000002</v>
      </c>
      <c r="Q28" s="1">
        <v>15384.681189999999</v>
      </c>
      <c r="R28" s="1">
        <v>9215.3188100000007</v>
      </c>
      <c r="S28" s="1">
        <v>3</v>
      </c>
      <c r="T28" s="1">
        <v>0.37460599999999999</v>
      </c>
      <c r="U28" s="1" t="s">
        <v>610</v>
      </c>
    </row>
    <row r="29" spans="1:21" x14ac:dyDescent="0.25">
      <c r="A29" s="1">
        <v>2018</v>
      </c>
      <c r="B29" s="1">
        <v>3</v>
      </c>
      <c r="C29" s="1" t="s">
        <v>21</v>
      </c>
      <c r="D29" s="1" t="s">
        <v>22</v>
      </c>
      <c r="E29" s="1" t="s">
        <v>851</v>
      </c>
      <c r="F29" s="1" t="s">
        <v>892</v>
      </c>
      <c r="G29" s="1" t="s">
        <v>632</v>
      </c>
      <c r="H29" s="1" t="s">
        <v>34</v>
      </c>
      <c r="I29" s="1" t="s">
        <v>851</v>
      </c>
      <c r="J29" s="1" t="s">
        <v>893</v>
      </c>
      <c r="K29" s="1">
        <v>14400</v>
      </c>
      <c r="L29" s="1">
        <v>5896</v>
      </c>
      <c r="M29" s="1">
        <v>8504</v>
      </c>
      <c r="N29" s="1">
        <v>0</v>
      </c>
      <c r="O29" s="1">
        <v>0</v>
      </c>
      <c r="P29" s="1">
        <v>0</v>
      </c>
      <c r="Q29" s="1">
        <v>5896</v>
      </c>
      <c r="R29" s="1">
        <v>8504</v>
      </c>
      <c r="S29" s="1">
        <v>16</v>
      </c>
      <c r="T29" s="1">
        <v>0.59055500000000005</v>
      </c>
      <c r="U29" s="1" t="s">
        <v>610</v>
      </c>
    </row>
    <row r="30" spans="1:21" x14ac:dyDescent="0.25">
      <c r="A30" s="1">
        <v>2018</v>
      </c>
      <c r="B30" s="1">
        <v>3</v>
      </c>
      <c r="C30" s="1" t="s">
        <v>21</v>
      </c>
      <c r="D30" s="1" t="s">
        <v>22</v>
      </c>
      <c r="E30" s="1" t="s">
        <v>851</v>
      </c>
      <c r="F30" s="1" t="s">
        <v>892</v>
      </c>
      <c r="G30" s="1" t="s">
        <v>633</v>
      </c>
      <c r="H30" s="1" t="s">
        <v>34</v>
      </c>
      <c r="I30" s="1" t="s">
        <v>851</v>
      </c>
      <c r="J30" s="1" t="s">
        <v>894</v>
      </c>
      <c r="K30" s="1">
        <v>12750</v>
      </c>
      <c r="L30" s="1">
        <v>6648.9999900000003</v>
      </c>
      <c r="M30" s="1">
        <v>6101.0000099999997</v>
      </c>
      <c r="N30" s="1">
        <v>0</v>
      </c>
      <c r="O30" s="1">
        <v>0</v>
      </c>
      <c r="P30" s="1">
        <v>0</v>
      </c>
      <c r="Q30" s="1">
        <v>6648.9999900000003</v>
      </c>
      <c r="R30" s="1">
        <v>6101.0000099999997</v>
      </c>
      <c r="S30" s="1">
        <v>15</v>
      </c>
      <c r="T30" s="1">
        <v>0.47850900000000002</v>
      </c>
      <c r="U30" s="1" t="s">
        <v>610</v>
      </c>
    </row>
    <row r="31" spans="1:21" x14ac:dyDescent="0.25">
      <c r="A31" s="1">
        <v>2018</v>
      </c>
      <c r="B31" s="1">
        <v>3</v>
      </c>
      <c r="C31" s="1" t="s">
        <v>21</v>
      </c>
      <c r="D31" s="1" t="s">
        <v>22</v>
      </c>
      <c r="E31" s="1" t="s">
        <v>851</v>
      </c>
      <c r="F31" s="1" t="s">
        <v>892</v>
      </c>
      <c r="G31" s="1" t="s">
        <v>634</v>
      </c>
      <c r="H31" s="1" t="s">
        <v>34</v>
      </c>
      <c r="I31" s="1" t="s">
        <v>851</v>
      </c>
      <c r="J31" s="1" t="s">
        <v>894</v>
      </c>
      <c r="K31" s="1">
        <v>12750</v>
      </c>
      <c r="L31" s="1">
        <v>6648.9999900000003</v>
      </c>
      <c r="M31" s="1">
        <v>6101.0000099999997</v>
      </c>
      <c r="N31" s="1">
        <v>0</v>
      </c>
      <c r="O31" s="1">
        <v>0</v>
      </c>
      <c r="P31" s="1">
        <v>0</v>
      </c>
      <c r="Q31" s="1">
        <v>6648.9999900000003</v>
      </c>
      <c r="R31" s="1">
        <v>6101.0000099999997</v>
      </c>
      <c r="S31" s="1">
        <v>15</v>
      </c>
      <c r="T31" s="1">
        <v>0.47850900000000002</v>
      </c>
      <c r="U31" s="1" t="s">
        <v>610</v>
      </c>
    </row>
    <row r="32" spans="1:21" x14ac:dyDescent="0.25">
      <c r="A32" s="1">
        <v>2018</v>
      </c>
      <c r="B32" s="1">
        <v>3</v>
      </c>
      <c r="C32" s="1" t="s">
        <v>21</v>
      </c>
      <c r="D32" s="1" t="s">
        <v>22</v>
      </c>
      <c r="E32" s="1" t="s">
        <v>851</v>
      </c>
      <c r="F32" s="1" t="s">
        <v>895</v>
      </c>
      <c r="G32" s="1" t="s">
        <v>635</v>
      </c>
      <c r="H32" s="1" t="s">
        <v>32</v>
      </c>
      <c r="I32" s="1" t="s">
        <v>851</v>
      </c>
      <c r="J32" s="1" t="s">
        <v>896</v>
      </c>
      <c r="K32" s="1">
        <v>76800</v>
      </c>
      <c r="L32" s="1">
        <v>15966</v>
      </c>
      <c r="M32" s="1">
        <v>60834</v>
      </c>
      <c r="N32" s="1">
        <v>0</v>
      </c>
      <c r="O32" s="1">
        <v>0</v>
      </c>
      <c r="P32" s="1">
        <v>0</v>
      </c>
      <c r="Q32" s="1">
        <v>15966</v>
      </c>
      <c r="R32" s="1">
        <v>60834</v>
      </c>
      <c r="S32" s="1">
        <v>480</v>
      </c>
      <c r="T32" s="1">
        <v>0.79210899999999995</v>
      </c>
      <c r="U32" s="1" t="s">
        <v>622</v>
      </c>
    </row>
    <row r="33" spans="1:21" x14ac:dyDescent="0.25">
      <c r="A33" s="1">
        <v>2018</v>
      </c>
      <c r="B33" s="1">
        <v>3</v>
      </c>
      <c r="C33" s="1" t="s">
        <v>21</v>
      </c>
      <c r="D33" s="1" t="s">
        <v>22</v>
      </c>
      <c r="E33" s="1" t="s">
        <v>851</v>
      </c>
      <c r="F33" s="1" t="s">
        <v>897</v>
      </c>
      <c r="G33" s="1" t="s">
        <v>636</v>
      </c>
      <c r="H33" s="1" t="s">
        <v>34</v>
      </c>
      <c r="I33" s="1" t="s">
        <v>851</v>
      </c>
      <c r="J33" s="1" t="s">
        <v>898</v>
      </c>
      <c r="K33" s="1">
        <v>20480</v>
      </c>
      <c r="L33" s="1">
        <v>2222</v>
      </c>
      <c r="M33" s="1">
        <v>18258</v>
      </c>
      <c r="N33" s="1">
        <v>0</v>
      </c>
      <c r="O33" s="1">
        <v>0</v>
      </c>
      <c r="P33" s="1">
        <v>8910.1169659999996</v>
      </c>
      <c r="Q33" s="1">
        <v>11132.116966</v>
      </c>
      <c r="R33" s="1">
        <v>9347.8830340000004</v>
      </c>
      <c r="S33" s="1">
        <v>16</v>
      </c>
      <c r="T33" s="1">
        <v>0.45643899999999998</v>
      </c>
      <c r="U33" s="1" t="s">
        <v>610</v>
      </c>
    </row>
    <row r="34" spans="1:21" x14ac:dyDescent="0.25">
      <c r="A34" s="1">
        <v>2018</v>
      </c>
      <c r="B34" s="1">
        <v>3</v>
      </c>
      <c r="C34" s="1" t="s">
        <v>21</v>
      </c>
      <c r="D34" s="1" t="s">
        <v>22</v>
      </c>
      <c r="E34" s="1" t="s">
        <v>851</v>
      </c>
      <c r="F34" s="1" t="s">
        <v>899</v>
      </c>
      <c r="G34" s="1" t="s">
        <v>637</v>
      </c>
      <c r="H34" s="1" t="s">
        <v>34</v>
      </c>
      <c r="I34" s="1" t="s">
        <v>851</v>
      </c>
      <c r="J34" s="1" t="s">
        <v>879</v>
      </c>
      <c r="K34" s="1">
        <v>5400</v>
      </c>
      <c r="L34" s="1">
        <v>1165.9999800000001</v>
      </c>
      <c r="M34" s="1">
        <v>4234.0000200000004</v>
      </c>
      <c r="N34" s="1">
        <v>0</v>
      </c>
      <c r="O34" s="1">
        <v>0</v>
      </c>
      <c r="P34" s="1">
        <v>0</v>
      </c>
      <c r="Q34" s="1">
        <v>1165.9999800000001</v>
      </c>
      <c r="R34" s="1">
        <v>4234.0000200000004</v>
      </c>
      <c r="S34" s="1">
        <v>30</v>
      </c>
      <c r="T34" s="1">
        <v>0.78407400000000005</v>
      </c>
      <c r="U34" s="1" t="s">
        <v>610</v>
      </c>
    </row>
    <row r="35" spans="1:21" x14ac:dyDescent="0.25">
      <c r="A35" s="1">
        <v>2018</v>
      </c>
      <c r="B35" s="1">
        <v>4</v>
      </c>
      <c r="C35" s="1" t="s">
        <v>57</v>
      </c>
      <c r="D35" s="1" t="s">
        <v>22</v>
      </c>
      <c r="E35" s="1" t="s">
        <v>851</v>
      </c>
      <c r="F35" s="1" t="s">
        <v>900</v>
      </c>
      <c r="G35" s="1" t="s">
        <v>638</v>
      </c>
      <c r="H35" s="1" t="s">
        <v>34</v>
      </c>
      <c r="I35" s="1" t="s">
        <v>851</v>
      </c>
      <c r="J35" s="1" t="s">
        <v>880</v>
      </c>
      <c r="K35" s="1">
        <v>8000</v>
      </c>
      <c r="L35" s="1">
        <v>1658.7317</v>
      </c>
      <c r="M35" s="1">
        <v>6341.2682999999997</v>
      </c>
      <c r="N35" s="1">
        <v>0</v>
      </c>
      <c r="O35" s="1">
        <v>0</v>
      </c>
      <c r="P35" s="1">
        <v>38156.136869000002</v>
      </c>
      <c r="Q35" s="1">
        <v>39814.868568999998</v>
      </c>
      <c r="R35" s="1">
        <v>-31814.868568999998</v>
      </c>
      <c r="S35" s="1">
        <v>20</v>
      </c>
      <c r="T35" s="1">
        <v>-3.976858</v>
      </c>
      <c r="U35" s="1" t="s">
        <v>601</v>
      </c>
    </row>
    <row r="36" spans="1:21" x14ac:dyDescent="0.25">
      <c r="A36" s="1">
        <v>2018</v>
      </c>
      <c r="B36" s="1">
        <v>4</v>
      </c>
      <c r="C36" s="1" t="s">
        <v>57</v>
      </c>
      <c r="D36" s="1" t="s">
        <v>22</v>
      </c>
      <c r="E36" s="1" t="s">
        <v>851</v>
      </c>
      <c r="F36" s="1" t="s">
        <v>870</v>
      </c>
      <c r="G36" s="1" t="s">
        <v>639</v>
      </c>
      <c r="H36" s="1" t="s">
        <v>32</v>
      </c>
      <c r="I36" s="1" t="s">
        <v>851</v>
      </c>
      <c r="J36" s="1" t="s">
        <v>871</v>
      </c>
      <c r="K36" s="1">
        <v>60000</v>
      </c>
      <c r="L36" s="1">
        <v>42000</v>
      </c>
      <c r="M36" s="1">
        <v>18000</v>
      </c>
      <c r="N36" s="1">
        <v>0</v>
      </c>
      <c r="O36" s="1">
        <v>0</v>
      </c>
      <c r="P36" s="1">
        <v>0</v>
      </c>
      <c r="Q36" s="1">
        <v>42000</v>
      </c>
      <c r="R36" s="1">
        <v>18000</v>
      </c>
      <c r="S36" s="1">
        <v>300</v>
      </c>
      <c r="T36" s="1">
        <v>0.3</v>
      </c>
      <c r="U36" s="1" t="s">
        <v>604</v>
      </c>
    </row>
    <row r="37" spans="1:21" x14ac:dyDescent="0.25">
      <c r="A37" s="1">
        <v>2018</v>
      </c>
      <c r="B37" s="1">
        <v>4</v>
      </c>
      <c r="C37" s="1" t="s">
        <v>57</v>
      </c>
      <c r="D37" s="1" t="s">
        <v>22</v>
      </c>
      <c r="E37" s="1" t="s">
        <v>851</v>
      </c>
      <c r="F37" s="1" t="s">
        <v>861</v>
      </c>
      <c r="G37" s="1" t="s">
        <v>640</v>
      </c>
      <c r="H37" s="1" t="s">
        <v>32</v>
      </c>
      <c r="I37" s="1" t="s">
        <v>851</v>
      </c>
      <c r="J37" s="1" t="s">
        <v>862</v>
      </c>
      <c r="K37" s="1">
        <v>312500</v>
      </c>
      <c r="L37" s="1">
        <v>178673</v>
      </c>
      <c r="M37" s="1">
        <v>133827</v>
      </c>
      <c r="N37" s="1">
        <v>0</v>
      </c>
      <c r="O37" s="1">
        <v>0</v>
      </c>
      <c r="P37" s="1">
        <v>0</v>
      </c>
      <c r="Q37" s="1">
        <v>178673</v>
      </c>
      <c r="R37" s="1">
        <v>133827</v>
      </c>
      <c r="S37" s="1">
        <v>2500</v>
      </c>
      <c r="T37" s="1">
        <v>0.42824600000000002</v>
      </c>
      <c r="U37" s="1" t="s">
        <v>604</v>
      </c>
    </row>
    <row r="38" spans="1:21" x14ac:dyDescent="0.25">
      <c r="A38" s="1">
        <v>2018</v>
      </c>
      <c r="B38" s="1">
        <v>4</v>
      </c>
      <c r="C38" s="1" t="s">
        <v>57</v>
      </c>
      <c r="D38" s="1" t="s">
        <v>22</v>
      </c>
      <c r="E38" s="1" t="s">
        <v>851</v>
      </c>
      <c r="F38" s="1" t="s">
        <v>875</v>
      </c>
      <c r="G38" s="1" t="s">
        <v>641</v>
      </c>
      <c r="H38" s="1" t="s">
        <v>34</v>
      </c>
      <c r="I38" s="1" t="s">
        <v>851</v>
      </c>
      <c r="J38" s="1" t="s">
        <v>873</v>
      </c>
      <c r="K38" s="1">
        <v>118800</v>
      </c>
      <c r="L38" s="1">
        <v>52380</v>
      </c>
      <c r="M38" s="1">
        <v>66420</v>
      </c>
      <c r="N38" s="1">
        <v>0</v>
      </c>
      <c r="O38" s="1">
        <v>0</v>
      </c>
      <c r="P38" s="1">
        <v>301.47501999999997</v>
      </c>
      <c r="Q38" s="1">
        <v>52681.475019999998</v>
      </c>
      <c r="R38" s="1">
        <v>66118.524980000002</v>
      </c>
      <c r="S38" s="1">
        <v>36</v>
      </c>
      <c r="T38" s="1">
        <v>0.55655299999999996</v>
      </c>
      <c r="U38" s="1" t="s">
        <v>610</v>
      </c>
    </row>
    <row r="39" spans="1:21" x14ac:dyDescent="0.25">
      <c r="A39" s="1">
        <v>2018</v>
      </c>
      <c r="B39" s="1">
        <v>4</v>
      </c>
      <c r="C39" s="1" t="s">
        <v>57</v>
      </c>
      <c r="D39" s="1" t="s">
        <v>22</v>
      </c>
      <c r="E39" s="1" t="s">
        <v>851</v>
      </c>
      <c r="F39" s="1" t="s">
        <v>872</v>
      </c>
      <c r="G39" s="1" t="s">
        <v>642</v>
      </c>
      <c r="H39" s="1" t="s">
        <v>34</v>
      </c>
      <c r="I39" s="1" t="s">
        <v>851</v>
      </c>
      <c r="J39" s="1" t="s">
        <v>873</v>
      </c>
      <c r="K39" s="1">
        <v>68400</v>
      </c>
      <c r="L39" s="1">
        <v>26190</v>
      </c>
      <c r="M39" s="1">
        <v>42210</v>
      </c>
      <c r="N39" s="1">
        <v>0</v>
      </c>
      <c r="O39" s="1">
        <v>0</v>
      </c>
      <c r="P39" s="1">
        <v>0</v>
      </c>
      <c r="Q39" s="1">
        <v>26190</v>
      </c>
      <c r="R39" s="1">
        <v>42210</v>
      </c>
      <c r="S39" s="1">
        <v>18</v>
      </c>
      <c r="T39" s="1">
        <v>0.61710500000000001</v>
      </c>
      <c r="U39" s="1" t="s">
        <v>610</v>
      </c>
    </row>
    <row r="40" spans="1:21" x14ac:dyDescent="0.25">
      <c r="A40" s="1">
        <v>2018</v>
      </c>
      <c r="B40" s="1">
        <v>4</v>
      </c>
      <c r="C40" s="1" t="s">
        <v>57</v>
      </c>
      <c r="D40" s="1" t="s">
        <v>22</v>
      </c>
      <c r="E40" s="1" t="s">
        <v>851</v>
      </c>
      <c r="F40" s="1" t="s">
        <v>875</v>
      </c>
      <c r="G40" s="1" t="s">
        <v>643</v>
      </c>
      <c r="H40" s="1" t="s">
        <v>34</v>
      </c>
      <c r="I40" s="1" t="s">
        <v>851</v>
      </c>
      <c r="J40" s="1" t="s">
        <v>877</v>
      </c>
      <c r="K40" s="1">
        <v>511700</v>
      </c>
      <c r="L40" s="1">
        <v>277034.89646000002</v>
      </c>
      <c r="M40" s="1">
        <v>234665.10354000001</v>
      </c>
      <c r="N40" s="1">
        <v>0</v>
      </c>
      <c r="O40" s="1">
        <v>0</v>
      </c>
      <c r="P40" s="1">
        <v>1298.5249799999999</v>
      </c>
      <c r="Q40" s="1">
        <v>278333.42144000001</v>
      </c>
      <c r="R40" s="1">
        <v>233366.57855999999</v>
      </c>
      <c r="S40" s="1">
        <v>476</v>
      </c>
      <c r="T40" s="1">
        <v>0.45606099999999999</v>
      </c>
      <c r="U40" s="1" t="s">
        <v>610</v>
      </c>
    </row>
    <row r="41" spans="1:21" x14ac:dyDescent="0.25">
      <c r="A41" s="1">
        <v>2018</v>
      </c>
      <c r="B41" s="1">
        <v>4</v>
      </c>
      <c r="C41" s="1" t="s">
        <v>57</v>
      </c>
      <c r="D41" s="1" t="s">
        <v>22</v>
      </c>
      <c r="E41" s="1" t="s">
        <v>851</v>
      </c>
      <c r="F41" s="1" t="s">
        <v>892</v>
      </c>
      <c r="G41" s="1" t="s">
        <v>644</v>
      </c>
      <c r="H41" s="1" t="s">
        <v>34</v>
      </c>
      <c r="I41" s="1" t="s">
        <v>851</v>
      </c>
      <c r="J41" s="1" t="s">
        <v>893</v>
      </c>
      <c r="K41" s="1">
        <v>14400</v>
      </c>
      <c r="L41" s="1">
        <v>5806</v>
      </c>
      <c r="M41" s="1">
        <v>8594</v>
      </c>
      <c r="N41" s="1">
        <v>0</v>
      </c>
      <c r="O41" s="1">
        <v>0</v>
      </c>
      <c r="P41" s="1">
        <v>1620.669011</v>
      </c>
      <c r="Q41" s="1">
        <v>7426.669011</v>
      </c>
      <c r="R41" s="1">
        <v>6973.330989</v>
      </c>
      <c r="S41" s="1">
        <v>16</v>
      </c>
      <c r="T41" s="1">
        <v>0.484259</v>
      </c>
      <c r="U41" s="1" t="s">
        <v>610</v>
      </c>
    </row>
    <row r="42" spans="1:21" x14ac:dyDescent="0.25">
      <c r="A42" s="1">
        <v>2018</v>
      </c>
      <c r="B42" s="1">
        <v>4</v>
      </c>
      <c r="C42" s="1" t="s">
        <v>57</v>
      </c>
      <c r="D42" s="1" t="s">
        <v>22</v>
      </c>
      <c r="E42" s="1" t="s">
        <v>851</v>
      </c>
      <c r="F42" s="1" t="s">
        <v>892</v>
      </c>
      <c r="G42" s="1" t="s">
        <v>645</v>
      </c>
      <c r="H42" s="1" t="s">
        <v>34</v>
      </c>
      <c r="I42" s="1" t="s">
        <v>851</v>
      </c>
      <c r="J42" s="1" t="s">
        <v>894</v>
      </c>
      <c r="K42" s="1">
        <v>12750</v>
      </c>
      <c r="L42" s="1">
        <v>6547.9999950000001</v>
      </c>
      <c r="M42" s="1">
        <v>6202.0000049999999</v>
      </c>
      <c r="N42" s="1">
        <v>0</v>
      </c>
      <c r="O42" s="1">
        <v>0</v>
      </c>
      <c r="P42" s="1">
        <v>1434.967353</v>
      </c>
      <c r="Q42" s="1">
        <v>7982.9673480000001</v>
      </c>
      <c r="R42" s="1">
        <v>4767.0326519999999</v>
      </c>
      <c r="S42" s="1">
        <v>15</v>
      </c>
      <c r="T42" s="1">
        <v>0.37388399999999999</v>
      </c>
      <c r="U42" s="1" t="s">
        <v>610</v>
      </c>
    </row>
    <row r="43" spans="1:21" x14ac:dyDescent="0.25">
      <c r="A43" s="1">
        <v>2018</v>
      </c>
      <c r="B43" s="1">
        <v>4</v>
      </c>
      <c r="C43" s="1" t="s">
        <v>57</v>
      </c>
      <c r="D43" s="1" t="s">
        <v>22</v>
      </c>
      <c r="E43" s="1" t="s">
        <v>851</v>
      </c>
      <c r="F43" s="1" t="s">
        <v>901</v>
      </c>
      <c r="G43" s="1" t="s">
        <v>646</v>
      </c>
      <c r="H43" s="1" t="s">
        <v>32</v>
      </c>
      <c r="I43" s="1" t="s">
        <v>851</v>
      </c>
      <c r="J43" s="1" t="s">
        <v>879</v>
      </c>
      <c r="K43" s="1">
        <v>9600</v>
      </c>
      <c r="L43" s="1">
        <v>2331.9999600000001</v>
      </c>
      <c r="M43" s="1">
        <v>7268.0000399999999</v>
      </c>
      <c r="N43" s="1">
        <v>0</v>
      </c>
      <c r="O43" s="1">
        <v>0</v>
      </c>
      <c r="P43" s="1">
        <v>7602.7282409999998</v>
      </c>
      <c r="Q43" s="1">
        <v>9934.7282009999999</v>
      </c>
      <c r="R43" s="1">
        <v>-334.72820100000001</v>
      </c>
      <c r="S43" s="1">
        <v>60</v>
      </c>
      <c r="T43" s="1">
        <v>-3.4867000000000002E-2</v>
      </c>
      <c r="U43" s="1" t="s">
        <v>622</v>
      </c>
    </row>
    <row r="44" spans="1:21" x14ac:dyDescent="0.25">
      <c r="A44" s="1">
        <v>2018</v>
      </c>
      <c r="B44" s="1">
        <v>4</v>
      </c>
      <c r="C44" s="1" t="s">
        <v>57</v>
      </c>
      <c r="D44" s="1" t="s">
        <v>22</v>
      </c>
      <c r="E44" s="1" t="s">
        <v>851</v>
      </c>
      <c r="F44" s="1" t="s">
        <v>872</v>
      </c>
      <c r="G44" s="1" t="s">
        <v>647</v>
      </c>
      <c r="H44" s="1" t="s">
        <v>34</v>
      </c>
      <c r="I44" s="1" t="s">
        <v>851</v>
      </c>
      <c r="J44" s="1" t="s">
        <v>874</v>
      </c>
      <c r="K44" s="1">
        <v>74800</v>
      </c>
      <c r="L44" s="1">
        <v>33639.999975999999</v>
      </c>
      <c r="M44" s="1">
        <v>41160.000024000001</v>
      </c>
      <c r="N44" s="1">
        <v>0</v>
      </c>
      <c r="O44" s="1">
        <v>0</v>
      </c>
      <c r="P44" s="1">
        <v>0</v>
      </c>
      <c r="Q44" s="1">
        <v>33639.999975999999</v>
      </c>
      <c r="R44" s="1">
        <v>41160.000024000001</v>
      </c>
      <c r="S44" s="1">
        <v>34</v>
      </c>
      <c r="T44" s="1">
        <v>0.55026699999999995</v>
      </c>
      <c r="U44" s="1" t="s">
        <v>610</v>
      </c>
    </row>
    <row r="45" spans="1:21" x14ac:dyDescent="0.25">
      <c r="A45" s="1">
        <v>2018</v>
      </c>
      <c r="B45" s="1">
        <v>4</v>
      </c>
      <c r="C45" s="1" t="s">
        <v>57</v>
      </c>
      <c r="D45" s="1" t="s">
        <v>22</v>
      </c>
      <c r="E45" s="1" t="s">
        <v>851</v>
      </c>
      <c r="F45" s="1" t="s">
        <v>872</v>
      </c>
      <c r="G45" s="1" t="s">
        <v>648</v>
      </c>
      <c r="H45" s="1" t="s">
        <v>34</v>
      </c>
      <c r="I45" s="1" t="s">
        <v>851</v>
      </c>
      <c r="J45" s="1" t="s">
        <v>902</v>
      </c>
      <c r="K45" s="1">
        <v>42500</v>
      </c>
      <c r="L45" s="1">
        <v>22261.666651</v>
      </c>
      <c r="M45" s="1">
        <v>20238.333349</v>
      </c>
      <c r="N45" s="1">
        <v>0</v>
      </c>
      <c r="O45" s="1">
        <v>0</v>
      </c>
      <c r="P45" s="1">
        <v>0</v>
      </c>
      <c r="Q45" s="1">
        <v>22261.666651</v>
      </c>
      <c r="R45" s="1">
        <v>20238.333349</v>
      </c>
      <c r="S45" s="1">
        <v>17</v>
      </c>
      <c r="T45" s="1">
        <v>0.47619600000000001</v>
      </c>
      <c r="U45" s="1" t="s">
        <v>610</v>
      </c>
    </row>
    <row r="46" spans="1:21" x14ac:dyDescent="0.25">
      <c r="A46" s="1">
        <v>2018</v>
      </c>
      <c r="B46" s="1">
        <v>4</v>
      </c>
      <c r="C46" s="1" t="s">
        <v>57</v>
      </c>
      <c r="D46" s="1" t="s">
        <v>22</v>
      </c>
      <c r="E46" s="1" t="s">
        <v>851</v>
      </c>
      <c r="F46" s="1" t="s">
        <v>872</v>
      </c>
      <c r="G46" s="1" t="s">
        <v>649</v>
      </c>
      <c r="H46" s="1" t="s">
        <v>34</v>
      </c>
      <c r="I46" s="1" t="s">
        <v>851</v>
      </c>
      <c r="J46" s="1" t="s">
        <v>902</v>
      </c>
      <c r="K46" s="1">
        <v>127500</v>
      </c>
      <c r="L46" s="1">
        <v>66784.999953000006</v>
      </c>
      <c r="M46" s="1">
        <v>60715.000047000001</v>
      </c>
      <c r="N46" s="1">
        <v>0</v>
      </c>
      <c r="O46" s="1">
        <v>0</v>
      </c>
      <c r="P46" s="1">
        <v>0</v>
      </c>
      <c r="Q46" s="1">
        <v>66784.999953000006</v>
      </c>
      <c r="R46" s="1">
        <v>60715.000047000001</v>
      </c>
      <c r="S46" s="1">
        <v>51</v>
      </c>
      <c r="T46" s="1">
        <v>0.47619600000000001</v>
      </c>
      <c r="U46" s="1" t="s">
        <v>610</v>
      </c>
    </row>
    <row r="47" spans="1:21" x14ac:dyDescent="0.25">
      <c r="A47" s="1">
        <v>2018</v>
      </c>
      <c r="B47" s="1">
        <v>4</v>
      </c>
      <c r="C47" s="1" t="s">
        <v>57</v>
      </c>
      <c r="D47" s="1" t="s">
        <v>22</v>
      </c>
      <c r="E47" s="1" t="s">
        <v>851</v>
      </c>
      <c r="F47" s="1" t="s">
        <v>903</v>
      </c>
      <c r="G47" s="1" t="s">
        <v>650</v>
      </c>
      <c r="H47" s="1" t="s">
        <v>34</v>
      </c>
      <c r="I47" s="1" t="s">
        <v>851</v>
      </c>
      <c r="J47" s="1" t="s">
        <v>904</v>
      </c>
      <c r="K47" s="1">
        <v>28500</v>
      </c>
      <c r="L47" s="1">
        <v>16412</v>
      </c>
      <c r="M47" s="1">
        <v>12088</v>
      </c>
      <c r="N47" s="1">
        <v>0</v>
      </c>
      <c r="O47" s="1">
        <v>0</v>
      </c>
      <c r="P47" s="1">
        <v>1044.0090909999999</v>
      </c>
      <c r="Q47" s="1">
        <v>17456.009091</v>
      </c>
      <c r="R47" s="1">
        <v>11043.990909</v>
      </c>
      <c r="S47" s="1">
        <v>1</v>
      </c>
      <c r="T47" s="1">
        <v>0.38750800000000002</v>
      </c>
      <c r="U47" s="1" t="s">
        <v>601</v>
      </c>
    </row>
    <row r="48" spans="1:21" x14ac:dyDescent="0.25">
      <c r="A48" s="1">
        <v>2018</v>
      </c>
      <c r="B48" s="1">
        <v>4</v>
      </c>
      <c r="C48" s="1" t="s">
        <v>57</v>
      </c>
      <c r="D48" s="1" t="s">
        <v>22</v>
      </c>
      <c r="E48" s="1" t="s">
        <v>851</v>
      </c>
      <c r="F48" s="1" t="s">
        <v>881</v>
      </c>
      <c r="G48" s="1" t="s">
        <v>651</v>
      </c>
      <c r="H48" s="1" t="s">
        <v>34</v>
      </c>
      <c r="I48" s="1" t="s">
        <v>851</v>
      </c>
      <c r="J48" s="1" t="s">
        <v>883</v>
      </c>
      <c r="K48" s="1">
        <v>68400</v>
      </c>
      <c r="L48" s="1">
        <v>41467.999985000002</v>
      </c>
      <c r="M48" s="1">
        <v>26932.000015000001</v>
      </c>
      <c r="N48" s="1">
        <v>0</v>
      </c>
      <c r="O48" s="1">
        <v>0</v>
      </c>
      <c r="P48" s="1">
        <v>0</v>
      </c>
      <c r="Q48" s="1">
        <v>41467.999985000002</v>
      </c>
      <c r="R48" s="1">
        <v>26932.000015000001</v>
      </c>
      <c r="S48" s="1">
        <v>19</v>
      </c>
      <c r="T48" s="1">
        <v>0.39374199999999998</v>
      </c>
      <c r="U48" s="1" t="s">
        <v>610</v>
      </c>
    </row>
    <row r="49" spans="1:21" x14ac:dyDescent="0.25">
      <c r="A49" s="1">
        <v>2018</v>
      </c>
      <c r="B49" s="1">
        <v>4</v>
      </c>
      <c r="C49" s="1" t="s">
        <v>57</v>
      </c>
      <c r="D49" s="1" t="s">
        <v>22</v>
      </c>
      <c r="E49" s="1" t="s">
        <v>851</v>
      </c>
      <c r="F49" s="1" t="s">
        <v>881</v>
      </c>
      <c r="G49" s="1" t="s">
        <v>652</v>
      </c>
      <c r="H49" s="1" t="s">
        <v>34</v>
      </c>
      <c r="I49" s="1" t="s">
        <v>851</v>
      </c>
      <c r="J49" s="1" t="s">
        <v>905</v>
      </c>
      <c r="K49" s="1">
        <v>72000</v>
      </c>
      <c r="L49" s="1">
        <v>42246</v>
      </c>
      <c r="M49" s="1">
        <v>29754</v>
      </c>
      <c r="N49" s="1">
        <v>0</v>
      </c>
      <c r="O49" s="1">
        <v>0</v>
      </c>
      <c r="P49" s="1">
        <v>0</v>
      </c>
      <c r="Q49" s="1">
        <v>42246</v>
      </c>
      <c r="R49" s="1">
        <v>29754</v>
      </c>
      <c r="S49" s="1">
        <v>18</v>
      </c>
      <c r="T49" s="1">
        <v>0.41325000000000001</v>
      </c>
      <c r="U49" s="1" t="s">
        <v>610</v>
      </c>
    </row>
    <row r="50" spans="1:21" x14ac:dyDescent="0.25">
      <c r="A50" s="1">
        <v>2018</v>
      </c>
      <c r="B50" s="1">
        <v>4</v>
      </c>
      <c r="C50" s="1" t="s">
        <v>57</v>
      </c>
      <c r="D50" s="1" t="s">
        <v>22</v>
      </c>
      <c r="E50" s="1" t="s">
        <v>851</v>
      </c>
      <c r="F50" s="1" t="s">
        <v>865</v>
      </c>
      <c r="G50" s="1" t="s">
        <v>653</v>
      </c>
      <c r="H50" s="1" t="s">
        <v>32</v>
      </c>
      <c r="I50" s="1" t="s">
        <v>851</v>
      </c>
      <c r="J50" s="1" t="s">
        <v>866</v>
      </c>
      <c r="K50" s="1">
        <v>60000</v>
      </c>
      <c r="L50" s="1">
        <v>33663.999807</v>
      </c>
      <c r="M50" s="1">
        <v>26336.000193</v>
      </c>
      <c r="N50" s="1">
        <v>0</v>
      </c>
      <c r="O50" s="1">
        <v>0</v>
      </c>
      <c r="P50" s="1">
        <v>0</v>
      </c>
      <c r="Q50" s="1">
        <v>33663.999807</v>
      </c>
      <c r="R50" s="1">
        <v>26336.000193</v>
      </c>
      <c r="S50" s="1">
        <v>415.6</v>
      </c>
      <c r="T50" s="1">
        <v>0.43893300000000002</v>
      </c>
      <c r="U50" s="1" t="s">
        <v>604</v>
      </c>
    </row>
    <row r="51" spans="1:21" x14ac:dyDescent="0.25">
      <c r="A51" s="1">
        <v>2018</v>
      </c>
      <c r="B51" s="1">
        <v>4</v>
      </c>
      <c r="C51" s="1" t="s">
        <v>57</v>
      </c>
      <c r="D51" s="1" t="s">
        <v>22</v>
      </c>
      <c r="E51" s="1" t="s">
        <v>851</v>
      </c>
      <c r="F51" s="1" t="s">
        <v>906</v>
      </c>
      <c r="G51" s="1" t="s">
        <v>654</v>
      </c>
      <c r="H51" s="1" t="s">
        <v>34</v>
      </c>
      <c r="I51" s="1" t="s">
        <v>851</v>
      </c>
      <c r="J51" s="1" t="s">
        <v>877</v>
      </c>
      <c r="K51" s="1">
        <v>17442</v>
      </c>
      <c r="L51" s="1">
        <v>9894.1034450000006</v>
      </c>
      <c r="M51" s="1">
        <v>7547.8965550000003</v>
      </c>
      <c r="N51" s="1">
        <v>0</v>
      </c>
      <c r="O51" s="1">
        <v>0</v>
      </c>
      <c r="P51" s="1">
        <v>3577.6409090000002</v>
      </c>
      <c r="Q51" s="1">
        <v>13471.744354</v>
      </c>
      <c r="R51" s="1">
        <v>3970.2556460000001</v>
      </c>
      <c r="S51" s="1">
        <v>17</v>
      </c>
      <c r="T51" s="1">
        <v>0.227626</v>
      </c>
      <c r="U51" s="1" t="s">
        <v>610</v>
      </c>
    </row>
    <row r="52" spans="1:21" x14ac:dyDescent="0.25">
      <c r="A52" s="1">
        <v>2018</v>
      </c>
      <c r="B52" s="1">
        <v>4</v>
      </c>
      <c r="C52" s="1" t="s">
        <v>57</v>
      </c>
      <c r="D52" s="1" t="s">
        <v>22</v>
      </c>
      <c r="E52" s="1" t="s">
        <v>851</v>
      </c>
      <c r="F52" s="1" t="s">
        <v>907</v>
      </c>
      <c r="G52" s="1" t="s">
        <v>655</v>
      </c>
      <c r="H52" s="1" t="s">
        <v>32</v>
      </c>
      <c r="I52" s="1" t="s">
        <v>851</v>
      </c>
      <c r="J52" s="1" t="s">
        <v>857</v>
      </c>
      <c r="K52" s="1">
        <v>10500</v>
      </c>
      <c r="L52" s="1">
        <v>6180.75</v>
      </c>
      <c r="M52" s="1">
        <v>4319.25</v>
      </c>
      <c r="N52" s="1">
        <v>0</v>
      </c>
      <c r="O52" s="1">
        <v>0</v>
      </c>
      <c r="P52" s="1">
        <v>0</v>
      </c>
      <c r="Q52" s="1">
        <v>6180.75</v>
      </c>
      <c r="R52" s="1">
        <v>4319.25</v>
      </c>
      <c r="S52" s="1">
        <v>60</v>
      </c>
      <c r="T52" s="1">
        <v>0.41135699999999997</v>
      </c>
      <c r="U52" s="1" t="s">
        <v>604</v>
      </c>
    </row>
    <row r="53" spans="1:21" x14ac:dyDescent="0.25">
      <c r="A53" s="1">
        <v>2018</v>
      </c>
      <c r="B53" s="1">
        <v>4</v>
      </c>
      <c r="C53" s="1" t="s">
        <v>57</v>
      </c>
      <c r="D53" s="1" t="s">
        <v>22</v>
      </c>
      <c r="E53" s="1" t="s">
        <v>851</v>
      </c>
      <c r="F53" s="1" t="s">
        <v>852</v>
      </c>
      <c r="G53" s="1" t="s">
        <v>656</v>
      </c>
      <c r="H53" s="1" t="s">
        <v>34</v>
      </c>
      <c r="I53" s="1" t="s">
        <v>851</v>
      </c>
      <c r="J53" s="1" t="s">
        <v>853</v>
      </c>
      <c r="K53" s="1">
        <v>15300</v>
      </c>
      <c r="L53" s="1">
        <v>7281.9999719999996</v>
      </c>
      <c r="M53" s="1">
        <v>8018.0000280000004</v>
      </c>
      <c r="N53" s="1">
        <v>0</v>
      </c>
      <c r="O53" s="1">
        <v>0</v>
      </c>
      <c r="P53" s="1">
        <v>4698.0409090000003</v>
      </c>
      <c r="Q53" s="1">
        <v>11980.040881000001</v>
      </c>
      <c r="R53" s="1">
        <v>3319.9591190000001</v>
      </c>
      <c r="S53" s="1">
        <v>36</v>
      </c>
      <c r="T53" s="1">
        <v>0.21698999999999999</v>
      </c>
      <c r="U53" s="1" t="s">
        <v>601</v>
      </c>
    </row>
    <row r="54" spans="1:21" x14ac:dyDescent="0.25">
      <c r="A54" s="1">
        <v>2018</v>
      </c>
      <c r="B54" s="1">
        <v>4</v>
      </c>
      <c r="C54" s="1" t="s">
        <v>57</v>
      </c>
      <c r="D54" s="1" t="s">
        <v>22</v>
      </c>
      <c r="E54" s="1" t="s">
        <v>851</v>
      </c>
      <c r="F54" s="1" t="s">
        <v>878</v>
      </c>
      <c r="G54" s="1" t="s">
        <v>657</v>
      </c>
      <c r="H54" s="1" t="s">
        <v>32</v>
      </c>
      <c r="I54" s="1" t="s">
        <v>851</v>
      </c>
      <c r="J54" s="1" t="s">
        <v>879</v>
      </c>
      <c r="K54" s="1">
        <v>21000</v>
      </c>
      <c r="L54" s="1">
        <v>4663.9999200000002</v>
      </c>
      <c r="M54" s="1">
        <v>16336.00008</v>
      </c>
      <c r="N54" s="1">
        <v>0</v>
      </c>
      <c r="O54" s="1">
        <v>0</v>
      </c>
      <c r="P54" s="1">
        <v>6901.8981080000003</v>
      </c>
      <c r="Q54" s="1">
        <v>11565.898028</v>
      </c>
      <c r="R54" s="1">
        <v>9434.1019720000004</v>
      </c>
      <c r="S54" s="1">
        <v>120</v>
      </c>
      <c r="T54" s="1">
        <v>0.44924199999999997</v>
      </c>
      <c r="U54" s="1" t="s">
        <v>622</v>
      </c>
    </row>
    <row r="55" spans="1:21" x14ac:dyDescent="0.25">
      <c r="A55" s="1">
        <v>2018</v>
      </c>
      <c r="B55" s="1">
        <v>4</v>
      </c>
      <c r="C55" s="1" t="s">
        <v>57</v>
      </c>
      <c r="D55" s="1" t="s">
        <v>22</v>
      </c>
      <c r="E55" s="1" t="s">
        <v>851</v>
      </c>
      <c r="F55" s="1" t="s">
        <v>878</v>
      </c>
      <c r="G55" s="1" t="s">
        <v>658</v>
      </c>
      <c r="H55" s="1" t="s">
        <v>32</v>
      </c>
      <c r="I55" s="1" t="s">
        <v>851</v>
      </c>
      <c r="J55" s="1" t="s">
        <v>880</v>
      </c>
      <c r="K55" s="1">
        <v>29000</v>
      </c>
      <c r="L55" s="1">
        <v>16587.316999999999</v>
      </c>
      <c r="M55" s="1">
        <v>12412.683000000001</v>
      </c>
      <c r="N55" s="1">
        <v>0</v>
      </c>
      <c r="O55" s="1">
        <v>0</v>
      </c>
      <c r="P55" s="1">
        <v>9531.1926249999997</v>
      </c>
      <c r="Q55" s="1">
        <v>26118.509624999999</v>
      </c>
      <c r="R55" s="1">
        <v>2881.4903749999999</v>
      </c>
      <c r="S55" s="1">
        <v>200</v>
      </c>
      <c r="T55" s="1">
        <v>9.9361000000000005E-2</v>
      </c>
      <c r="U55" s="1" t="s">
        <v>622</v>
      </c>
    </row>
    <row r="56" spans="1:21" x14ac:dyDescent="0.25">
      <c r="A56" s="1">
        <v>2018</v>
      </c>
      <c r="B56" s="1">
        <v>4</v>
      </c>
      <c r="C56" s="1" t="s">
        <v>57</v>
      </c>
      <c r="D56" s="1" t="s">
        <v>22</v>
      </c>
      <c r="E56" s="1" t="s">
        <v>851</v>
      </c>
      <c r="F56" s="1" t="s">
        <v>907</v>
      </c>
      <c r="G56" s="1" t="s">
        <v>659</v>
      </c>
      <c r="H56" s="1" t="s">
        <v>32</v>
      </c>
      <c r="I56" s="1" t="s">
        <v>851</v>
      </c>
      <c r="J56" s="1" t="s">
        <v>857</v>
      </c>
      <c r="K56" s="1">
        <v>3500</v>
      </c>
      <c r="L56" s="1">
        <v>2060.25</v>
      </c>
      <c r="M56" s="1">
        <v>1439.75</v>
      </c>
      <c r="N56" s="1">
        <v>0</v>
      </c>
      <c r="O56" s="1">
        <v>0</v>
      </c>
      <c r="P56" s="1">
        <v>0</v>
      </c>
      <c r="Q56" s="1">
        <v>2060.25</v>
      </c>
      <c r="R56" s="1">
        <v>1439.75</v>
      </c>
      <c r="S56" s="1">
        <v>20</v>
      </c>
      <c r="T56" s="1">
        <v>0.41135699999999997</v>
      </c>
      <c r="U56" s="1" t="s">
        <v>604</v>
      </c>
    </row>
    <row r="57" spans="1:21" x14ac:dyDescent="0.25">
      <c r="A57" s="1">
        <v>2018</v>
      </c>
      <c r="B57" s="1">
        <v>4</v>
      </c>
      <c r="C57" s="1" t="s">
        <v>57</v>
      </c>
      <c r="D57" s="1" t="s">
        <v>22</v>
      </c>
      <c r="E57" s="1" t="s">
        <v>851</v>
      </c>
      <c r="F57" s="1" t="s">
        <v>870</v>
      </c>
      <c r="G57" s="1" t="s">
        <v>660</v>
      </c>
      <c r="H57" s="1" t="s">
        <v>32</v>
      </c>
      <c r="I57" s="1" t="s">
        <v>851</v>
      </c>
      <c r="J57" s="1" t="s">
        <v>908</v>
      </c>
      <c r="K57" s="1">
        <v>6800</v>
      </c>
      <c r="L57" s="1">
        <v>3850</v>
      </c>
      <c r="M57" s="1">
        <v>2950</v>
      </c>
      <c r="N57" s="1">
        <v>0</v>
      </c>
      <c r="O57" s="1">
        <v>0</v>
      </c>
      <c r="P57" s="1">
        <v>0</v>
      </c>
      <c r="Q57" s="1">
        <v>3850</v>
      </c>
      <c r="R57" s="1">
        <v>2950</v>
      </c>
      <c r="S57" s="1">
        <v>40</v>
      </c>
      <c r="T57" s="1">
        <v>0.43382300000000001</v>
      </c>
      <c r="U57" s="1" t="s">
        <v>604</v>
      </c>
    </row>
    <row r="58" spans="1:21" x14ac:dyDescent="0.25">
      <c r="A58" s="1">
        <v>2018</v>
      </c>
      <c r="B58" s="1">
        <v>4</v>
      </c>
      <c r="C58" s="1" t="s">
        <v>57</v>
      </c>
      <c r="D58" s="1" t="s">
        <v>22</v>
      </c>
      <c r="E58" s="1" t="s">
        <v>851</v>
      </c>
      <c r="F58" s="1" t="s">
        <v>909</v>
      </c>
      <c r="G58" s="1" t="s">
        <v>661</v>
      </c>
      <c r="H58" s="1" t="s">
        <v>32</v>
      </c>
      <c r="I58" s="1" t="s">
        <v>851</v>
      </c>
      <c r="J58" s="1" t="s">
        <v>880</v>
      </c>
      <c r="K58" s="1">
        <v>66900</v>
      </c>
      <c r="L58" s="1">
        <v>24880.9755</v>
      </c>
      <c r="M58" s="1">
        <v>42019.0245</v>
      </c>
      <c r="N58" s="1">
        <v>0</v>
      </c>
      <c r="O58" s="1">
        <v>0</v>
      </c>
      <c r="P58" s="1">
        <v>5384.0751810000002</v>
      </c>
      <c r="Q58" s="1">
        <v>30265.050681000001</v>
      </c>
      <c r="R58" s="1">
        <v>36634.949318999999</v>
      </c>
      <c r="S58" s="1">
        <v>300</v>
      </c>
      <c r="T58" s="1">
        <v>0.54760699999999995</v>
      </c>
      <c r="U58" s="1" t="s">
        <v>622</v>
      </c>
    </row>
    <row r="59" spans="1:21" x14ac:dyDescent="0.25">
      <c r="A59" s="1">
        <v>2018</v>
      </c>
      <c r="B59" s="1">
        <v>4</v>
      </c>
      <c r="C59" s="1" t="s">
        <v>57</v>
      </c>
      <c r="D59" s="1" t="s">
        <v>22</v>
      </c>
      <c r="E59" s="1" t="s">
        <v>851</v>
      </c>
      <c r="F59" s="1" t="s">
        <v>872</v>
      </c>
      <c r="G59" s="1" t="s">
        <v>662</v>
      </c>
      <c r="H59" s="1" t="s">
        <v>34</v>
      </c>
      <c r="I59" s="1" t="s">
        <v>851</v>
      </c>
      <c r="J59" s="1" t="s">
        <v>910</v>
      </c>
      <c r="K59" s="1">
        <v>245650</v>
      </c>
      <c r="L59" s="1">
        <v>103887.99993999999</v>
      </c>
      <c r="M59" s="1">
        <v>141762.00005999999</v>
      </c>
      <c r="N59" s="1">
        <v>0</v>
      </c>
      <c r="O59" s="1">
        <v>0</v>
      </c>
      <c r="P59" s="1">
        <v>0</v>
      </c>
      <c r="Q59" s="1">
        <v>103887.99993999999</v>
      </c>
      <c r="R59" s="1">
        <v>141762.00005999999</v>
      </c>
      <c r="S59" s="1">
        <v>85</v>
      </c>
      <c r="T59" s="1">
        <v>0.57708899999999996</v>
      </c>
      <c r="U59" s="1" t="s">
        <v>610</v>
      </c>
    </row>
    <row r="60" spans="1:21" x14ac:dyDescent="0.25">
      <c r="A60" s="1">
        <v>2018</v>
      </c>
      <c r="B60" s="1">
        <v>4</v>
      </c>
      <c r="C60" s="1" t="s">
        <v>57</v>
      </c>
      <c r="D60" s="1" t="s">
        <v>22</v>
      </c>
      <c r="E60" s="1" t="s">
        <v>851</v>
      </c>
      <c r="F60" s="1" t="s">
        <v>872</v>
      </c>
      <c r="G60" s="1" t="s">
        <v>663</v>
      </c>
      <c r="H60" s="1" t="s">
        <v>34</v>
      </c>
      <c r="I60" s="1" t="s">
        <v>851</v>
      </c>
      <c r="J60" s="1" t="s">
        <v>902</v>
      </c>
      <c r="K60" s="1">
        <v>85000</v>
      </c>
      <c r="L60" s="1">
        <v>44523.333301999999</v>
      </c>
      <c r="M60" s="1">
        <v>40476.666698000001</v>
      </c>
      <c r="N60" s="1">
        <v>0</v>
      </c>
      <c r="O60" s="1">
        <v>0</v>
      </c>
      <c r="P60" s="1">
        <v>0</v>
      </c>
      <c r="Q60" s="1">
        <v>44523.333301999999</v>
      </c>
      <c r="R60" s="1">
        <v>40476.666698000001</v>
      </c>
      <c r="S60" s="1">
        <v>34</v>
      </c>
      <c r="T60" s="1">
        <v>0.47619600000000001</v>
      </c>
      <c r="U60" s="1" t="s">
        <v>610</v>
      </c>
    </row>
    <row r="61" spans="1:21" x14ac:dyDescent="0.25">
      <c r="A61" s="1">
        <v>2018</v>
      </c>
      <c r="B61" s="1">
        <v>4</v>
      </c>
      <c r="C61" s="1" t="s">
        <v>57</v>
      </c>
      <c r="D61" s="1" t="s">
        <v>22</v>
      </c>
      <c r="E61" s="1" t="s">
        <v>851</v>
      </c>
      <c r="F61" s="1" t="s">
        <v>911</v>
      </c>
      <c r="G61" s="1" t="s">
        <v>664</v>
      </c>
      <c r="H61" s="1" t="s">
        <v>32</v>
      </c>
      <c r="I61" s="1" t="s">
        <v>851</v>
      </c>
      <c r="J61" s="1" t="s">
        <v>887</v>
      </c>
      <c r="K61" s="1">
        <v>5000</v>
      </c>
      <c r="L61" s="1">
        <v>2383</v>
      </c>
      <c r="M61" s="1">
        <v>2617</v>
      </c>
      <c r="N61" s="1">
        <v>0</v>
      </c>
      <c r="O61" s="1">
        <v>0</v>
      </c>
      <c r="P61" s="1">
        <v>0</v>
      </c>
      <c r="Q61" s="1">
        <v>2383</v>
      </c>
      <c r="R61" s="1">
        <v>2617</v>
      </c>
      <c r="S61" s="1">
        <v>20</v>
      </c>
      <c r="T61" s="1">
        <v>0.52339999999999998</v>
      </c>
      <c r="U61" s="1" t="s">
        <v>604</v>
      </c>
    </row>
    <row r="62" spans="1:21" x14ac:dyDescent="0.25">
      <c r="A62" s="1">
        <v>2018</v>
      </c>
      <c r="B62" s="1">
        <v>4</v>
      </c>
      <c r="C62" s="1" t="s">
        <v>57</v>
      </c>
      <c r="D62" s="1" t="s">
        <v>22</v>
      </c>
      <c r="E62" s="1" t="s">
        <v>851</v>
      </c>
      <c r="F62" s="1" t="s">
        <v>912</v>
      </c>
      <c r="G62" s="1" t="s">
        <v>665</v>
      </c>
      <c r="H62" s="1" t="s">
        <v>32</v>
      </c>
      <c r="I62" s="1" t="s">
        <v>851</v>
      </c>
      <c r="J62" s="1" t="s">
        <v>913</v>
      </c>
      <c r="K62" s="1">
        <v>21875</v>
      </c>
      <c r="L62" s="1">
        <v>16492</v>
      </c>
      <c r="M62" s="1">
        <v>5383</v>
      </c>
      <c r="N62" s="1">
        <v>0</v>
      </c>
      <c r="O62" s="1">
        <v>0</v>
      </c>
      <c r="P62" s="1">
        <v>0</v>
      </c>
      <c r="Q62" s="1">
        <v>16492</v>
      </c>
      <c r="R62" s="1">
        <v>5383</v>
      </c>
      <c r="S62" s="1">
        <v>175</v>
      </c>
      <c r="T62" s="1">
        <v>0.24607999999999999</v>
      </c>
      <c r="U62" s="1" t="s">
        <v>604</v>
      </c>
    </row>
    <row r="63" spans="1:21" x14ac:dyDescent="0.25">
      <c r="A63" s="1">
        <v>2018</v>
      </c>
      <c r="B63" s="1">
        <v>4</v>
      </c>
      <c r="C63" s="1" t="s">
        <v>57</v>
      </c>
      <c r="D63" s="1" t="s">
        <v>22</v>
      </c>
      <c r="E63" s="1" t="s">
        <v>851</v>
      </c>
      <c r="F63" s="1" t="s">
        <v>858</v>
      </c>
      <c r="G63" s="1" t="s">
        <v>666</v>
      </c>
      <c r="H63" s="1" t="s">
        <v>32</v>
      </c>
      <c r="I63" s="1" t="s">
        <v>851</v>
      </c>
      <c r="J63" s="1" t="s">
        <v>860</v>
      </c>
      <c r="K63" s="1">
        <v>6400</v>
      </c>
      <c r="L63" s="1">
        <v>2597</v>
      </c>
      <c r="M63" s="1">
        <v>3803</v>
      </c>
      <c r="N63" s="1">
        <v>0</v>
      </c>
      <c r="O63" s="1">
        <v>0</v>
      </c>
      <c r="P63" s="1">
        <v>0</v>
      </c>
      <c r="Q63" s="1">
        <v>2597</v>
      </c>
      <c r="R63" s="1">
        <v>3803</v>
      </c>
      <c r="S63" s="1">
        <v>20</v>
      </c>
      <c r="T63" s="1">
        <v>0.59421800000000002</v>
      </c>
      <c r="U63" s="1" t="s">
        <v>604</v>
      </c>
    </row>
    <row r="64" spans="1:21" x14ac:dyDescent="0.25">
      <c r="A64" s="1">
        <v>2018</v>
      </c>
      <c r="B64" s="1">
        <v>4</v>
      </c>
      <c r="C64" s="1" t="s">
        <v>57</v>
      </c>
      <c r="D64" s="1" t="s">
        <v>22</v>
      </c>
      <c r="E64" s="1" t="s">
        <v>851</v>
      </c>
      <c r="F64" s="1" t="s">
        <v>914</v>
      </c>
      <c r="G64" s="1" t="s">
        <v>667</v>
      </c>
      <c r="H64" s="1" t="s">
        <v>32</v>
      </c>
      <c r="I64" s="1" t="s">
        <v>851</v>
      </c>
      <c r="J64" s="1" t="s">
        <v>915</v>
      </c>
      <c r="K64" s="1">
        <v>46480</v>
      </c>
      <c r="L64" s="1">
        <v>12549.999959999999</v>
      </c>
      <c r="M64" s="1">
        <v>33930.000039999999</v>
      </c>
      <c r="N64" s="1">
        <v>0</v>
      </c>
      <c r="O64" s="1">
        <v>0</v>
      </c>
      <c r="P64" s="1">
        <v>2061.006198</v>
      </c>
      <c r="Q64" s="1">
        <v>14611.006158</v>
      </c>
      <c r="R64" s="1">
        <v>31868.993842</v>
      </c>
      <c r="S64" s="1">
        <v>232.4</v>
      </c>
      <c r="T64" s="1">
        <v>0.68564899999999995</v>
      </c>
      <c r="U64" s="1" t="s">
        <v>622</v>
      </c>
    </row>
    <row r="65" spans="1:21" x14ac:dyDescent="0.25">
      <c r="A65" s="1">
        <v>2018</v>
      </c>
      <c r="B65" s="1">
        <v>4</v>
      </c>
      <c r="C65" s="1" t="s">
        <v>57</v>
      </c>
      <c r="D65" s="1" t="s">
        <v>22</v>
      </c>
      <c r="E65" s="1" t="s">
        <v>851</v>
      </c>
      <c r="F65" s="1" t="s">
        <v>914</v>
      </c>
      <c r="G65" s="1" t="s">
        <v>668</v>
      </c>
      <c r="H65" s="1" t="s">
        <v>32</v>
      </c>
      <c r="I65" s="1" t="s">
        <v>851</v>
      </c>
      <c r="J65" s="1" t="s">
        <v>916</v>
      </c>
      <c r="K65" s="1">
        <v>4925</v>
      </c>
      <c r="L65" s="1">
        <v>1285.999984</v>
      </c>
      <c r="M65" s="1">
        <v>3639.000016</v>
      </c>
      <c r="N65" s="1">
        <v>0</v>
      </c>
      <c r="O65" s="1">
        <v>0</v>
      </c>
      <c r="P65" s="1">
        <v>218.38329400000001</v>
      </c>
      <c r="Q65" s="1">
        <v>1504.383278</v>
      </c>
      <c r="R65" s="1">
        <v>3420.6167220000002</v>
      </c>
      <c r="S65" s="1">
        <v>19.7</v>
      </c>
      <c r="T65" s="1">
        <v>0.69454099999999996</v>
      </c>
      <c r="U65" s="1" t="s">
        <v>622</v>
      </c>
    </row>
    <row r="66" spans="1:21" x14ac:dyDescent="0.25">
      <c r="A66" s="1">
        <v>2018</v>
      </c>
      <c r="B66" s="1">
        <v>4</v>
      </c>
      <c r="C66" s="1" t="s">
        <v>57</v>
      </c>
      <c r="D66" s="1" t="s">
        <v>22</v>
      </c>
      <c r="E66" s="1" t="s">
        <v>851</v>
      </c>
      <c r="F66" s="1" t="s">
        <v>878</v>
      </c>
      <c r="G66" s="1" t="s">
        <v>669</v>
      </c>
      <c r="H66" s="1" t="s">
        <v>32</v>
      </c>
      <c r="I66" s="1" t="s">
        <v>851</v>
      </c>
      <c r="J66" s="1" t="s">
        <v>879</v>
      </c>
      <c r="K66" s="1">
        <v>21000</v>
      </c>
      <c r="L66" s="1">
        <v>4663.9999200000002</v>
      </c>
      <c r="M66" s="1">
        <v>16336.00008</v>
      </c>
      <c r="N66" s="1">
        <v>0</v>
      </c>
      <c r="O66" s="1">
        <v>0</v>
      </c>
      <c r="P66" s="1">
        <v>6901.8981080000003</v>
      </c>
      <c r="Q66" s="1">
        <v>11565.898028</v>
      </c>
      <c r="R66" s="1">
        <v>9434.1019720000004</v>
      </c>
      <c r="S66" s="1">
        <v>120</v>
      </c>
      <c r="T66" s="1">
        <v>0.44924199999999997</v>
      </c>
      <c r="U66" s="1" t="s">
        <v>622</v>
      </c>
    </row>
    <row r="67" spans="1:21" x14ac:dyDescent="0.25">
      <c r="A67" s="1">
        <v>2018</v>
      </c>
      <c r="B67" s="1">
        <v>4</v>
      </c>
      <c r="C67" s="1" t="s">
        <v>57</v>
      </c>
      <c r="D67" s="1" t="s">
        <v>22</v>
      </c>
      <c r="E67" s="1" t="s">
        <v>851</v>
      </c>
      <c r="F67" s="1" t="s">
        <v>878</v>
      </c>
      <c r="G67" s="1" t="s">
        <v>670</v>
      </c>
      <c r="H67" s="1" t="s">
        <v>32</v>
      </c>
      <c r="I67" s="1" t="s">
        <v>851</v>
      </c>
      <c r="J67" s="1" t="s">
        <v>880</v>
      </c>
      <c r="K67" s="1">
        <v>43500</v>
      </c>
      <c r="L67" s="1">
        <v>24880.9755</v>
      </c>
      <c r="M67" s="1">
        <v>18619.0245</v>
      </c>
      <c r="N67" s="1">
        <v>0</v>
      </c>
      <c r="O67" s="1">
        <v>0</v>
      </c>
      <c r="P67" s="1">
        <v>14296.788936999999</v>
      </c>
      <c r="Q67" s="1">
        <v>39177.764436999998</v>
      </c>
      <c r="R67" s="1">
        <v>4322.2355630000002</v>
      </c>
      <c r="S67" s="1">
        <v>300</v>
      </c>
      <c r="T67" s="1">
        <v>9.9361000000000005E-2</v>
      </c>
      <c r="U67" s="1" t="s">
        <v>622</v>
      </c>
    </row>
    <row r="68" spans="1:21" x14ac:dyDescent="0.25">
      <c r="A68" s="1">
        <v>2018</v>
      </c>
      <c r="B68" s="1">
        <v>4</v>
      </c>
      <c r="C68" s="1" t="s">
        <v>57</v>
      </c>
      <c r="D68" s="1" t="s">
        <v>22</v>
      </c>
      <c r="E68" s="1" t="s">
        <v>851</v>
      </c>
      <c r="F68" s="1" t="s">
        <v>917</v>
      </c>
      <c r="G68" s="1" t="s">
        <v>671</v>
      </c>
      <c r="H68" s="1" t="s">
        <v>34</v>
      </c>
      <c r="I68" s="1" t="s">
        <v>851</v>
      </c>
      <c r="J68" s="1" t="s">
        <v>918</v>
      </c>
      <c r="K68" s="1">
        <v>247320</v>
      </c>
      <c r="L68" s="1">
        <v>220944.999996</v>
      </c>
      <c r="M68" s="1">
        <v>26375.000004000001</v>
      </c>
      <c r="N68" s="1">
        <v>0</v>
      </c>
      <c r="O68" s="1">
        <v>0</v>
      </c>
      <c r="P68" s="1">
        <v>9000.1454549999999</v>
      </c>
      <c r="Q68" s="1">
        <v>229945.14545099999</v>
      </c>
      <c r="R68" s="1">
        <v>17374.854549</v>
      </c>
      <c r="S68" s="1">
        <v>108</v>
      </c>
      <c r="T68" s="1">
        <v>7.0251999999999995E-2</v>
      </c>
      <c r="U68" s="1" t="s">
        <v>610</v>
      </c>
    </row>
    <row r="69" spans="1:21" x14ac:dyDescent="0.25">
      <c r="A69" s="1">
        <v>2018</v>
      </c>
      <c r="B69" s="1">
        <v>5</v>
      </c>
      <c r="C69" s="1" t="s">
        <v>63</v>
      </c>
      <c r="D69" s="1" t="s">
        <v>22</v>
      </c>
      <c r="E69" s="1" t="s">
        <v>851</v>
      </c>
      <c r="F69" s="1" t="s">
        <v>856</v>
      </c>
      <c r="G69" s="1" t="s">
        <v>672</v>
      </c>
      <c r="H69" s="1" t="s">
        <v>32</v>
      </c>
      <c r="I69" s="1" t="s">
        <v>851</v>
      </c>
      <c r="J69" s="1" t="s">
        <v>857</v>
      </c>
      <c r="K69" s="1">
        <v>37450</v>
      </c>
      <c r="L69" s="1">
        <v>22044.999852000001</v>
      </c>
      <c r="M69" s="1">
        <v>15405.000147999999</v>
      </c>
      <c r="N69" s="1">
        <v>0</v>
      </c>
      <c r="O69" s="1">
        <v>0</v>
      </c>
      <c r="P69" s="1">
        <v>0</v>
      </c>
      <c r="Q69" s="1">
        <v>22044.999852000001</v>
      </c>
      <c r="R69" s="1">
        <v>15405.000147999999</v>
      </c>
      <c r="S69" s="1">
        <v>214</v>
      </c>
      <c r="T69" s="1">
        <v>0.41134799999999999</v>
      </c>
      <c r="U69" s="1" t="s">
        <v>604</v>
      </c>
    </row>
    <row r="70" spans="1:21" x14ac:dyDescent="0.25">
      <c r="A70" s="1">
        <v>2018</v>
      </c>
      <c r="B70" s="1">
        <v>5</v>
      </c>
      <c r="C70" s="1" t="s">
        <v>63</v>
      </c>
      <c r="D70" s="1" t="s">
        <v>22</v>
      </c>
      <c r="E70" s="1" t="s">
        <v>851</v>
      </c>
      <c r="F70" s="1" t="s">
        <v>912</v>
      </c>
      <c r="G70" s="1" t="s">
        <v>673</v>
      </c>
      <c r="H70" s="1" t="s">
        <v>32</v>
      </c>
      <c r="I70" s="1" t="s">
        <v>851</v>
      </c>
      <c r="J70" s="1" t="s">
        <v>913</v>
      </c>
      <c r="K70" s="1">
        <v>21875</v>
      </c>
      <c r="L70" s="1">
        <v>17306.99985</v>
      </c>
      <c r="M70" s="1">
        <v>4568.0001499999998</v>
      </c>
      <c r="N70" s="1">
        <v>0</v>
      </c>
      <c r="O70" s="1">
        <v>0</v>
      </c>
      <c r="P70" s="1">
        <v>0</v>
      </c>
      <c r="Q70" s="1">
        <v>17306.99985</v>
      </c>
      <c r="R70" s="1">
        <v>4568.0001499999998</v>
      </c>
      <c r="S70" s="1">
        <v>175</v>
      </c>
      <c r="T70" s="1">
        <v>0.20882200000000001</v>
      </c>
      <c r="U70" s="1" t="s">
        <v>604</v>
      </c>
    </row>
    <row r="71" spans="1:21" x14ac:dyDescent="0.25">
      <c r="A71" s="1">
        <v>2018</v>
      </c>
      <c r="B71" s="1">
        <v>5</v>
      </c>
      <c r="C71" s="1" t="s">
        <v>63</v>
      </c>
      <c r="D71" s="1" t="s">
        <v>22</v>
      </c>
      <c r="E71" s="1" t="s">
        <v>851</v>
      </c>
      <c r="F71" s="1" t="s">
        <v>919</v>
      </c>
      <c r="G71" s="1" t="s">
        <v>674</v>
      </c>
      <c r="H71" s="1" t="s">
        <v>32</v>
      </c>
      <c r="I71" s="1" t="s">
        <v>851</v>
      </c>
      <c r="J71" s="1" t="s">
        <v>920</v>
      </c>
      <c r="K71" s="1">
        <v>78408</v>
      </c>
      <c r="L71" s="1">
        <v>62731.999493000003</v>
      </c>
      <c r="M71" s="1">
        <v>15676.000507000001</v>
      </c>
      <c r="N71" s="1">
        <v>0</v>
      </c>
      <c r="O71" s="1">
        <v>0</v>
      </c>
      <c r="P71" s="1">
        <v>0</v>
      </c>
      <c r="Q71" s="1">
        <v>62731.999493000003</v>
      </c>
      <c r="R71" s="1">
        <v>15676.000507000001</v>
      </c>
      <c r="S71" s="1">
        <v>580.79999999999995</v>
      </c>
      <c r="T71" s="1">
        <v>0.19992799999999999</v>
      </c>
      <c r="U71" s="1" t="s">
        <v>604</v>
      </c>
    </row>
    <row r="72" spans="1:21" x14ac:dyDescent="0.25">
      <c r="A72" s="1">
        <v>2018</v>
      </c>
      <c r="B72" s="1">
        <v>5</v>
      </c>
      <c r="C72" s="1" t="s">
        <v>63</v>
      </c>
      <c r="D72" s="1" t="s">
        <v>22</v>
      </c>
      <c r="E72" s="1" t="s">
        <v>851</v>
      </c>
      <c r="F72" s="1" t="s">
        <v>921</v>
      </c>
      <c r="G72" s="1" t="s">
        <v>675</v>
      </c>
      <c r="H72" s="1" t="s">
        <v>32</v>
      </c>
      <c r="I72" s="1" t="s">
        <v>851</v>
      </c>
      <c r="J72" s="1" t="s">
        <v>922</v>
      </c>
      <c r="K72" s="1">
        <v>22834</v>
      </c>
      <c r="L72" s="1">
        <v>28007</v>
      </c>
      <c r="M72" s="1">
        <v>-5173</v>
      </c>
      <c r="N72" s="1">
        <v>0</v>
      </c>
      <c r="O72" s="1">
        <v>0</v>
      </c>
      <c r="P72" s="1">
        <v>0</v>
      </c>
      <c r="Q72" s="1">
        <v>28007</v>
      </c>
      <c r="R72" s="1">
        <v>-5173</v>
      </c>
      <c r="S72" s="1">
        <v>140</v>
      </c>
      <c r="T72" s="1">
        <v>-0.226548</v>
      </c>
      <c r="U72" s="1" t="s">
        <v>676</v>
      </c>
    </row>
    <row r="73" spans="1:21" x14ac:dyDescent="0.25">
      <c r="A73" s="1">
        <v>2018</v>
      </c>
      <c r="B73" s="1">
        <v>5</v>
      </c>
      <c r="C73" s="1" t="s">
        <v>63</v>
      </c>
      <c r="D73" s="1" t="s">
        <v>22</v>
      </c>
      <c r="E73" s="1" t="s">
        <v>851</v>
      </c>
      <c r="F73" s="1" t="s">
        <v>921</v>
      </c>
      <c r="G73" s="1" t="s">
        <v>677</v>
      </c>
      <c r="H73" s="1" t="s">
        <v>32</v>
      </c>
      <c r="I73" s="1" t="s">
        <v>851</v>
      </c>
      <c r="J73" s="1" t="s">
        <v>923</v>
      </c>
      <c r="K73" s="1">
        <v>41280</v>
      </c>
      <c r="L73" s="1">
        <v>47099.142720000003</v>
      </c>
      <c r="M73" s="1">
        <v>-5819.1427199999998</v>
      </c>
      <c r="N73" s="1">
        <v>0</v>
      </c>
      <c r="O73" s="1">
        <v>0</v>
      </c>
      <c r="P73" s="1">
        <v>0</v>
      </c>
      <c r="Q73" s="1">
        <v>47099.142720000003</v>
      </c>
      <c r="R73" s="1">
        <v>-5819.1427199999998</v>
      </c>
      <c r="S73" s="1">
        <v>240</v>
      </c>
      <c r="T73" s="1">
        <v>-0.14096700000000001</v>
      </c>
      <c r="U73" s="1" t="s">
        <v>676</v>
      </c>
    </row>
    <row r="74" spans="1:21" x14ac:dyDescent="0.25">
      <c r="A74" s="1">
        <v>2018</v>
      </c>
      <c r="B74" s="1">
        <v>5</v>
      </c>
      <c r="C74" s="1" t="s">
        <v>63</v>
      </c>
      <c r="D74" s="1" t="s">
        <v>22</v>
      </c>
      <c r="E74" s="1" t="s">
        <v>851</v>
      </c>
      <c r="F74" s="1" t="s">
        <v>861</v>
      </c>
      <c r="G74" s="1" t="s">
        <v>678</v>
      </c>
      <c r="H74" s="1" t="s">
        <v>32</v>
      </c>
      <c r="I74" s="1" t="s">
        <v>851</v>
      </c>
      <c r="J74" s="1" t="s">
        <v>862</v>
      </c>
      <c r="K74" s="1">
        <v>375000</v>
      </c>
      <c r="L74" s="1">
        <v>228151.99799999999</v>
      </c>
      <c r="M74" s="1">
        <v>146848.00200000001</v>
      </c>
      <c r="N74" s="1">
        <v>0</v>
      </c>
      <c r="O74" s="1">
        <v>0</v>
      </c>
      <c r="P74" s="1">
        <v>0</v>
      </c>
      <c r="Q74" s="1">
        <v>228151.99799999999</v>
      </c>
      <c r="R74" s="1">
        <v>146848.00200000001</v>
      </c>
      <c r="S74" s="1">
        <v>3000</v>
      </c>
      <c r="T74" s="1">
        <v>0.391594</v>
      </c>
      <c r="U74" s="1" t="s">
        <v>604</v>
      </c>
    </row>
    <row r="75" spans="1:21" x14ac:dyDescent="0.25">
      <c r="A75" s="1">
        <v>2018</v>
      </c>
      <c r="B75" s="1">
        <v>5</v>
      </c>
      <c r="C75" s="1" t="s">
        <v>63</v>
      </c>
      <c r="D75" s="1" t="s">
        <v>22</v>
      </c>
      <c r="E75" s="1" t="s">
        <v>851</v>
      </c>
      <c r="F75" s="1" t="s">
        <v>870</v>
      </c>
      <c r="G75" s="1" t="s">
        <v>679</v>
      </c>
      <c r="H75" s="1" t="s">
        <v>32</v>
      </c>
      <c r="I75" s="1" t="s">
        <v>851</v>
      </c>
      <c r="J75" s="1" t="s">
        <v>871</v>
      </c>
      <c r="K75" s="1">
        <v>48000</v>
      </c>
      <c r="L75" s="1">
        <v>36235.999920000002</v>
      </c>
      <c r="M75" s="1">
        <v>11764.00008</v>
      </c>
      <c r="N75" s="1">
        <v>0</v>
      </c>
      <c r="O75" s="1">
        <v>0</v>
      </c>
      <c r="P75" s="1">
        <v>0</v>
      </c>
      <c r="Q75" s="1">
        <v>36235.999920000002</v>
      </c>
      <c r="R75" s="1">
        <v>11764.00008</v>
      </c>
      <c r="S75" s="1">
        <v>240</v>
      </c>
      <c r="T75" s="1">
        <v>0.245083</v>
      </c>
      <c r="U75" s="1" t="s">
        <v>604</v>
      </c>
    </row>
    <row r="76" spans="1:21" x14ac:dyDescent="0.25">
      <c r="A76" s="1">
        <v>2018</v>
      </c>
      <c r="B76" s="1">
        <v>5</v>
      </c>
      <c r="C76" s="1" t="s">
        <v>63</v>
      </c>
      <c r="D76" s="1" t="s">
        <v>22</v>
      </c>
      <c r="E76" s="1" t="s">
        <v>851</v>
      </c>
      <c r="F76" s="1" t="s">
        <v>924</v>
      </c>
      <c r="G76" s="1" t="s">
        <v>680</v>
      </c>
      <c r="H76" s="1" t="s">
        <v>32</v>
      </c>
      <c r="I76" s="1" t="s">
        <v>851</v>
      </c>
      <c r="J76" s="1" t="s">
        <v>925</v>
      </c>
      <c r="K76" s="1">
        <v>11400</v>
      </c>
      <c r="L76" s="1">
        <v>10794.75</v>
      </c>
      <c r="M76" s="1">
        <v>605.25</v>
      </c>
      <c r="N76" s="1">
        <v>0</v>
      </c>
      <c r="O76" s="1">
        <v>0</v>
      </c>
      <c r="P76" s="1">
        <v>0</v>
      </c>
      <c r="Q76" s="1">
        <v>10794.75</v>
      </c>
      <c r="R76" s="1">
        <v>605.25</v>
      </c>
      <c r="S76" s="1">
        <v>60</v>
      </c>
      <c r="T76" s="1">
        <v>5.3092E-2</v>
      </c>
      <c r="U76" s="1" t="s">
        <v>604</v>
      </c>
    </row>
    <row r="77" spans="1:21" x14ac:dyDescent="0.25">
      <c r="A77" s="1">
        <v>2018</v>
      </c>
      <c r="B77" s="1">
        <v>5</v>
      </c>
      <c r="C77" s="1" t="s">
        <v>63</v>
      </c>
      <c r="D77" s="1" t="s">
        <v>22</v>
      </c>
      <c r="E77" s="1" t="s">
        <v>851</v>
      </c>
      <c r="F77" s="1" t="s">
        <v>895</v>
      </c>
      <c r="G77" s="1" t="s">
        <v>681</v>
      </c>
      <c r="H77" s="1" t="s">
        <v>32</v>
      </c>
      <c r="I77" s="1" t="s">
        <v>851</v>
      </c>
      <c r="J77" s="1" t="s">
        <v>896</v>
      </c>
      <c r="K77" s="1">
        <v>76800</v>
      </c>
      <c r="L77" s="1">
        <v>14688</v>
      </c>
      <c r="M77" s="1">
        <v>62112</v>
      </c>
      <c r="N77" s="1">
        <v>0</v>
      </c>
      <c r="O77" s="1">
        <v>0</v>
      </c>
      <c r="P77" s="1">
        <v>0</v>
      </c>
      <c r="Q77" s="1">
        <v>14688</v>
      </c>
      <c r="R77" s="1">
        <v>62112</v>
      </c>
      <c r="S77" s="1">
        <v>480</v>
      </c>
      <c r="T77" s="1">
        <v>0.80874999999999997</v>
      </c>
      <c r="U77" s="1" t="s">
        <v>622</v>
      </c>
    </row>
    <row r="78" spans="1:21" x14ac:dyDescent="0.25">
      <c r="A78" s="1">
        <v>2018</v>
      </c>
      <c r="B78" s="1">
        <v>5</v>
      </c>
      <c r="C78" s="1" t="s">
        <v>63</v>
      </c>
      <c r="D78" s="1" t="s">
        <v>22</v>
      </c>
      <c r="E78" s="1" t="s">
        <v>851</v>
      </c>
      <c r="F78" s="1" t="s">
        <v>881</v>
      </c>
      <c r="G78" s="1" t="s">
        <v>682</v>
      </c>
      <c r="H78" s="1" t="s">
        <v>34</v>
      </c>
      <c r="I78" s="1" t="s">
        <v>851</v>
      </c>
      <c r="J78" s="1" t="s">
        <v>926</v>
      </c>
      <c r="K78" s="1">
        <v>27200</v>
      </c>
      <c r="L78" s="1">
        <v>16378.999996</v>
      </c>
      <c r="M78" s="1">
        <v>10821.000004</v>
      </c>
      <c r="N78" s="1">
        <v>0</v>
      </c>
      <c r="O78" s="1">
        <v>0</v>
      </c>
      <c r="P78" s="1">
        <v>0</v>
      </c>
      <c r="Q78" s="1">
        <v>16378.999996</v>
      </c>
      <c r="R78" s="1">
        <v>10821.000004</v>
      </c>
      <c r="S78" s="1">
        <v>17</v>
      </c>
      <c r="T78" s="1">
        <v>0.39783000000000002</v>
      </c>
      <c r="U78" s="1" t="s">
        <v>610</v>
      </c>
    </row>
    <row r="79" spans="1:21" x14ac:dyDescent="0.25">
      <c r="A79" s="1">
        <v>2018</v>
      </c>
      <c r="B79" s="1">
        <v>5</v>
      </c>
      <c r="C79" s="1" t="s">
        <v>63</v>
      </c>
      <c r="D79" s="1" t="s">
        <v>22</v>
      </c>
      <c r="E79" s="1" t="s">
        <v>851</v>
      </c>
      <c r="F79" s="1" t="s">
        <v>927</v>
      </c>
      <c r="G79" s="1" t="s">
        <v>683</v>
      </c>
      <c r="H79" s="1" t="s">
        <v>32</v>
      </c>
      <c r="I79" s="1" t="s">
        <v>851</v>
      </c>
      <c r="J79" s="1" t="s">
        <v>925</v>
      </c>
      <c r="K79" s="1">
        <v>4000</v>
      </c>
      <c r="L79" s="1">
        <v>3598.25</v>
      </c>
      <c r="M79" s="1">
        <v>401.75</v>
      </c>
      <c r="N79" s="1">
        <v>0</v>
      </c>
      <c r="O79" s="1">
        <v>0</v>
      </c>
      <c r="P79" s="1">
        <v>1987.0751330000001</v>
      </c>
      <c r="Q79" s="1">
        <v>5585.3251330000003</v>
      </c>
      <c r="R79" s="1">
        <v>-1585.3251330000001</v>
      </c>
      <c r="S79" s="1">
        <v>20</v>
      </c>
      <c r="T79" s="1">
        <v>-0.39633099999999999</v>
      </c>
      <c r="U79" s="1" t="s">
        <v>622</v>
      </c>
    </row>
    <row r="80" spans="1:21" x14ac:dyDescent="0.25">
      <c r="A80" s="1">
        <v>2018</v>
      </c>
      <c r="B80" s="1">
        <v>5</v>
      </c>
      <c r="C80" s="1" t="s">
        <v>63</v>
      </c>
      <c r="D80" s="1" t="s">
        <v>22</v>
      </c>
      <c r="E80" s="1" t="s">
        <v>851</v>
      </c>
      <c r="F80" s="1" t="s">
        <v>927</v>
      </c>
      <c r="G80" s="1" t="s">
        <v>684</v>
      </c>
      <c r="H80" s="1" t="s">
        <v>32</v>
      </c>
      <c r="I80" s="1" t="s">
        <v>851</v>
      </c>
      <c r="J80" s="1" t="s">
        <v>923</v>
      </c>
      <c r="K80" s="1">
        <v>5600</v>
      </c>
      <c r="L80" s="1">
        <v>3924.9285599999998</v>
      </c>
      <c r="M80" s="1">
        <v>1675.0714399999999</v>
      </c>
      <c r="N80" s="1">
        <v>0</v>
      </c>
      <c r="O80" s="1">
        <v>0</v>
      </c>
      <c r="P80" s="1">
        <v>2781.905186</v>
      </c>
      <c r="Q80" s="1">
        <v>6706.8337460000002</v>
      </c>
      <c r="R80" s="1">
        <v>-1106.833746</v>
      </c>
      <c r="S80" s="1">
        <v>20</v>
      </c>
      <c r="T80" s="1">
        <v>-0.19764799999999999</v>
      </c>
      <c r="U80" s="1" t="s">
        <v>622</v>
      </c>
    </row>
    <row r="81" spans="1:21" x14ac:dyDescent="0.25">
      <c r="A81" s="1">
        <v>2018</v>
      </c>
      <c r="B81" s="1">
        <v>5</v>
      </c>
      <c r="C81" s="1" t="s">
        <v>63</v>
      </c>
      <c r="D81" s="1" t="s">
        <v>22</v>
      </c>
      <c r="E81" s="1" t="s">
        <v>851</v>
      </c>
      <c r="F81" s="1" t="s">
        <v>878</v>
      </c>
      <c r="G81" s="1" t="s">
        <v>685</v>
      </c>
      <c r="H81" s="1" t="s">
        <v>32</v>
      </c>
      <c r="I81" s="1" t="s">
        <v>851</v>
      </c>
      <c r="J81" s="1" t="s">
        <v>879</v>
      </c>
      <c r="K81" s="1">
        <v>52500</v>
      </c>
      <c r="L81" s="1">
        <v>12049.4115</v>
      </c>
      <c r="M81" s="1">
        <v>40450.588499999998</v>
      </c>
      <c r="N81" s="1">
        <v>0</v>
      </c>
      <c r="O81" s="1">
        <v>0</v>
      </c>
      <c r="P81" s="1">
        <v>5378.5561909999997</v>
      </c>
      <c r="Q81" s="1">
        <v>17427.967691000002</v>
      </c>
      <c r="R81" s="1">
        <v>35072.032309000002</v>
      </c>
      <c r="S81" s="1">
        <v>300</v>
      </c>
      <c r="T81" s="1">
        <v>0.66803800000000002</v>
      </c>
      <c r="U81" s="1" t="s">
        <v>622</v>
      </c>
    </row>
    <row r="82" spans="1:21" x14ac:dyDescent="0.25">
      <c r="A82" s="1">
        <v>2018</v>
      </c>
      <c r="B82" s="1">
        <v>5</v>
      </c>
      <c r="C82" s="1" t="s">
        <v>63</v>
      </c>
      <c r="D82" s="1" t="s">
        <v>22</v>
      </c>
      <c r="E82" s="1" t="s">
        <v>851</v>
      </c>
      <c r="F82" s="1" t="s">
        <v>928</v>
      </c>
      <c r="G82" s="1" t="s">
        <v>686</v>
      </c>
      <c r="H82" s="1" t="s">
        <v>34</v>
      </c>
      <c r="I82" s="1" t="s">
        <v>851</v>
      </c>
      <c r="J82" s="1" t="s">
        <v>929</v>
      </c>
      <c r="K82" s="1">
        <v>30240</v>
      </c>
      <c r="L82" s="1">
        <v>21281.999994000002</v>
      </c>
      <c r="M82" s="1">
        <v>8958.0000060000002</v>
      </c>
      <c r="N82" s="1">
        <v>0</v>
      </c>
      <c r="O82" s="1">
        <v>0</v>
      </c>
      <c r="P82" s="1">
        <v>5454.9955900000004</v>
      </c>
      <c r="Q82" s="1">
        <v>26736.995584</v>
      </c>
      <c r="R82" s="1">
        <v>3503.0044160000002</v>
      </c>
      <c r="S82" s="1">
        <v>18</v>
      </c>
      <c r="T82" s="1">
        <v>0.11584</v>
      </c>
      <c r="U82" s="1" t="s">
        <v>610</v>
      </c>
    </row>
    <row r="83" spans="1:21" x14ac:dyDescent="0.25">
      <c r="A83" s="1">
        <v>2018</v>
      </c>
      <c r="B83" s="1">
        <v>5</v>
      </c>
      <c r="C83" s="1" t="s">
        <v>63</v>
      </c>
      <c r="D83" s="1" t="s">
        <v>22</v>
      </c>
      <c r="E83" s="1" t="s">
        <v>851</v>
      </c>
      <c r="F83" s="1" t="s">
        <v>930</v>
      </c>
      <c r="G83" s="1" t="s">
        <v>687</v>
      </c>
      <c r="H83" s="1" t="s">
        <v>34</v>
      </c>
      <c r="I83" s="1" t="s">
        <v>851</v>
      </c>
      <c r="J83" s="1" t="s">
        <v>931</v>
      </c>
      <c r="K83" s="1">
        <v>30685</v>
      </c>
      <c r="L83" s="1">
        <v>20590.999997999999</v>
      </c>
      <c r="M83" s="1">
        <v>10094.000002000001</v>
      </c>
      <c r="N83" s="1">
        <v>0</v>
      </c>
      <c r="O83" s="1">
        <v>0</v>
      </c>
      <c r="P83" s="1">
        <v>0</v>
      </c>
      <c r="Q83" s="1">
        <v>20590.999997999999</v>
      </c>
      <c r="R83" s="1">
        <v>10094.000002000001</v>
      </c>
      <c r="S83" s="1">
        <v>17</v>
      </c>
      <c r="T83" s="1">
        <v>0.328955</v>
      </c>
      <c r="U83" s="1" t="s">
        <v>610</v>
      </c>
    </row>
    <row r="84" spans="1:21" x14ac:dyDescent="0.25">
      <c r="A84" s="1">
        <v>2018</v>
      </c>
      <c r="B84" s="1">
        <v>5</v>
      </c>
      <c r="C84" s="1" t="s">
        <v>63</v>
      </c>
      <c r="D84" s="1" t="s">
        <v>22</v>
      </c>
      <c r="E84" s="1" t="s">
        <v>851</v>
      </c>
      <c r="F84" s="1" t="s">
        <v>888</v>
      </c>
      <c r="G84" s="1" t="s">
        <v>688</v>
      </c>
      <c r="H84" s="1" t="s">
        <v>32</v>
      </c>
      <c r="I84" s="1" t="s">
        <v>851</v>
      </c>
      <c r="J84" s="1" t="s">
        <v>889</v>
      </c>
      <c r="K84" s="1">
        <v>15300</v>
      </c>
      <c r="L84" s="1">
        <v>11125.999980000001</v>
      </c>
      <c r="M84" s="1">
        <v>4174.0000200000004</v>
      </c>
      <c r="N84" s="1">
        <v>0</v>
      </c>
      <c r="O84" s="1">
        <v>0</v>
      </c>
      <c r="P84" s="1">
        <v>0</v>
      </c>
      <c r="Q84" s="1">
        <v>11125.999980000001</v>
      </c>
      <c r="R84" s="1">
        <v>4174.0000200000004</v>
      </c>
      <c r="S84" s="1">
        <v>36</v>
      </c>
      <c r="T84" s="1">
        <v>0.27281</v>
      </c>
      <c r="U84" s="1" t="s">
        <v>604</v>
      </c>
    </row>
    <row r="85" spans="1:21" x14ac:dyDescent="0.25">
      <c r="A85" s="1">
        <v>2018</v>
      </c>
      <c r="B85" s="1">
        <v>5</v>
      </c>
      <c r="C85" s="1" t="s">
        <v>63</v>
      </c>
      <c r="D85" s="1" t="s">
        <v>22</v>
      </c>
      <c r="E85" s="1" t="s">
        <v>851</v>
      </c>
      <c r="F85" s="1" t="s">
        <v>872</v>
      </c>
      <c r="G85" s="1" t="s">
        <v>689</v>
      </c>
      <c r="H85" s="1" t="s">
        <v>34</v>
      </c>
      <c r="I85" s="1" t="s">
        <v>851</v>
      </c>
      <c r="J85" s="1" t="s">
        <v>874</v>
      </c>
      <c r="K85" s="1">
        <v>74800</v>
      </c>
      <c r="L85" s="1">
        <v>35422.999993999998</v>
      </c>
      <c r="M85" s="1">
        <v>39377.000006000002</v>
      </c>
      <c r="N85" s="1">
        <v>0</v>
      </c>
      <c r="O85" s="1">
        <v>0</v>
      </c>
      <c r="P85" s="1">
        <v>0</v>
      </c>
      <c r="Q85" s="1">
        <v>35422.999993999998</v>
      </c>
      <c r="R85" s="1">
        <v>39377.000006000002</v>
      </c>
      <c r="S85" s="1">
        <v>34</v>
      </c>
      <c r="T85" s="1">
        <v>0.52642999999999995</v>
      </c>
      <c r="U85" s="1" t="s">
        <v>610</v>
      </c>
    </row>
    <row r="86" spans="1:21" x14ac:dyDescent="0.25">
      <c r="A86" s="1">
        <v>2018</v>
      </c>
      <c r="B86" s="1">
        <v>5</v>
      </c>
      <c r="C86" s="1" t="s">
        <v>63</v>
      </c>
      <c r="D86" s="1" t="s">
        <v>22</v>
      </c>
      <c r="E86" s="1" t="s">
        <v>851</v>
      </c>
      <c r="F86" s="1" t="s">
        <v>865</v>
      </c>
      <c r="G86" s="1" t="s">
        <v>690</v>
      </c>
      <c r="H86" s="1" t="s">
        <v>32</v>
      </c>
      <c r="I86" s="1" t="s">
        <v>851</v>
      </c>
      <c r="J86" s="1" t="s">
        <v>866</v>
      </c>
      <c r="K86" s="1">
        <v>30000</v>
      </c>
      <c r="L86" s="1">
        <v>21359.999930999998</v>
      </c>
      <c r="M86" s="1">
        <v>8640.0000689999997</v>
      </c>
      <c r="N86" s="1">
        <v>0</v>
      </c>
      <c r="O86" s="1">
        <v>0</v>
      </c>
      <c r="P86" s="1">
        <v>0</v>
      </c>
      <c r="Q86" s="1">
        <v>21359.999930999998</v>
      </c>
      <c r="R86" s="1">
        <v>8640.0000689999997</v>
      </c>
      <c r="S86" s="1">
        <v>207.8</v>
      </c>
      <c r="T86" s="1">
        <v>0.28799999999999998</v>
      </c>
      <c r="U86" s="1" t="s">
        <v>604</v>
      </c>
    </row>
    <row r="87" spans="1:21" x14ac:dyDescent="0.25">
      <c r="A87" s="1">
        <v>2018</v>
      </c>
      <c r="B87" s="1">
        <v>5</v>
      </c>
      <c r="C87" s="1" t="s">
        <v>63</v>
      </c>
      <c r="D87" s="1" t="s">
        <v>22</v>
      </c>
      <c r="E87" s="1" t="s">
        <v>851</v>
      </c>
      <c r="F87" s="1" t="s">
        <v>872</v>
      </c>
      <c r="G87" s="1" t="s">
        <v>691</v>
      </c>
      <c r="H87" s="1" t="s">
        <v>34</v>
      </c>
      <c r="I87" s="1" t="s">
        <v>851</v>
      </c>
      <c r="J87" s="1" t="s">
        <v>873</v>
      </c>
      <c r="K87" s="1">
        <v>68400</v>
      </c>
      <c r="L87" s="1">
        <v>27556.333326</v>
      </c>
      <c r="M87" s="1">
        <v>40843.666674</v>
      </c>
      <c r="N87" s="1">
        <v>0</v>
      </c>
      <c r="O87" s="1">
        <v>0</v>
      </c>
      <c r="P87" s="1">
        <v>0</v>
      </c>
      <c r="Q87" s="1">
        <v>27556.333326</v>
      </c>
      <c r="R87" s="1">
        <v>40843.666674</v>
      </c>
      <c r="S87" s="1">
        <v>18</v>
      </c>
      <c r="T87" s="1">
        <v>0.59712900000000002</v>
      </c>
      <c r="U87" s="1" t="s">
        <v>610</v>
      </c>
    </row>
    <row r="88" spans="1:21" x14ac:dyDescent="0.25">
      <c r="A88" s="1">
        <v>2018</v>
      </c>
      <c r="B88" s="1">
        <v>5</v>
      </c>
      <c r="C88" s="1" t="s">
        <v>63</v>
      </c>
      <c r="D88" s="1" t="s">
        <v>22</v>
      </c>
      <c r="E88" s="1" t="s">
        <v>851</v>
      </c>
      <c r="F88" s="1" t="s">
        <v>909</v>
      </c>
      <c r="G88" s="1" t="s">
        <v>692</v>
      </c>
      <c r="H88" s="1" t="s">
        <v>32</v>
      </c>
      <c r="I88" s="1" t="s">
        <v>851</v>
      </c>
      <c r="J88" s="1" t="s">
        <v>880</v>
      </c>
      <c r="K88" s="1">
        <v>66900</v>
      </c>
      <c r="L88" s="1">
        <v>26415.499800000001</v>
      </c>
      <c r="M88" s="1">
        <v>40484.500200000002</v>
      </c>
      <c r="N88" s="1">
        <v>0</v>
      </c>
      <c r="O88" s="1">
        <v>0</v>
      </c>
      <c r="P88" s="1">
        <v>0</v>
      </c>
      <c r="Q88" s="1">
        <v>26415.499800000001</v>
      </c>
      <c r="R88" s="1">
        <v>40484.500200000002</v>
      </c>
      <c r="S88" s="1">
        <v>300</v>
      </c>
      <c r="T88" s="1">
        <v>0.60514900000000005</v>
      </c>
      <c r="U88" s="1" t="s">
        <v>622</v>
      </c>
    </row>
    <row r="89" spans="1:21" x14ac:dyDescent="0.25">
      <c r="A89" s="1">
        <v>2018</v>
      </c>
      <c r="B89" s="1">
        <v>5</v>
      </c>
      <c r="C89" s="1" t="s">
        <v>63</v>
      </c>
      <c r="D89" s="1" t="s">
        <v>22</v>
      </c>
      <c r="E89" s="1" t="s">
        <v>851</v>
      </c>
      <c r="F89" s="1" t="s">
        <v>901</v>
      </c>
      <c r="G89" s="1" t="s">
        <v>693</v>
      </c>
      <c r="H89" s="1" t="s">
        <v>32</v>
      </c>
      <c r="I89" s="1" t="s">
        <v>851</v>
      </c>
      <c r="J89" s="1" t="s">
        <v>879</v>
      </c>
      <c r="K89" s="1">
        <v>9600</v>
      </c>
      <c r="L89" s="1">
        <v>2409.8823000000002</v>
      </c>
      <c r="M89" s="1">
        <v>7190.1176999999998</v>
      </c>
      <c r="N89" s="1">
        <v>0</v>
      </c>
      <c r="O89" s="1">
        <v>0</v>
      </c>
      <c r="P89" s="1">
        <v>0</v>
      </c>
      <c r="Q89" s="1">
        <v>2409.8823000000002</v>
      </c>
      <c r="R89" s="1">
        <v>7190.1176999999998</v>
      </c>
      <c r="S89" s="1">
        <v>60</v>
      </c>
      <c r="T89" s="1">
        <v>0.74897000000000002</v>
      </c>
      <c r="U89" s="1" t="s">
        <v>622</v>
      </c>
    </row>
    <row r="90" spans="1:21" x14ac:dyDescent="0.25">
      <c r="A90" s="1">
        <v>2018</v>
      </c>
      <c r="B90" s="1">
        <v>5</v>
      </c>
      <c r="C90" s="1" t="s">
        <v>63</v>
      </c>
      <c r="D90" s="1" t="s">
        <v>22</v>
      </c>
      <c r="E90" s="1" t="s">
        <v>851</v>
      </c>
      <c r="F90" s="1" t="s">
        <v>906</v>
      </c>
      <c r="G90" s="1" t="s">
        <v>694</v>
      </c>
      <c r="H90" s="1" t="s">
        <v>34</v>
      </c>
      <c r="I90" s="1" t="s">
        <v>851</v>
      </c>
      <c r="J90" s="1" t="s">
        <v>877</v>
      </c>
      <c r="K90" s="1">
        <v>34884</v>
      </c>
      <c r="L90" s="1">
        <v>21173.999970000001</v>
      </c>
      <c r="M90" s="1">
        <v>13710.000029999999</v>
      </c>
      <c r="N90" s="1">
        <v>0</v>
      </c>
      <c r="O90" s="1">
        <v>0</v>
      </c>
      <c r="P90" s="1">
        <v>0</v>
      </c>
      <c r="Q90" s="1">
        <v>21173.999970000001</v>
      </c>
      <c r="R90" s="1">
        <v>13710.000029999999</v>
      </c>
      <c r="S90" s="1">
        <v>34</v>
      </c>
      <c r="T90" s="1">
        <v>0.39301599999999998</v>
      </c>
      <c r="U90" s="1" t="s">
        <v>610</v>
      </c>
    </row>
    <row r="91" spans="1:21" x14ac:dyDescent="0.25">
      <c r="A91" s="1">
        <v>2018</v>
      </c>
      <c r="B91" s="1">
        <v>5</v>
      </c>
      <c r="C91" s="1" t="s">
        <v>63</v>
      </c>
      <c r="D91" s="1" t="s">
        <v>22</v>
      </c>
      <c r="E91" s="1" t="s">
        <v>851</v>
      </c>
      <c r="F91" s="1" t="s">
        <v>867</v>
      </c>
      <c r="G91" s="1" t="s">
        <v>695</v>
      </c>
      <c r="H91" s="1" t="s">
        <v>34</v>
      </c>
      <c r="I91" s="1" t="s">
        <v>851</v>
      </c>
      <c r="J91" s="1" t="s">
        <v>869</v>
      </c>
      <c r="K91" s="1">
        <v>54132</v>
      </c>
      <c r="L91" s="1">
        <v>38259</v>
      </c>
      <c r="M91" s="1">
        <v>15873</v>
      </c>
      <c r="N91" s="1">
        <v>0</v>
      </c>
      <c r="O91" s="1">
        <v>0</v>
      </c>
      <c r="P91" s="1">
        <v>0</v>
      </c>
      <c r="Q91" s="1">
        <v>38259</v>
      </c>
      <c r="R91" s="1">
        <v>15873</v>
      </c>
      <c r="S91" s="1">
        <v>52</v>
      </c>
      <c r="T91" s="1">
        <v>0.29322700000000002</v>
      </c>
      <c r="U91" s="1" t="s">
        <v>610</v>
      </c>
    </row>
    <row r="92" spans="1:21" x14ac:dyDescent="0.25">
      <c r="A92" s="1">
        <v>2018</v>
      </c>
      <c r="B92" s="1">
        <v>5</v>
      </c>
      <c r="C92" s="1" t="s">
        <v>63</v>
      </c>
      <c r="D92" s="1" t="s">
        <v>22</v>
      </c>
      <c r="E92" s="1" t="s">
        <v>851</v>
      </c>
      <c r="F92" s="1" t="s">
        <v>867</v>
      </c>
      <c r="G92" s="1" t="s">
        <v>696</v>
      </c>
      <c r="H92" s="1" t="s">
        <v>34</v>
      </c>
      <c r="I92" s="1" t="s">
        <v>851</v>
      </c>
      <c r="J92" s="1" t="s">
        <v>868</v>
      </c>
      <c r="K92" s="1">
        <v>20070</v>
      </c>
      <c r="L92" s="1">
        <v>14164.999995</v>
      </c>
      <c r="M92" s="1">
        <v>5905.0000049999999</v>
      </c>
      <c r="N92" s="1">
        <v>0</v>
      </c>
      <c r="O92" s="1">
        <v>0</v>
      </c>
      <c r="P92" s="1">
        <v>0</v>
      </c>
      <c r="Q92" s="1">
        <v>14164.999995</v>
      </c>
      <c r="R92" s="1">
        <v>5905.0000049999999</v>
      </c>
      <c r="S92" s="1">
        <v>15</v>
      </c>
      <c r="T92" s="1">
        <v>0.29421999999999998</v>
      </c>
      <c r="U92" s="1" t="s">
        <v>610</v>
      </c>
    </row>
    <row r="93" spans="1:21" x14ac:dyDescent="0.25">
      <c r="A93" s="1">
        <v>2018</v>
      </c>
      <c r="B93" s="1">
        <v>5</v>
      </c>
      <c r="C93" s="1" t="s">
        <v>63</v>
      </c>
      <c r="D93" s="1" t="s">
        <v>22</v>
      </c>
      <c r="E93" s="1" t="s">
        <v>851</v>
      </c>
      <c r="F93" s="1" t="s">
        <v>867</v>
      </c>
      <c r="G93" s="1" t="s">
        <v>697</v>
      </c>
      <c r="H93" s="1" t="s">
        <v>34</v>
      </c>
      <c r="I93" s="1" t="s">
        <v>851</v>
      </c>
      <c r="J93" s="1" t="s">
        <v>932</v>
      </c>
      <c r="K93" s="1">
        <v>16956</v>
      </c>
      <c r="L93" s="1">
        <v>12634.799994000001</v>
      </c>
      <c r="M93" s="1">
        <v>4321.200006</v>
      </c>
      <c r="N93" s="1">
        <v>0</v>
      </c>
      <c r="O93" s="1">
        <v>0</v>
      </c>
      <c r="P93" s="1">
        <v>0</v>
      </c>
      <c r="Q93" s="1">
        <v>12634.799994000001</v>
      </c>
      <c r="R93" s="1">
        <v>4321.200006</v>
      </c>
      <c r="S93" s="1">
        <v>18</v>
      </c>
      <c r="T93" s="1">
        <v>0.25484699999999999</v>
      </c>
      <c r="U93" s="1" t="s">
        <v>610</v>
      </c>
    </row>
    <row r="94" spans="1:21" x14ac:dyDescent="0.25">
      <c r="A94" s="1">
        <v>2018</v>
      </c>
      <c r="B94" s="1">
        <v>5</v>
      </c>
      <c r="C94" s="1" t="s">
        <v>63</v>
      </c>
      <c r="D94" s="1" t="s">
        <v>22</v>
      </c>
      <c r="E94" s="1" t="s">
        <v>851</v>
      </c>
      <c r="F94" s="1" t="s">
        <v>933</v>
      </c>
      <c r="G94" s="1" t="s">
        <v>698</v>
      </c>
      <c r="H94" s="1" t="s">
        <v>34</v>
      </c>
      <c r="I94" s="1" t="s">
        <v>851</v>
      </c>
      <c r="J94" s="1" t="s">
        <v>934</v>
      </c>
      <c r="K94" s="1">
        <v>104330</v>
      </c>
      <c r="L94" s="1">
        <v>60449</v>
      </c>
      <c r="M94" s="1">
        <v>43881</v>
      </c>
      <c r="N94" s="1">
        <v>0</v>
      </c>
      <c r="O94" s="1">
        <v>0</v>
      </c>
      <c r="P94" s="1">
        <v>4568.7366419999998</v>
      </c>
      <c r="Q94" s="1">
        <v>65017.736642000003</v>
      </c>
      <c r="R94" s="1">
        <v>39312.263357999997</v>
      </c>
      <c r="S94" s="1">
        <v>5</v>
      </c>
      <c r="T94" s="1">
        <v>0.37680599999999997</v>
      </c>
      <c r="U94" s="1" t="s">
        <v>610</v>
      </c>
    </row>
    <row r="95" spans="1:21" x14ac:dyDescent="0.25">
      <c r="A95" s="1">
        <v>2018</v>
      </c>
      <c r="B95" s="1">
        <v>5</v>
      </c>
      <c r="C95" s="1" t="s">
        <v>63</v>
      </c>
      <c r="D95" s="1" t="s">
        <v>22</v>
      </c>
      <c r="E95" s="1" t="s">
        <v>851</v>
      </c>
      <c r="F95" s="1" t="s">
        <v>867</v>
      </c>
      <c r="G95" s="1" t="s">
        <v>699</v>
      </c>
      <c r="H95" s="1" t="s">
        <v>34</v>
      </c>
      <c r="I95" s="1" t="s">
        <v>851</v>
      </c>
      <c r="J95" s="1" t="s">
        <v>932</v>
      </c>
      <c r="K95" s="1">
        <v>67824</v>
      </c>
      <c r="L95" s="1">
        <v>50539.199976000004</v>
      </c>
      <c r="M95" s="1">
        <v>17284.800024</v>
      </c>
      <c r="N95" s="1">
        <v>0</v>
      </c>
      <c r="O95" s="1">
        <v>0</v>
      </c>
      <c r="P95" s="1">
        <v>0</v>
      </c>
      <c r="Q95" s="1">
        <v>50539.199976000004</v>
      </c>
      <c r="R95" s="1">
        <v>17284.800024</v>
      </c>
      <c r="S95" s="1">
        <v>72</v>
      </c>
      <c r="T95" s="1">
        <v>0.25484699999999999</v>
      </c>
      <c r="U95" s="1" t="s">
        <v>610</v>
      </c>
    </row>
    <row r="96" spans="1:21" x14ac:dyDescent="0.25">
      <c r="A96" s="1">
        <v>2018</v>
      </c>
      <c r="B96" s="1">
        <v>5</v>
      </c>
      <c r="C96" s="1" t="s">
        <v>63</v>
      </c>
      <c r="D96" s="1" t="s">
        <v>22</v>
      </c>
      <c r="E96" s="1" t="s">
        <v>851</v>
      </c>
      <c r="F96" s="1" t="s">
        <v>858</v>
      </c>
      <c r="G96" s="1" t="s">
        <v>700</v>
      </c>
      <c r="H96" s="1" t="s">
        <v>32</v>
      </c>
      <c r="I96" s="1" t="s">
        <v>851</v>
      </c>
      <c r="J96" s="1" t="s">
        <v>860</v>
      </c>
      <c r="K96" s="1">
        <v>6400</v>
      </c>
      <c r="L96" s="1">
        <v>3997</v>
      </c>
      <c r="M96" s="1">
        <v>2403</v>
      </c>
      <c r="N96" s="1">
        <v>0</v>
      </c>
      <c r="O96" s="1">
        <v>0</v>
      </c>
      <c r="P96" s="1">
        <v>0</v>
      </c>
      <c r="Q96" s="1">
        <v>3997</v>
      </c>
      <c r="R96" s="1">
        <v>2403</v>
      </c>
      <c r="S96" s="1">
        <v>20</v>
      </c>
      <c r="T96" s="1">
        <v>0.37546800000000002</v>
      </c>
      <c r="U96" s="1" t="s">
        <v>604</v>
      </c>
    </row>
    <row r="97" spans="1:21" x14ac:dyDescent="0.25">
      <c r="A97" s="1">
        <v>2018</v>
      </c>
      <c r="B97" s="1">
        <v>5</v>
      </c>
      <c r="C97" s="1" t="s">
        <v>63</v>
      </c>
      <c r="D97" s="1" t="s">
        <v>22</v>
      </c>
      <c r="E97" s="1" t="s">
        <v>851</v>
      </c>
      <c r="F97" s="1" t="s">
        <v>870</v>
      </c>
      <c r="G97" s="1" t="s">
        <v>701</v>
      </c>
      <c r="H97" s="1" t="s">
        <v>32</v>
      </c>
      <c r="I97" s="1" t="s">
        <v>851</v>
      </c>
      <c r="J97" s="1" t="s">
        <v>923</v>
      </c>
      <c r="K97" s="1">
        <v>4000</v>
      </c>
      <c r="L97" s="1">
        <v>3924.9285599999998</v>
      </c>
      <c r="M97" s="1">
        <v>75.071439999999996</v>
      </c>
      <c r="N97" s="1">
        <v>0</v>
      </c>
      <c r="O97" s="1">
        <v>0</v>
      </c>
      <c r="P97" s="1">
        <v>0</v>
      </c>
      <c r="Q97" s="1">
        <v>3924.9285599999998</v>
      </c>
      <c r="R97" s="1">
        <v>75.071439999999996</v>
      </c>
      <c r="S97" s="1">
        <v>20</v>
      </c>
      <c r="T97" s="1">
        <v>1.8766999999999999E-2</v>
      </c>
      <c r="U97" s="1" t="s">
        <v>604</v>
      </c>
    </row>
    <row r="98" spans="1:21" x14ac:dyDescent="0.25">
      <c r="A98" s="1">
        <v>2018</v>
      </c>
      <c r="B98" s="1">
        <v>5</v>
      </c>
      <c r="C98" s="1" t="s">
        <v>63</v>
      </c>
      <c r="D98" s="1" t="s">
        <v>22</v>
      </c>
      <c r="E98" s="1" t="s">
        <v>851</v>
      </c>
      <c r="F98" s="1" t="s">
        <v>870</v>
      </c>
      <c r="G98" s="1" t="s">
        <v>702</v>
      </c>
      <c r="H98" s="1" t="s">
        <v>32</v>
      </c>
      <c r="I98" s="1" t="s">
        <v>851</v>
      </c>
      <c r="J98" s="1" t="s">
        <v>922</v>
      </c>
      <c r="K98" s="1">
        <v>3600</v>
      </c>
      <c r="L98" s="1">
        <v>4001</v>
      </c>
      <c r="M98" s="1">
        <v>-401</v>
      </c>
      <c r="N98" s="1">
        <v>0</v>
      </c>
      <c r="O98" s="1">
        <v>0</v>
      </c>
      <c r="P98" s="1">
        <v>0</v>
      </c>
      <c r="Q98" s="1">
        <v>4001</v>
      </c>
      <c r="R98" s="1">
        <v>-401</v>
      </c>
      <c r="S98" s="1">
        <v>20</v>
      </c>
      <c r="T98" s="1">
        <v>-0.111388</v>
      </c>
      <c r="U98" s="1" t="s">
        <v>604</v>
      </c>
    </row>
    <row r="99" spans="1:21" x14ac:dyDescent="0.25">
      <c r="A99" s="1">
        <v>2018</v>
      </c>
      <c r="B99" s="1">
        <v>5</v>
      </c>
      <c r="C99" s="1" t="s">
        <v>63</v>
      </c>
      <c r="D99" s="1" t="s">
        <v>22</v>
      </c>
      <c r="E99" s="1" t="s">
        <v>851</v>
      </c>
      <c r="F99" s="1" t="s">
        <v>878</v>
      </c>
      <c r="G99" s="1" t="s">
        <v>703</v>
      </c>
      <c r="H99" s="1" t="s">
        <v>32</v>
      </c>
      <c r="I99" s="1" t="s">
        <v>851</v>
      </c>
      <c r="J99" s="1" t="s">
        <v>879</v>
      </c>
      <c r="K99" s="1">
        <v>26250</v>
      </c>
      <c r="L99" s="1">
        <v>6024.7057500000001</v>
      </c>
      <c r="M99" s="1">
        <v>20225.294249999999</v>
      </c>
      <c r="N99" s="1">
        <v>0</v>
      </c>
      <c r="O99" s="1">
        <v>0</v>
      </c>
      <c r="P99" s="1">
        <v>2689.2780950000001</v>
      </c>
      <c r="Q99" s="1">
        <v>8713.9838450000007</v>
      </c>
      <c r="R99" s="1">
        <v>17536.016155000001</v>
      </c>
      <c r="S99" s="1">
        <v>150</v>
      </c>
      <c r="T99" s="1">
        <v>0.66803800000000002</v>
      </c>
      <c r="U99" s="1" t="s">
        <v>622</v>
      </c>
    </row>
    <row r="100" spans="1:21" x14ac:dyDescent="0.25">
      <c r="A100" s="1">
        <v>2018</v>
      </c>
      <c r="B100" s="1">
        <v>5</v>
      </c>
      <c r="C100" s="1" t="s">
        <v>63</v>
      </c>
      <c r="D100" s="1" t="s">
        <v>22</v>
      </c>
      <c r="E100" s="1" t="s">
        <v>851</v>
      </c>
      <c r="F100" s="1" t="s">
        <v>878</v>
      </c>
      <c r="G100" s="1" t="s">
        <v>704</v>
      </c>
      <c r="H100" s="1" t="s">
        <v>32</v>
      </c>
      <c r="I100" s="1" t="s">
        <v>851</v>
      </c>
      <c r="J100" s="1" t="s">
        <v>880</v>
      </c>
      <c r="K100" s="1">
        <v>43500</v>
      </c>
      <c r="L100" s="1">
        <v>26415.499800000001</v>
      </c>
      <c r="M100" s="1">
        <v>17084.500199999999</v>
      </c>
      <c r="N100" s="1">
        <v>0</v>
      </c>
      <c r="O100" s="1">
        <v>0</v>
      </c>
      <c r="P100" s="1">
        <v>4456.5179870000002</v>
      </c>
      <c r="Q100" s="1">
        <v>30872.017787000001</v>
      </c>
      <c r="R100" s="1">
        <v>12627.982212999999</v>
      </c>
      <c r="S100" s="1">
        <v>300</v>
      </c>
      <c r="T100" s="1">
        <v>0.290298</v>
      </c>
      <c r="U100" s="1" t="s">
        <v>622</v>
      </c>
    </row>
    <row r="101" spans="1:21" x14ac:dyDescent="0.25">
      <c r="A101" s="1">
        <v>2018</v>
      </c>
      <c r="B101" s="1">
        <v>5</v>
      </c>
      <c r="C101" s="1" t="s">
        <v>63</v>
      </c>
      <c r="D101" s="1" t="s">
        <v>22</v>
      </c>
      <c r="E101" s="1" t="s">
        <v>851</v>
      </c>
      <c r="F101" s="1" t="s">
        <v>933</v>
      </c>
      <c r="G101" s="1" t="s">
        <v>705</v>
      </c>
      <c r="H101" s="1" t="s">
        <v>34</v>
      </c>
      <c r="I101" s="1" t="s">
        <v>851</v>
      </c>
      <c r="J101" s="1" t="s">
        <v>935</v>
      </c>
      <c r="K101" s="1">
        <v>27000</v>
      </c>
      <c r="L101" s="1">
        <v>17768.999988</v>
      </c>
      <c r="M101" s="1">
        <v>9231.0000120000004</v>
      </c>
      <c r="N101" s="1">
        <v>0</v>
      </c>
      <c r="O101" s="1">
        <v>0</v>
      </c>
      <c r="P101" s="1">
        <v>1182.3625930000001</v>
      </c>
      <c r="Q101" s="1">
        <v>18951.362581000001</v>
      </c>
      <c r="R101" s="1">
        <v>8048.6374189999997</v>
      </c>
      <c r="S101" s="1">
        <v>18</v>
      </c>
      <c r="T101" s="1">
        <v>0.298097</v>
      </c>
      <c r="U101" s="1" t="s">
        <v>610</v>
      </c>
    </row>
    <row r="102" spans="1:21" x14ac:dyDescent="0.25">
      <c r="A102" s="1">
        <v>2018</v>
      </c>
      <c r="B102" s="1">
        <v>5</v>
      </c>
      <c r="C102" s="1" t="s">
        <v>63</v>
      </c>
      <c r="D102" s="1" t="s">
        <v>22</v>
      </c>
      <c r="E102" s="1" t="s">
        <v>851</v>
      </c>
      <c r="F102" s="1" t="s">
        <v>892</v>
      </c>
      <c r="G102" s="1" t="s">
        <v>706</v>
      </c>
      <c r="H102" s="1" t="s">
        <v>34</v>
      </c>
      <c r="I102" s="1" t="s">
        <v>851</v>
      </c>
      <c r="J102" s="1" t="s">
        <v>893</v>
      </c>
      <c r="K102" s="1">
        <v>14400</v>
      </c>
      <c r="L102" s="1">
        <v>7263</v>
      </c>
      <c r="M102" s="1">
        <v>7137</v>
      </c>
      <c r="N102" s="1">
        <v>0</v>
      </c>
      <c r="O102" s="1">
        <v>0</v>
      </c>
      <c r="P102" s="1">
        <v>0</v>
      </c>
      <c r="Q102" s="1">
        <v>7263</v>
      </c>
      <c r="R102" s="1">
        <v>7137</v>
      </c>
      <c r="S102" s="1">
        <v>16</v>
      </c>
      <c r="T102" s="1">
        <v>0.49562499999999998</v>
      </c>
      <c r="U102" s="1" t="s">
        <v>610</v>
      </c>
    </row>
    <row r="103" spans="1:21" x14ac:dyDescent="0.25">
      <c r="A103" s="1">
        <v>2018</v>
      </c>
      <c r="B103" s="1">
        <v>5</v>
      </c>
      <c r="C103" s="1" t="s">
        <v>63</v>
      </c>
      <c r="D103" s="1" t="s">
        <v>22</v>
      </c>
      <c r="E103" s="1" t="s">
        <v>851</v>
      </c>
      <c r="F103" s="1" t="s">
        <v>875</v>
      </c>
      <c r="G103" s="1" t="s">
        <v>707</v>
      </c>
      <c r="H103" s="1" t="s">
        <v>34</v>
      </c>
      <c r="I103" s="1" t="s">
        <v>851</v>
      </c>
      <c r="J103" s="1" t="s">
        <v>873</v>
      </c>
      <c r="K103" s="1">
        <v>118800</v>
      </c>
      <c r="L103" s="1">
        <v>55112.666652</v>
      </c>
      <c r="M103" s="1">
        <v>63687.333348</v>
      </c>
      <c r="N103" s="1">
        <v>0</v>
      </c>
      <c r="O103" s="1">
        <v>0</v>
      </c>
      <c r="P103" s="1">
        <v>0</v>
      </c>
      <c r="Q103" s="1">
        <v>55112.666652</v>
      </c>
      <c r="R103" s="1">
        <v>63687.333348</v>
      </c>
      <c r="S103" s="1">
        <v>36</v>
      </c>
      <c r="T103" s="1">
        <v>0.53608800000000001</v>
      </c>
      <c r="U103" s="1" t="s">
        <v>610</v>
      </c>
    </row>
    <row r="104" spans="1:21" x14ac:dyDescent="0.25">
      <c r="A104" s="1">
        <v>2018</v>
      </c>
      <c r="B104" s="1">
        <v>5</v>
      </c>
      <c r="C104" s="1" t="s">
        <v>63</v>
      </c>
      <c r="D104" s="1" t="s">
        <v>22</v>
      </c>
      <c r="E104" s="1" t="s">
        <v>851</v>
      </c>
      <c r="F104" s="1" t="s">
        <v>872</v>
      </c>
      <c r="G104" s="1" t="s">
        <v>708</v>
      </c>
      <c r="H104" s="1" t="s">
        <v>34</v>
      </c>
      <c r="I104" s="1" t="s">
        <v>851</v>
      </c>
      <c r="J104" s="1" t="s">
        <v>902</v>
      </c>
      <c r="K104" s="1">
        <v>127500</v>
      </c>
      <c r="L104" s="1">
        <v>70607.999987999996</v>
      </c>
      <c r="M104" s="1">
        <v>56892.000011999997</v>
      </c>
      <c r="N104" s="1">
        <v>0</v>
      </c>
      <c r="O104" s="1">
        <v>0</v>
      </c>
      <c r="P104" s="1">
        <v>0</v>
      </c>
      <c r="Q104" s="1">
        <v>70607.999987999996</v>
      </c>
      <c r="R104" s="1">
        <v>56892.000011999997</v>
      </c>
      <c r="S104" s="1">
        <v>51</v>
      </c>
      <c r="T104" s="1">
        <v>0.44621100000000002</v>
      </c>
      <c r="U104" s="1" t="s">
        <v>610</v>
      </c>
    </row>
    <row r="105" spans="1:21" x14ac:dyDescent="0.25">
      <c r="A105" s="1">
        <v>2018</v>
      </c>
      <c r="B105" s="1">
        <v>5</v>
      </c>
      <c r="C105" s="1" t="s">
        <v>63</v>
      </c>
      <c r="D105" s="1" t="s">
        <v>22</v>
      </c>
      <c r="E105" s="1" t="s">
        <v>851</v>
      </c>
      <c r="F105" s="1" t="s">
        <v>872</v>
      </c>
      <c r="G105" s="1" t="s">
        <v>709</v>
      </c>
      <c r="H105" s="1" t="s">
        <v>34</v>
      </c>
      <c r="I105" s="1" t="s">
        <v>851</v>
      </c>
      <c r="J105" s="1" t="s">
        <v>910</v>
      </c>
      <c r="K105" s="1">
        <v>245650</v>
      </c>
      <c r="L105" s="1">
        <v>110996.99993000001</v>
      </c>
      <c r="M105" s="1">
        <v>134653.00007000001</v>
      </c>
      <c r="N105" s="1">
        <v>0</v>
      </c>
      <c r="O105" s="1">
        <v>0</v>
      </c>
      <c r="P105" s="1">
        <v>0</v>
      </c>
      <c r="Q105" s="1">
        <v>110996.99993000001</v>
      </c>
      <c r="R105" s="1">
        <v>134653.00007000001</v>
      </c>
      <c r="S105" s="1">
        <v>85</v>
      </c>
      <c r="T105" s="1">
        <v>0.548149</v>
      </c>
      <c r="U105" s="1" t="s">
        <v>610</v>
      </c>
    </row>
  </sheetData>
  <autoFilter ref="A1:U105" xr:uid="{00000000-0009-0000-0000-000011000000}"/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J42"/>
  <sheetViews>
    <sheetView zoomScale="85" zoomScaleNormal="85" workbookViewId="0">
      <selection activeCell="J6" sqref="J6"/>
    </sheetView>
  </sheetViews>
  <sheetFormatPr defaultRowHeight="12.75" x14ac:dyDescent="0.2"/>
  <cols>
    <col min="1" max="1" width="29.28515625" customWidth="1"/>
    <col min="2" max="3" width="15.140625" customWidth="1"/>
    <col min="4" max="4" width="13" customWidth="1"/>
    <col min="5" max="5" width="15.140625" bestFit="1" customWidth="1"/>
    <col min="6" max="6" width="15.140625" customWidth="1"/>
    <col min="7" max="7" width="14.140625" bestFit="1" customWidth="1"/>
    <col min="8" max="9" width="11.140625" bestFit="1" customWidth="1"/>
    <col min="10" max="10" width="13" customWidth="1"/>
  </cols>
  <sheetData>
    <row r="1" spans="1:10" x14ac:dyDescent="0.2">
      <c r="A1" s="75" t="s">
        <v>1</v>
      </c>
      <c r="B1" s="81" t="s">
        <v>993</v>
      </c>
    </row>
    <row r="3" spans="1:10" s="39" customFormat="1" ht="26.25" x14ac:dyDescent="0.25">
      <c r="A3" s="77" t="s">
        <v>991</v>
      </c>
      <c r="B3" s="78" t="s">
        <v>981</v>
      </c>
      <c r="C3" s="79" t="s">
        <v>982</v>
      </c>
      <c r="D3" s="79" t="s">
        <v>983</v>
      </c>
      <c r="E3" s="79" t="s">
        <v>984</v>
      </c>
      <c r="F3" s="79" t="s">
        <v>985</v>
      </c>
      <c r="G3" s="80" t="s">
        <v>986</v>
      </c>
      <c r="H3"/>
      <c r="I3"/>
      <c r="J3" s="43" t="s">
        <v>987</v>
      </c>
    </row>
    <row r="4" spans="1:10" x14ac:dyDescent="0.2">
      <c r="A4" s="52" t="s">
        <v>878</v>
      </c>
      <c r="B4" s="66">
        <v>301250</v>
      </c>
      <c r="C4" s="67">
        <v>125214.90911000001</v>
      </c>
      <c r="D4" s="67">
        <v>176035.09089000002</v>
      </c>
      <c r="E4" s="67">
        <v>50156.130051</v>
      </c>
      <c r="F4" s="67">
        <v>175371.03916099999</v>
      </c>
      <c r="G4" s="82">
        <v>125878.96083900001</v>
      </c>
      <c r="J4" s="42">
        <f>GETPIVOTDATA("加總 - 淨利",$A$3,"顧客","華震科技:華震科技")/GETPIVOTDATA("加總 - 銷貨收入",$A$3,"顧客","華震科技:華震科技")</f>
        <v>0.4178554716647303</v>
      </c>
    </row>
    <row r="5" spans="1:10" x14ac:dyDescent="0.2">
      <c r="A5" s="69" t="s">
        <v>900</v>
      </c>
      <c r="B5" s="70">
        <v>8000</v>
      </c>
      <c r="C5" s="34">
        <v>1658.7317</v>
      </c>
      <c r="D5" s="34">
        <v>6341.2682999999997</v>
      </c>
      <c r="E5" s="34">
        <v>38156.136869000002</v>
      </c>
      <c r="F5" s="34">
        <v>39814.868568999998</v>
      </c>
      <c r="G5" s="83">
        <v>-31814.868568999998</v>
      </c>
      <c r="J5" s="42">
        <f>GETPIVOTDATA("加總 - 淨利",$A$3,"顧客","CRM20308:九怡工業")/GETPIVOTDATA("加總 - 銷貨收入",$A$3,"顧客","CRM20308:九怡工業")</f>
        <v>-3.9768585711249997</v>
      </c>
    </row>
    <row r="6" spans="1:10" x14ac:dyDescent="0.2">
      <c r="A6" s="69" t="s">
        <v>875</v>
      </c>
      <c r="B6" s="70">
        <v>1099725</v>
      </c>
      <c r="C6" s="34">
        <v>569370.22963900003</v>
      </c>
      <c r="D6" s="34">
        <v>530354.77036099997</v>
      </c>
      <c r="E6" s="34">
        <v>14084.124061999999</v>
      </c>
      <c r="F6" s="34">
        <v>583454.3537010001</v>
      </c>
      <c r="G6" s="83">
        <v>516270.64629900001</v>
      </c>
      <c r="J6" s="42">
        <f t="shared" ref="J6:J42" si="0">GETPIVOTDATA("加總 - 淨利",$A$3,"顧客","華震科技:華震科技")/B6</f>
        <v>0.11446403495328378</v>
      </c>
    </row>
    <row r="7" spans="1:10" x14ac:dyDescent="0.2">
      <c r="A7" s="69" t="s">
        <v>872</v>
      </c>
      <c r="B7" s="70">
        <v>1266000</v>
      </c>
      <c r="C7" s="34">
        <v>587154.66638200008</v>
      </c>
      <c r="D7" s="34">
        <v>678845.33361799992</v>
      </c>
      <c r="E7" s="34">
        <v>13360.919506</v>
      </c>
      <c r="F7" s="34">
        <v>600515.58588800009</v>
      </c>
      <c r="G7" s="83">
        <v>665484.41411200003</v>
      </c>
      <c r="J7" s="42">
        <f t="shared" si="0"/>
        <v>9.9430458798578203E-2</v>
      </c>
    </row>
    <row r="8" spans="1:10" x14ac:dyDescent="0.2">
      <c r="A8" s="69" t="s">
        <v>917</v>
      </c>
      <c r="B8" s="70">
        <v>247320</v>
      </c>
      <c r="C8" s="34">
        <v>220944.999996</v>
      </c>
      <c r="D8" s="34">
        <v>26375.000004000001</v>
      </c>
      <c r="E8" s="34">
        <v>9000.1454549999999</v>
      </c>
      <c r="F8" s="34">
        <v>229945.14545099999</v>
      </c>
      <c r="G8" s="83">
        <v>17374.854549</v>
      </c>
      <c r="J8" s="42">
        <f t="shared" si="0"/>
        <v>0.5089720234473557</v>
      </c>
    </row>
    <row r="9" spans="1:10" x14ac:dyDescent="0.2">
      <c r="A9" s="69" t="s">
        <v>897</v>
      </c>
      <c r="B9" s="70">
        <v>20480</v>
      </c>
      <c r="C9" s="34">
        <v>2222</v>
      </c>
      <c r="D9" s="34">
        <v>18258</v>
      </c>
      <c r="E9" s="34">
        <v>8910.1169659999996</v>
      </c>
      <c r="F9" s="34">
        <v>11132.116966</v>
      </c>
      <c r="G9" s="83">
        <v>9347.8830340000004</v>
      </c>
      <c r="J9" s="42">
        <f t="shared" si="0"/>
        <v>6.1464336347167974</v>
      </c>
    </row>
    <row r="10" spans="1:10" x14ac:dyDescent="0.2">
      <c r="A10" s="69" t="s">
        <v>901</v>
      </c>
      <c r="B10" s="70">
        <v>19200</v>
      </c>
      <c r="C10" s="34">
        <v>4741.8822600000003</v>
      </c>
      <c r="D10" s="34">
        <v>14458.11774</v>
      </c>
      <c r="E10" s="34">
        <v>7602.7282409999998</v>
      </c>
      <c r="F10" s="34">
        <v>12344.610500999999</v>
      </c>
      <c r="G10" s="83">
        <v>6855.3894989999999</v>
      </c>
      <c r="J10" s="42">
        <f t="shared" si="0"/>
        <v>6.5561958770312501</v>
      </c>
    </row>
    <row r="11" spans="1:10" x14ac:dyDescent="0.2">
      <c r="A11" s="69" t="s">
        <v>933</v>
      </c>
      <c r="B11" s="70">
        <v>131330</v>
      </c>
      <c r="C11" s="34">
        <v>78217.999987999996</v>
      </c>
      <c r="D11" s="34">
        <v>53112.000012000004</v>
      </c>
      <c r="E11" s="34">
        <v>5751.0992349999997</v>
      </c>
      <c r="F11" s="34">
        <v>83969.099222999997</v>
      </c>
      <c r="G11" s="83">
        <v>47360.900776999995</v>
      </c>
      <c r="J11" s="42">
        <f t="shared" si="0"/>
        <v>0.95849357221503084</v>
      </c>
    </row>
    <row r="12" spans="1:10" x14ac:dyDescent="0.2">
      <c r="A12" s="69" t="s">
        <v>890</v>
      </c>
      <c r="B12" s="70">
        <v>24600</v>
      </c>
      <c r="C12" s="34">
        <v>9741</v>
      </c>
      <c r="D12" s="34">
        <v>14859</v>
      </c>
      <c r="E12" s="34">
        <v>5643.6811900000002</v>
      </c>
      <c r="F12" s="34">
        <v>15384.681189999999</v>
      </c>
      <c r="G12" s="83">
        <v>9215.3188100000007</v>
      </c>
      <c r="J12" s="42">
        <f t="shared" si="0"/>
        <v>5.1170309284146347</v>
      </c>
    </row>
    <row r="13" spans="1:10" x14ac:dyDescent="0.2">
      <c r="A13" s="69" t="s">
        <v>928</v>
      </c>
      <c r="B13" s="70">
        <v>30240</v>
      </c>
      <c r="C13" s="34">
        <v>21281.999994000002</v>
      </c>
      <c r="D13" s="34">
        <v>8958.0000060000002</v>
      </c>
      <c r="E13" s="34">
        <v>5454.9955900000004</v>
      </c>
      <c r="F13" s="34">
        <v>26736.995584</v>
      </c>
      <c r="G13" s="83">
        <v>3503.0044160000002</v>
      </c>
      <c r="J13" s="42">
        <f t="shared" si="0"/>
        <v>4.1626640489087308</v>
      </c>
    </row>
    <row r="14" spans="1:10" x14ac:dyDescent="0.2">
      <c r="A14" s="69" t="s">
        <v>909</v>
      </c>
      <c r="B14" s="70">
        <v>133800</v>
      </c>
      <c r="C14" s="34">
        <v>51296.475300000006</v>
      </c>
      <c r="D14" s="34">
        <v>82503.524700000009</v>
      </c>
      <c r="E14" s="34">
        <v>5384.0751810000002</v>
      </c>
      <c r="F14" s="34">
        <v>56680.550480999998</v>
      </c>
      <c r="G14" s="83">
        <v>77119.449519000002</v>
      </c>
      <c r="J14" s="42">
        <f t="shared" si="0"/>
        <v>0.94079940836322873</v>
      </c>
    </row>
    <row r="15" spans="1:10" x14ac:dyDescent="0.2">
      <c r="A15" s="69" t="s">
        <v>927</v>
      </c>
      <c r="B15" s="70">
        <v>9600</v>
      </c>
      <c r="C15" s="34">
        <v>7523.1785600000003</v>
      </c>
      <c r="D15" s="34">
        <v>2076.8214399999997</v>
      </c>
      <c r="E15" s="34">
        <v>4768.9803190000002</v>
      </c>
      <c r="F15" s="34">
        <v>12292.158879000001</v>
      </c>
      <c r="G15" s="83">
        <v>-2692.1588790000001</v>
      </c>
      <c r="J15" s="42">
        <f t="shared" si="0"/>
        <v>13.1123917540625</v>
      </c>
    </row>
    <row r="16" spans="1:10" x14ac:dyDescent="0.2">
      <c r="A16" s="69" t="s">
        <v>852</v>
      </c>
      <c r="B16" s="70">
        <v>45900</v>
      </c>
      <c r="C16" s="34">
        <v>21845.999916000001</v>
      </c>
      <c r="D16" s="34">
        <v>24054.000083999999</v>
      </c>
      <c r="E16" s="34">
        <v>4698.0409090000003</v>
      </c>
      <c r="F16" s="34">
        <v>26544.040825</v>
      </c>
      <c r="G16" s="83">
        <v>19355.959175</v>
      </c>
      <c r="J16" s="42">
        <f t="shared" si="0"/>
        <v>2.7424610204575166</v>
      </c>
    </row>
    <row r="17" spans="1:10" x14ac:dyDescent="0.2">
      <c r="A17" s="69" t="s">
        <v>906</v>
      </c>
      <c r="B17" s="70">
        <v>52326</v>
      </c>
      <c r="C17" s="34">
        <v>31068.103415000001</v>
      </c>
      <c r="D17" s="34">
        <v>21257.896584999999</v>
      </c>
      <c r="E17" s="34">
        <v>3577.6409090000002</v>
      </c>
      <c r="F17" s="34">
        <v>34645.744323999999</v>
      </c>
      <c r="G17" s="83">
        <v>17680.255676000001</v>
      </c>
      <c r="J17" s="42">
        <f t="shared" si="0"/>
        <v>2.4056675618048389</v>
      </c>
    </row>
    <row r="18" spans="1:10" x14ac:dyDescent="0.2">
      <c r="A18" s="69" t="s">
        <v>892</v>
      </c>
      <c r="B18" s="70">
        <v>81450</v>
      </c>
      <c r="C18" s="34">
        <v>38810.999974999999</v>
      </c>
      <c r="D18" s="34">
        <v>42639.000025000001</v>
      </c>
      <c r="E18" s="34">
        <v>3055.636364</v>
      </c>
      <c r="F18" s="34">
        <v>41866.636338999997</v>
      </c>
      <c r="G18" s="83">
        <v>39583.363661000003</v>
      </c>
      <c r="J18" s="42">
        <f t="shared" si="0"/>
        <v>1.5454752711970534</v>
      </c>
    </row>
    <row r="19" spans="1:10" x14ac:dyDescent="0.2">
      <c r="A19" s="69" t="s">
        <v>881</v>
      </c>
      <c r="B19" s="70">
        <v>315900</v>
      </c>
      <c r="C19" s="34">
        <v>174960.99996399999</v>
      </c>
      <c r="D19" s="34">
        <v>140939.00003599998</v>
      </c>
      <c r="E19" s="34">
        <v>2304.3405939999998</v>
      </c>
      <c r="F19" s="34">
        <v>177265.340558</v>
      </c>
      <c r="G19" s="83">
        <v>138634.659442</v>
      </c>
      <c r="J19" s="42">
        <f t="shared" si="0"/>
        <v>0.39847724228869896</v>
      </c>
    </row>
    <row r="20" spans="1:10" x14ac:dyDescent="0.2">
      <c r="A20" s="69" t="s">
        <v>914</v>
      </c>
      <c r="B20" s="70">
        <v>51405</v>
      </c>
      <c r="C20" s="34">
        <v>13835.999943999999</v>
      </c>
      <c r="D20" s="34">
        <v>37569.000055999997</v>
      </c>
      <c r="E20" s="34">
        <v>2279.3894920000002</v>
      </c>
      <c r="F20" s="34">
        <v>16115.389435999999</v>
      </c>
      <c r="G20" s="83">
        <v>35289.610564000002</v>
      </c>
      <c r="J20" s="42">
        <f t="shared" si="0"/>
        <v>2.4487688131310184</v>
      </c>
    </row>
    <row r="21" spans="1:10" x14ac:dyDescent="0.2">
      <c r="A21" s="69" t="s">
        <v>863</v>
      </c>
      <c r="B21" s="70">
        <v>15360</v>
      </c>
      <c r="C21" s="34">
        <v>5248</v>
      </c>
      <c r="D21" s="34">
        <v>10112</v>
      </c>
      <c r="E21" s="34">
        <v>1536.227063</v>
      </c>
      <c r="F21" s="34">
        <v>6784.2270630000003</v>
      </c>
      <c r="G21" s="83">
        <v>8575.7729369999997</v>
      </c>
      <c r="J21" s="42">
        <f t="shared" si="0"/>
        <v>8.1952448462890626</v>
      </c>
    </row>
    <row r="22" spans="1:10" x14ac:dyDescent="0.2">
      <c r="A22" s="69" t="s">
        <v>903</v>
      </c>
      <c r="B22" s="70">
        <v>28500</v>
      </c>
      <c r="C22" s="34">
        <v>16412</v>
      </c>
      <c r="D22" s="34">
        <v>12088</v>
      </c>
      <c r="E22" s="34">
        <v>1044.0090909999999</v>
      </c>
      <c r="F22" s="34">
        <v>17456.009091</v>
      </c>
      <c r="G22" s="83">
        <v>11043.990909</v>
      </c>
      <c r="J22" s="42">
        <f t="shared" si="0"/>
        <v>4.4168056434736842</v>
      </c>
    </row>
    <row r="23" spans="1:10" x14ac:dyDescent="0.2">
      <c r="A23" s="69" t="s">
        <v>861</v>
      </c>
      <c r="B23" s="70">
        <v>812500</v>
      </c>
      <c r="C23" s="34">
        <v>478293.99800000002</v>
      </c>
      <c r="D23" s="34">
        <v>334206.00199999998</v>
      </c>
      <c r="E23" s="34">
        <v>0</v>
      </c>
      <c r="F23" s="34">
        <v>478293.99800000002</v>
      </c>
      <c r="G23" s="83">
        <v>334206.00199999998</v>
      </c>
      <c r="J23" s="42">
        <f t="shared" si="0"/>
        <v>0.15492795180184615</v>
      </c>
    </row>
    <row r="24" spans="1:10" x14ac:dyDescent="0.2">
      <c r="A24" s="69" t="s">
        <v>911</v>
      </c>
      <c r="B24" s="70">
        <v>5000</v>
      </c>
      <c r="C24" s="34">
        <v>2383</v>
      </c>
      <c r="D24" s="34">
        <v>2617</v>
      </c>
      <c r="E24" s="34">
        <v>0</v>
      </c>
      <c r="F24" s="34">
        <v>2383</v>
      </c>
      <c r="G24" s="83">
        <v>2617</v>
      </c>
      <c r="J24" s="42">
        <f t="shared" si="0"/>
        <v>25.175792167800001</v>
      </c>
    </row>
    <row r="25" spans="1:10" x14ac:dyDescent="0.2">
      <c r="A25" s="69" t="s">
        <v>858</v>
      </c>
      <c r="B25" s="70">
        <v>28800</v>
      </c>
      <c r="C25" s="34">
        <v>13823</v>
      </c>
      <c r="D25" s="34">
        <v>14977</v>
      </c>
      <c r="E25" s="34">
        <v>0</v>
      </c>
      <c r="F25" s="34">
        <v>13823</v>
      </c>
      <c r="G25" s="83">
        <v>14977</v>
      </c>
      <c r="J25" s="42">
        <f t="shared" si="0"/>
        <v>4.3707972513541673</v>
      </c>
    </row>
    <row r="26" spans="1:10" x14ac:dyDescent="0.2">
      <c r="A26" s="69" t="s">
        <v>886</v>
      </c>
      <c r="B26" s="70">
        <v>13500</v>
      </c>
      <c r="C26" s="34">
        <v>7261.9999799999996</v>
      </c>
      <c r="D26" s="34">
        <v>6238.0000200000004</v>
      </c>
      <c r="E26" s="34">
        <v>0</v>
      </c>
      <c r="F26" s="34">
        <v>7261.9999799999996</v>
      </c>
      <c r="G26" s="83">
        <v>6238.0000200000004</v>
      </c>
      <c r="J26" s="42">
        <f t="shared" si="0"/>
        <v>9.3243674695555558</v>
      </c>
    </row>
    <row r="27" spans="1:10" x14ac:dyDescent="0.2">
      <c r="A27" s="69" t="s">
        <v>854</v>
      </c>
      <c r="B27" s="70">
        <v>16200</v>
      </c>
      <c r="C27" s="34">
        <v>13291.999991999999</v>
      </c>
      <c r="D27" s="34">
        <v>2908.000008</v>
      </c>
      <c r="E27" s="34">
        <v>0</v>
      </c>
      <c r="F27" s="34">
        <v>13291.999991999999</v>
      </c>
      <c r="G27" s="83">
        <v>2908.000008</v>
      </c>
      <c r="J27" s="42">
        <f t="shared" si="0"/>
        <v>7.7703062246296302</v>
      </c>
    </row>
    <row r="28" spans="1:10" x14ac:dyDescent="0.2">
      <c r="A28" s="69" t="s">
        <v>895</v>
      </c>
      <c r="B28" s="70">
        <v>153600</v>
      </c>
      <c r="C28" s="34">
        <v>30654</v>
      </c>
      <c r="D28" s="34">
        <v>122946</v>
      </c>
      <c r="E28" s="34">
        <v>0</v>
      </c>
      <c r="F28" s="34">
        <v>30654</v>
      </c>
      <c r="G28" s="83">
        <v>122946</v>
      </c>
      <c r="J28" s="42">
        <f t="shared" si="0"/>
        <v>0.81952448462890626</v>
      </c>
    </row>
    <row r="29" spans="1:10" x14ac:dyDescent="0.2">
      <c r="A29" s="69" t="s">
        <v>888</v>
      </c>
      <c r="B29" s="70">
        <v>53550</v>
      </c>
      <c r="C29" s="34">
        <v>38940.999930000005</v>
      </c>
      <c r="D29" s="34">
        <v>14609.000070000002</v>
      </c>
      <c r="E29" s="34">
        <v>0</v>
      </c>
      <c r="F29" s="34">
        <v>38940.999930000005</v>
      </c>
      <c r="G29" s="83">
        <v>14609.000070000002</v>
      </c>
      <c r="J29" s="42">
        <f t="shared" si="0"/>
        <v>2.3506808746778711</v>
      </c>
    </row>
    <row r="30" spans="1:10" x14ac:dyDescent="0.2">
      <c r="A30" s="69" t="s">
        <v>865</v>
      </c>
      <c r="B30" s="70">
        <v>150000</v>
      </c>
      <c r="C30" s="34">
        <v>88687.999544999999</v>
      </c>
      <c r="D30" s="34">
        <v>61312.000455000001</v>
      </c>
      <c r="E30" s="34">
        <v>0</v>
      </c>
      <c r="F30" s="34">
        <v>88687.999544999999</v>
      </c>
      <c r="G30" s="83">
        <v>61312.000455000001</v>
      </c>
      <c r="J30" s="42">
        <f t="shared" si="0"/>
        <v>0.83919307226000006</v>
      </c>
    </row>
    <row r="31" spans="1:10" x14ac:dyDescent="0.2">
      <c r="A31" s="69" t="s">
        <v>919</v>
      </c>
      <c r="B31" s="70">
        <v>78408</v>
      </c>
      <c r="C31" s="34">
        <v>62731.999493000003</v>
      </c>
      <c r="D31" s="34">
        <v>15676.000507000001</v>
      </c>
      <c r="E31" s="34">
        <v>0</v>
      </c>
      <c r="F31" s="34">
        <v>62731.999493000003</v>
      </c>
      <c r="G31" s="83">
        <v>15676.000507000001</v>
      </c>
      <c r="J31" s="42">
        <f t="shared" si="0"/>
        <v>1.6054351703780227</v>
      </c>
    </row>
    <row r="32" spans="1:10" x14ac:dyDescent="0.2">
      <c r="A32" s="69" t="s">
        <v>867</v>
      </c>
      <c r="B32" s="70">
        <v>246258</v>
      </c>
      <c r="C32" s="34">
        <v>174427.99992999999</v>
      </c>
      <c r="D32" s="34">
        <v>71830.000070000009</v>
      </c>
      <c r="E32" s="34">
        <v>0</v>
      </c>
      <c r="F32" s="34">
        <v>174427.99992999999</v>
      </c>
      <c r="G32" s="83">
        <v>71830.000070000009</v>
      </c>
      <c r="J32" s="42">
        <f t="shared" si="0"/>
        <v>0.51116699087542339</v>
      </c>
    </row>
    <row r="33" spans="1:10" x14ac:dyDescent="0.2">
      <c r="A33" s="69" t="s">
        <v>912</v>
      </c>
      <c r="B33" s="70">
        <v>43750</v>
      </c>
      <c r="C33" s="34">
        <v>33798.99985</v>
      </c>
      <c r="D33" s="34">
        <v>9951.0001499999998</v>
      </c>
      <c r="E33" s="34">
        <v>0</v>
      </c>
      <c r="F33" s="34">
        <v>33798.99985</v>
      </c>
      <c r="G33" s="83">
        <v>9951.0001499999998</v>
      </c>
      <c r="J33" s="42">
        <f t="shared" si="0"/>
        <v>2.8772333906057144</v>
      </c>
    </row>
    <row r="34" spans="1:10" x14ac:dyDescent="0.2">
      <c r="A34" s="69" t="s">
        <v>899</v>
      </c>
      <c r="B34" s="70">
        <v>5400</v>
      </c>
      <c r="C34" s="34">
        <v>1165.9999800000001</v>
      </c>
      <c r="D34" s="34">
        <v>4234.0000200000004</v>
      </c>
      <c r="E34" s="34">
        <v>0</v>
      </c>
      <c r="F34" s="34">
        <v>1165.9999800000001</v>
      </c>
      <c r="G34" s="83">
        <v>4234.0000200000004</v>
      </c>
      <c r="J34" s="42">
        <f t="shared" si="0"/>
        <v>23.310918673888889</v>
      </c>
    </row>
    <row r="35" spans="1:10" x14ac:dyDescent="0.2">
      <c r="A35" s="69" t="s">
        <v>930</v>
      </c>
      <c r="B35" s="70">
        <v>30685</v>
      </c>
      <c r="C35" s="34">
        <v>20590.999997999999</v>
      </c>
      <c r="D35" s="34">
        <v>10094.000002000001</v>
      </c>
      <c r="E35" s="34">
        <v>0</v>
      </c>
      <c r="F35" s="34">
        <v>20590.999997999999</v>
      </c>
      <c r="G35" s="83">
        <v>10094.000002000001</v>
      </c>
      <c r="J35" s="42">
        <f t="shared" si="0"/>
        <v>4.1022962632882516</v>
      </c>
    </row>
    <row r="36" spans="1:10" x14ac:dyDescent="0.2">
      <c r="A36" s="69" t="s">
        <v>856</v>
      </c>
      <c r="B36" s="70">
        <v>112350</v>
      </c>
      <c r="C36" s="34">
        <v>66135.999792000002</v>
      </c>
      <c r="D36" s="34">
        <v>46214.000207999998</v>
      </c>
      <c r="E36" s="34">
        <v>0</v>
      </c>
      <c r="F36" s="34">
        <v>66135.999792000002</v>
      </c>
      <c r="G36" s="83">
        <v>46214.000207999998</v>
      </c>
      <c r="J36" s="42">
        <f t="shared" si="0"/>
        <v>1.1204179869959947</v>
      </c>
    </row>
    <row r="37" spans="1:10" x14ac:dyDescent="0.2">
      <c r="A37" s="69" t="s">
        <v>921</v>
      </c>
      <c r="B37" s="70">
        <v>64114</v>
      </c>
      <c r="C37" s="34">
        <v>75106.142720000003</v>
      </c>
      <c r="D37" s="34">
        <v>-10992.14272</v>
      </c>
      <c r="E37" s="34">
        <v>0</v>
      </c>
      <c r="F37" s="34">
        <v>75106.142720000003</v>
      </c>
      <c r="G37" s="83">
        <v>-10992.14272</v>
      </c>
      <c r="J37" s="42">
        <f t="shared" si="0"/>
        <v>1.96336152539227</v>
      </c>
    </row>
    <row r="38" spans="1:10" x14ac:dyDescent="0.2">
      <c r="A38" s="69" t="s">
        <v>924</v>
      </c>
      <c r="B38" s="70">
        <v>11400</v>
      </c>
      <c r="C38" s="34">
        <v>10794.75</v>
      </c>
      <c r="D38" s="34">
        <v>605.25</v>
      </c>
      <c r="E38" s="34">
        <v>0</v>
      </c>
      <c r="F38" s="34">
        <v>10794.75</v>
      </c>
      <c r="G38" s="83">
        <v>605.25</v>
      </c>
      <c r="J38" s="42">
        <f t="shared" si="0"/>
        <v>11.042014108684212</v>
      </c>
    </row>
    <row r="39" spans="1:10" x14ac:dyDescent="0.2">
      <c r="A39" s="69" t="s">
        <v>884</v>
      </c>
      <c r="B39" s="70">
        <v>312500</v>
      </c>
      <c r="C39" s="34">
        <v>190000</v>
      </c>
      <c r="D39" s="34">
        <v>122500</v>
      </c>
      <c r="E39" s="34">
        <v>0</v>
      </c>
      <c r="F39" s="34">
        <v>190000</v>
      </c>
      <c r="G39" s="83">
        <v>122500</v>
      </c>
      <c r="J39" s="42">
        <f t="shared" si="0"/>
        <v>0.40281267468480003</v>
      </c>
    </row>
    <row r="40" spans="1:10" x14ac:dyDescent="0.2">
      <c r="A40" s="69" t="s">
        <v>907</v>
      </c>
      <c r="B40" s="70">
        <v>14000</v>
      </c>
      <c r="C40" s="34">
        <v>8241</v>
      </c>
      <c r="D40" s="34">
        <v>5759</v>
      </c>
      <c r="E40" s="34">
        <v>0</v>
      </c>
      <c r="F40" s="34">
        <v>8241</v>
      </c>
      <c r="G40" s="83">
        <v>5759</v>
      </c>
      <c r="J40" s="42">
        <f t="shared" si="0"/>
        <v>8.9913543456428577</v>
      </c>
    </row>
    <row r="41" spans="1:10" x14ac:dyDescent="0.2">
      <c r="A41" s="69" t="s">
        <v>870</v>
      </c>
      <c r="B41" s="70">
        <v>174400</v>
      </c>
      <c r="C41" s="34">
        <v>126411.92848</v>
      </c>
      <c r="D41" s="34">
        <v>47988.071519999998</v>
      </c>
      <c r="E41" s="34">
        <v>0</v>
      </c>
      <c r="F41" s="34">
        <v>126411.92848</v>
      </c>
      <c r="G41" s="83">
        <v>47988.071519999998</v>
      </c>
      <c r="J41" s="42">
        <f t="shared" si="0"/>
        <v>0.72178303233371566</v>
      </c>
    </row>
    <row r="42" spans="1:10" x14ac:dyDescent="0.2">
      <c r="A42" s="54" t="s">
        <v>992</v>
      </c>
      <c r="B42" s="72">
        <v>6208801</v>
      </c>
      <c r="C42" s="73">
        <v>3424292.9938329998</v>
      </c>
      <c r="D42" s="73">
        <v>2784508.0061670006</v>
      </c>
      <c r="E42" s="73">
        <v>186768.41708700004</v>
      </c>
      <c r="F42" s="73">
        <v>3611061.4109200002</v>
      </c>
      <c r="G42" s="84">
        <v>2597739.5890800003</v>
      </c>
      <c r="J42" s="42">
        <f t="shared" si="0"/>
        <v>2.027427853445456E-2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J50"/>
  <sheetViews>
    <sheetView workbookViewId="0">
      <selection activeCell="F1" sqref="F1"/>
    </sheetView>
  </sheetViews>
  <sheetFormatPr defaultRowHeight="12.75" x14ac:dyDescent="0.2"/>
  <cols>
    <col min="1" max="1" width="54.28515625" bestFit="1" customWidth="1"/>
    <col min="2" max="2" width="15.140625" bestFit="1" customWidth="1"/>
    <col min="3" max="3" width="17.28515625" bestFit="1" customWidth="1"/>
    <col min="4" max="4" width="13" bestFit="1" customWidth="1"/>
    <col min="5" max="5" width="23.140625" bestFit="1" customWidth="1"/>
    <col min="6" max="6" width="17.28515625" bestFit="1" customWidth="1"/>
    <col min="7" max="8" width="11.140625" bestFit="1" customWidth="1"/>
    <col min="9" max="9" width="15.28515625" customWidth="1"/>
    <col min="10" max="10" width="8.7109375" bestFit="1" customWidth="1"/>
  </cols>
  <sheetData>
    <row r="1" spans="1:10" x14ac:dyDescent="0.2">
      <c r="A1" s="75" t="s">
        <v>1</v>
      </c>
      <c r="B1" s="76" t="s">
        <v>993</v>
      </c>
    </row>
    <row r="3" spans="1:10" ht="14.25" x14ac:dyDescent="0.25">
      <c r="A3" s="45" t="s">
        <v>991</v>
      </c>
      <c r="B3" s="44" t="s">
        <v>981</v>
      </c>
      <c r="C3" s="50" t="s">
        <v>982</v>
      </c>
      <c r="D3" s="50" t="s">
        <v>983</v>
      </c>
      <c r="E3" s="50" t="s">
        <v>984</v>
      </c>
      <c r="F3" s="50" t="s">
        <v>985</v>
      </c>
      <c r="G3" s="65" t="s">
        <v>986</v>
      </c>
      <c r="J3" s="43" t="s">
        <v>987</v>
      </c>
    </row>
    <row r="4" spans="1:10" x14ac:dyDescent="0.2">
      <c r="A4" s="52" t="s">
        <v>880</v>
      </c>
      <c r="B4" s="66">
        <v>301300</v>
      </c>
      <c r="C4" s="67">
        <v>146103.99910000002</v>
      </c>
      <c r="D4" s="67">
        <v>155196.00090000001</v>
      </c>
      <c r="E4" s="67">
        <v>71824.711599000002</v>
      </c>
      <c r="F4" s="67">
        <v>217928.71069899999</v>
      </c>
      <c r="G4" s="68">
        <v>83371.289300999997</v>
      </c>
      <c r="J4" s="42">
        <f>I4/B4</f>
        <v>0</v>
      </c>
    </row>
    <row r="5" spans="1:10" x14ac:dyDescent="0.2">
      <c r="A5" s="69" t="s">
        <v>879</v>
      </c>
      <c r="B5" s="70">
        <v>166350</v>
      </c>
      <c r="C5" s="34">
        <v>37973.999250000001</v>
      </c>
      <c r="D5" s="34">
        <v>128376.00075000001</v>
      </c>
      <c r="E5" s="34">
        <v>29474.358743000001</v>
      </c>
      <c r="F5" s="34">
        <v>67448.357992999998</v>
      </c>
      <c r="G5" s="71">
        <v>98901.642007000002</v>
      </c>
      <c r="J5" s="42">
        <f t="shared" ref="J5:J50" si="0">I5/B5</f>
        <v>0</v>
      </c>
    </row>
    <row r="6" spans="1:10" x14ac:dyDescent="0.2">
      <c r="A6" s="69" t="s">
        <v>896</v>
      </c>
      <c r="B6" s="70">
        <v>153600</v>
      </c>
      <c r="C6" s="34">
        <v>30654</v>
      </c>
      <c r="D6" s="34">
        <v>122946</v>
      </c>
      <c r="E6" s="34">
        <v>0</v>
      </c>
      <c r="F6" s="34">
        <v>30654</v>
      </c>
      <c r="G6" s="71">
        <v>122946</v>
      </c>
      <c r="J6" s="42">
        <f t="shared" si="0"/>
        <v>0</v>
      </c>
    </row>
    <row r="7" spans="1:10" x14ac:dyDescent="0.2">
      <c r="A7" s="69" t="s">
        <v>860</v>
      </c>
      <c r="B7" s="70">
        <v>19200</v>
      </c>
      <c r="C7" s="34">
        <v>9231</v>
      </c>
      <c r="D7" s="34">
        <v>9969</v>
      </c>
      <c r="E7" s="34">
        <v>0</v>
      </c>
      <c r="F7" s="34">
        <v>9231</v>
      </c>
      <c r="G7" s="71">
        <v>9969</v>
      </c>
      <c r="J7" s="42">
        <f t="shared" si="0"/>
        <v>0</v>
      </c>
    </row>
    <row r="8" spans="1:10" x14ac:dyDescent="0.2">
      <c r="A8" s="69" t="s">
        <v>925</v>
      </c>
      <c r="B8" s="70">
        <v>15400</v>
      </c>
      <c r="C8" s="34">
        <v>14393</v>
      </c>
      <c r="D8" s="34">
        <v>1007</v>
      </c>
      <c r="E8" s="34">
        <v>1987.0751330000001</v>
      </c>
      <c r="F8" s="34">
        <v>16380.075133</v>
      </c>
      <c r="G8" s="71">
        <v>-980.07513300000005</v>
      </c>
      <c r="J8" s="42">
        <f t="shared" si="0"/>
        <v>0</v>
      </c>
    </row>
    <row r="9" spans="1:10" x14ac:dyDescent="0.2">
      <c r="A9" s="69" t="s">
        <v>916</v>
      </c>
      <c r="B9" s="70">
        <v>4925</v>
      </c>
      <c r="C9" s="34">
        <v>1285.999984</v>
      </c>
      <c r="D9" s="34">
        <v>3639.000016</v>
      </c>
      <c r="E9" s="34">
        <v>218.38329400000001</v>
      </c>
      <c r="F9" s="34">
        <v>1504.383278</v>
      </c>
      <c r="G9" s="71">
        <v>3420.6167220000002</v>
      </c>
      <c r="J9" s="42">
        <f t="shared" si="0"/>
        <v>0</v>
      </c>
    </row>
    <row r="10" spans="1:10" x14ac:dyDescent="0.2">
      <c r="A10" s="69" t="s">
        <v>922</v>
      </c>
      <c r="B10" s="70">
        <v>26434</v>
      </c>
      <c r="C10" s="34">
        <v>32008</v>
      </c>
      <c r="D10" s="34">
        <v>-5574</v>
      </c>
      <c r="E10" s="34">
        <v>0</v>
      </c>
      <c r="F10" s="34">
        <v>32008</v>
      </c>
      <c r="G10" s="71">
        <v>-5574</v>
      </c>
      <c r="J10" s="42">
        <f t="shared" si="0"/>
        <v>0</v>
      </c>
    </row>
    <row r="11" spans="1:10" x14ac:dyDescent="0.2">
      <c r="A11" s="69" t="s">
        <v>923</v>
      </c>
      <c r="B11" s="70">
        <v>50880</v>
      </c>
      <c r="C11" s="34">
        <v>54948.999840000004</v>
      </c>
      <c r="D11" s="34">
        <v>-4068.9998399999999</v>
      </c>
      <c r="E11" s="34">
        <v>2781.905186</v>
      </c>
      <c r="F11" s="34">
        <v>57730.905026000008</v>
      </c>
      <c r="G11" s="71">
        <v>-6850.9050260000004</v>
      </c>
      <c r="J11" s="42">
        <f t="shared" si="0"/>
        <v>0</v>
      </c>
    </row>
    <row r="12" spans="1:10" x14ac:dyDescent="0.2">
      <c r="A12" s="69" t="s">
        <v>859</v>
      </c>
      <c r="B12" s="70">
        <v>9600</v>
      </c>
      <c r="C12" s="34">
        <v>4592</v>
      </c>
      <c r="D12" s="34">
        <v>5008</v>
      </c>
      <c r="E12" s="34">
        <v>0</v>
      </c>
      <c r="F12" s="34">
        <v>4592</v>
      </c>
      <c r="G12" s="71">
        <v>5008</v>
      </c>
      <c r="J12" s="42">
        <f t="shared" si="0"/>
        <v>0</v>
      </c>
    </row>
    <row r="13" spans="1:10" x14ac:dyDescent="0.2">
      <c r="A13" s="69" t="s">
        <v>887</v>
      </c>
      <c r="B13" s="70">
        <v>18500</v>
      </c>
      <c r="C13" s="34">
        <v>9644.9999800000005</v>
      </c>
      <c r="D13" s="34">
        <v>8855.0000199999995</v>
      </c>
      <c r="E13" s="34">
        <v>0</v>
      </c>
      <c r="F13" s="34">
        <v>9644.9999800000005</v>
      </c>
      <c r="G13" s="71">
        <v>8855.0000199999995</v>
      </c>
      <c r="J13" s="42">
        <f t="shared" si="0"/>
        <v>0</v>
      </c>
    </row>
    <row r="14" spans="1:10" x14ac:dyDescent="0.2">
      <c r="A14" s="69" t="s">
        <v>908</v>
      </c>
      <c r="B14" s="70">
        <v>6800</v>
      </c>
      <c r="C14" s="34">
        <v>3850</v>
      </c>
      <c r="D14" s="34">
        <v>2950</v>
      </c>
      <c r="E14" s="34">
        <v>0</v>
      </c>
      <c r="F14" s="34">
        <v>3850</v>
      </c>
      <c r="G14" s="71">
        <v>2950</v>
      </c>
      <c r="J14" s="42">
        <f t="shared" si="0"/>
        <v>0</v>
      </c>
    </row>
    <row r="15" spans="1:10" x14ac:dyDescent="0.2">
      <c r="A15" s="69" t="s">
        <v>857</v>
      </c>
      <c r="B15" s="70">
        <v>126350</v>
      </c>
      <c r="C15" s="34">
        <v>74376.999792000002</v>
      </c>
      <c r="D15" s="34">
        <v>51973.000207999998</v>
      </c>
      <c r="E15" s="34">
        <v>0</v>
      </c>
      <c r="F15" s="34">
        <v>74376.999792000002</v>
      </c>
      <c r="G15" s="71">
        <v>51973.000207999998</v>
      </c>
      <c r="J15" s="42">
        <f t="shared" si="0"/>
        <v>0</v>
      </c>
    </row>
    <row r="16" spans="1:10" x14ac:dyDescent="0.2">
      <c r="A16" s="69" t="s">
        <v>862</v>
      </c>
      <c r="B16" s="70">
        <v>812500</v>
      </c>
      <c r="C16" s="34">
        <v>478293.99800000002</v>
      </c>
      <c r="D16" s="34">
        <v>334206.00199999998</v>
      </c>
      <c r="E16" s="34">
        <v>0</v>
      </c>
      <c r="F16" s="34">
        <v>478293.99800000002</v>
      </c>
      <c r="G16" s="71">
        <v>334206.00199999998</v>
      </c>
      <c r="J16" s="42">
        <f t="shared" si="0"/>
        <v>0</v>
      </c>
    </row>
    <row r="17" spans="1:10" x14ac:dyDescent="0.2">
      <c r="A17" s="69" t="s">
        <v>920</v>
      </c>
      <c r="B17" s="70">
        <v>78408</v>
      </c>
      <c r="C17" s="34">
        <v>62731.999493000003</v>
      </c>
      <c r="D17" s="34">
        <v>15676.000507000001</v>
      </c>
      <c r="E17" s="34">
        <v>0</v>
      </c>
      <c r="F17" s="34">
        <v>62731.999493000003</v>
      </c>
      <c r="G17" s="71">
        <v>15676.000507000001</v>
      </c>
      <c r="J17" s="42">
        <f t="shared" si="0"/>
        <v>0</v>
      </c>
    </row>
    <row r="18" spans="1:10" x14ac:dyDescent="0.2">
      <c r="A18" s="69" t="s">
        <v>866</v>
      </c>
      <c r="B18" s="70">
        <v>150000</v>
      </c>
      <c r="C18" s="34">
        <v>88687.999544999999</v>
      </c>
      <c r="D18" s="34">
        <v>61312.000455000001</v>
      </c>
      <c r="E18" s="34">
        <v>0</v>
      </c>
      <c r="F18" s="34">
        <v>88687.999544999999</v>
      </c>
      <c r="G18" s="71">
        <v>61312.000455000001</v>
      </c>
      <c r="J18" s="42">
        <f t="shared" si="0"/>
        <v>0</v>
      </c>
    </row>
    <row r="19" spans="1:10" x14ac:dyDescent="0.2">
      <c r="A19" s="69" t="s">
        <v>855</v>
      </c>
      <c r="B19" s="70">
        <v>16200</v>
      </c>
      <c r="C19" s="34">
        <v>13291.999991999999</v>
      </c>
      <c r="D19" s="34">
        <v>2908.000008</v>
      </c>
      <c r="E19" s="34">
        <v>0</v>
      </c>
      <c r="F19" s="34">
        <v>13291.999991999999</v>
      </c>
      <c r="G19" s="71">
        <v>2908.000008</v>
      </c>
      <c r="J19" s="42">
        <f t="shared" si="0"/>
        <v>0</v>
      </c>
    </row>
    <row r="20" spans="1:10" x14ac:dyDescent="0.2">
      <c r="A20" s="69" t="s">
        <v>885</v>
      </c>
      <c r="B20" s="70">
        <v>312500</v>
      </c>
      <c r="C20" s="34">
        <v>190000</v>
      </c>
      <c r="D20" s="34">
        <v>122500</v>
      </c>
      <c r="E20" s="34">
        <v>0</v>
      </c>
      <c r="F20" s="34">
        <v>190000</v>
      </c>
      <c r="G20" s="71">
        <v>122500</v>
      </c>
      <c r="J20" s="42">
        <f t="shared" si="0"/>
        <v>0</v>
      </c>
    </row>
    <row r="21" spans="1:10" x14ac:dyDescent="0.2">
      <c r="A21" s="69" t="s">
        <v>915</v>
      </c>
      <c r="B21" s="70">
        <v>46480</v>
      </c>
      <c r="C21" s="34">
        <v>12549.999959999999</v>
      </c>
      <c r="D21" s="34">
        <v>33930.000039999999</v>
      </c>
      <c r="E21" s="34">
        <v>2061.006198</v>
      </c>
      <c r="F21" s="34">
        <v>14611.006158</v>
      </c>
      <c r="G21" s="71">
        <v>31868.993842</v>
      </c>
      <c r="J21" s="42">
        <f t="shared" si="0"/>
        <v>0</v>
      </c>
    </row>
    <row r="22" spans="1:10" x14ac:dyDescent="0.2">
      <c r="A22" s="69" t="s">
        <v>918</v>
      </c>
      <c r="B22" s="70">
        <v>247320</v>
      </c>
      <c r="C22" s="34">
        <v>220944.999996</v>
      </c>
      <c r="D22" s="34">
        <v>26375.000004000001</v>
      </c>
      <c r="E22" s="34">
        <v>9000.1454549999999</v>
      </c>
      <c r="F22" s="34">
        <v>229945.14545099999</v>
      </c>
      <c r="G22" s="71">
        <v>17374.854549</v>
      </c>
      <c r="J22" s="42">
        <f t="shared" si="0"/>
        <v>0</v>
      </c>
    </row>
    <row r="23" spans="1:10" x14ac:dyDescent="0.2">
      <c r="A23" s="69" t="s">
        <v>889</v>
      </c>
      <c r="B23" s="70">
        <v>53550</v>
      </c>
      <c r="C23" s="34">
        <v>38940.999930000005</v>
      </c>
      <c r="D23" s="34">
        <v>14609.000070000002</v>
      </c>
      <c r="E23" s="34">
        <v>0</v>
      </c>
      <c r="F23" s="34">
        <v>38940.999930000005</v>
      </c>
      <c r="G23" s="71">
        <v>14609.000070000002</v>
      </c>
      <c r="J23" s="42">
        <f t="shared" si="0"/>
        <v>0</v>
      </c>
    </row>
    <row r="24" spans="1:10" x14ac:dyDescent="0.2">
      <c r="A24" s="69" t="s">
        <v>913</v>
      </c>
      <c r="B24" s="70">
        <v>43750</v>
      </c>
      <c r="C24" s="34">
        <v>33798.99985</v>
      </c>
      <c r="D24" s="34">
        <v>9951.0001499999998</v>
      </c>
      <c r="E24" s="34">
        <v>0</v>
      </c>
      <c r="F24" s="34">
        <v>33798.99985</v>
      </c>
      <c r="G24" s="71">
        <v>9951.0001499999998</v>
      </c>
      <c r="J24" s="42">
        <f t="shared" si="0"/>
        <v>0</v>
      </c>
    </row>
    <row r="25" spans="1:10" x14ac:dyDescent="0.2">
      <c r="A25" s="69" t="s">
        <v>871</v>
      </c>
      <c r="B25" s="70">
        <v>160000</v>
      </c>
      <c r="C25" s="34">
        <v>114635.99992</v>
      </c>
      <c r="D25" s="34">
        <v>45364.000079999998</v>
      </c>
      <c r="E25" s="34">
        <v>0</v>
      </c>
      <c r="F25" s="34">
        <v>114635.99992</v>
      </c>
      <c r="G25" s="71">
        <v>45364.000079999998</v>
      </c>
      <c r="J25" s="42">
        <f t="shared" si="0"/>
        <v>0</v>
      </c>
    </row>
    <row r="26" spans="1:10" x14ac:dyDescent="0.2">
      <c r="A26" s="69" t="s">
        <v>904</v>
      </c>
      <c r="B26" s="70">
        <v>28500</v>
      </c>
      <c r="C26" s="34">
        <v>16412</v>
      </c>
      <c r="D26" s="34">
        <v>12088</v>
      </c>
      <c r="E26" s="34">
        <v>1044.0090909999999</v>
      </c>
      <c r="F26" s="34">
        <v>17456.009091</v>
      </c>
      <c r="G26" s="71">
        <v>11043.990909</v>
      </c>
      <c r="J26" s="42">
        <f t="shared" si="0"/>
        <v>0</v>
      </c>
    </row>
    <row r="27" spans="1:10" x14ac:dyDescent="0.2">
      <c r="A27" s="69" t="s">
        <v>876</v>
      </c>
      <c r="B27" s="70">
        <v>30600</v>
      </c>
      <c r="C27" s="34">
        <v>21133.99999</v>
      </c>
      <c r="D27" s="34">
        <v>9466.0000099999997</v>
      </c>
      <c r="E27" s="34">
        <v>1090.1453839999999</v>
      </c>
      <c r="F27" s="34">
        <v>22224.145374</v>
      </c>
      <c r="G27" s="71">
        <v>8375.8546260000003</v>
      </c>
      <c r="J27" s="42">
        <f t="shared" si="0"/>
        <v>0</v>
      </c>
    </row>
    <row r="28" spans="1:10" x14ac:dyDescent="0.2">
      <c r="A28" s="69" t="s">
        <v>929</v>
      </c>
      <c r="B28" s="70">
        <v>30240</v>
      </c>
      <c r="C28" s="34">
        <v>21281.999994000002</v>
      </c>
      <c r="D28" s="34">
        <v>8958.0000060000002</v>
      </c>
      <c r="E28" s="34">
        <v>5454.9955900000004</v>
      </c>
      <c r="F28" s="34">
        <v>26736.995584</v>
      </c>
      <c r="G28" s="71">
        <v>3503.0044160000002</v>
      </c>
      <c r="J28" s="42">
        <f t="shared" si="0"/>
        <v>0</v>
      </c>
    </row>
    <row r="29" spans="1:10" x14ac:dyDescent="0.2">
      <c r="A29" s="69" t="s">
        <v>932</v>
      </c>
      <c r="B29" s="70">
        <v>84780</v>
      </c>
      <c r="C29" s="34">
        <v>63173.999970000004</v>
      </c>
      <c r="D29" s="34">
        <v>21606.000029999999</v>
      </c>
      <c r="E29" s="34">
        <v>0</v>
      </c>
      <c r="F29" s="34">
        <v>63173.999970000004</v>
      </c>
      <c r="G29" s="71">
        <v>21606.000029999999</v>
      </c>
      <c r="J29" s="42">
        <f t="shared" si="0"/>
        <v>0</v>
      </c>
    </row>
    <row r="30" spans="1:10" x14ac:dyDescent="0.2">
      <c r="A30" s="69" t="s">
        <v>869</v>
      </c>
      <c r="B30" s="70">
        <v>81198</v>
      </c>
      <c r="C30" s="34">
        <v>56797</v>
      </c>
      <c r="D30" s="34">
        <v>24401</v>
      </c>
      <c r="E30" s="34">
        <v>0</v>
      </c>
      <c r="F30" s="34">
        <v>56797</v>
      </c>
      <c r="G30" s="71">
        <v>24401</v>
      </c>
      <c r="J30" s="42">
        <f t="shared" si="0"/>
        <v>0</v>
      </c>
    </row>
    <row r="31" spans="1:10" x14ac:dyDescent="0.2">
      <c r="A31" s="69" t="s">
        <v>935</v>
      </c>
      <c r="B31" s="70">
        <v>27000</v>
      </c>
      <c r="C31" s="34">
        <v>17768.999988</v>
      </c>
      <c r="D31" s="34">
        <v>9231.0000120000004</v>
      </c>
      <c r="E31" s="34">
        <v>1182.3625930000001</v>
      </c>
      <c r="F31" s="34">
        <v>18951.362581000001</v>
      </c>
      <c r="G31" s="71">
        <v>8048.6374189999997</v>
      </c>
      <c r="J31" s="42">
        <f t="shared" si="0"/>
        <v>0</v>
      </c>
    </row>
    <row r="32" spans="1:10" x14ac:dyDescent="0.2">
      <c r="A32" s="69" t="s">
        <v>868</v>
      </c>
      <c r="B32" s="70">
        <v>80280</v>
      </c>
      <c r="C32" s="34">
        <v>54456.999960000001</v>
      </c>
      <c r="D32" s="34">
        <v>25823.000039999999</v>
      </c>
      <c r="E32" s="34">
        <v>0</v>
      </c>
      <c r="F32" s="34">
        <v>54456.999960000001</v>
      </c>
      <c r="G32" s="71">
        <v>25823.000039999999</v>
      </c>
      <c r="J32" s="42">
        <f t="shared" si="0"/>
        <v>0</v>
      </c>
    </row>
    <row r="33" spans="1:10" x14ac:dyDescent="0.2">
      <c r="A33" s="69" t="s">
        <v>853</v>
      </c>
      <c r="B33" s="70">
        <v>45900</v>
      </c>
      <c r="C33" s="34">
        <v>21845.999916000001</v>
      </c>
      <c r="D33" s="34">
        <v>24054.000083999999</v>
      </c>
      <c r="E33" s="34">
        <v>4698.0409090000003</v>
      </c>
      <c r="F33" s="34">
        <v>26544.040825</v>
      </c>
      <c r="G33" s="71">
        <v>19355.959175</v>
      </c>
      <c r="J33" s="42">
        <f t="shared" si="0"/>
        <v>0</v>
      </c>
    </row>
    <row r="34" spans="1:10" x14ac:dyDescent="0.2">
      <c r="A34" s="69" t="s">
        <v>931</v>
      </c>
      <c r="B34" s="70">
        <v>30685</v>
      </c>
      <c r="C34" s="34">
        <v>20590.999997999999</v>
      </c>
      <c r="D34" s="34">
        <v>10094.000002000001</v>
      </c>
      <c r="E34" s="34">
        <v>0</v>
      </c>
      <c r="F34" s="34">
        <v>20590.999997999999</v>
      </c>
      <c r="G34" s="71">
        <v>10094.000002000001</v>
      </c>
      <c r="J34" s="42">
        <f t="shared" si="0"/>
        <v>0</v>
      </c>
    </row>
    <row r="35" spans="1:10" x14ac:dyDescent="0.2">
      <c r="A35" s="69" t="s">
        <v>877</v>
      </c>
      <c r="B35" s="70">
        <v>765051</v>
      </c>
      <c r="C35" s="34">
        <v>418620.99976400007</v>
      </c>
      <c r="D35" s="34">
        <v>346430.00023599999</v>
      </c>
      <c r="E35" s="34">
        <v>12037.815428</v>
      </c>
      <c r="F35" s="34">
        <v>430658.81519200001</v>
      </c>
      <c r="G35" s="71">
        <v>334392.18480799999</v>
      </c>
      <c r="J35" s="42">
        <f t="shared" si="0"/>
        <v>0</v>
      </c>
    </row>
    <row r="36" spans="1:10" x14ac:dyDescent="0.2">
      <c r="A36" s="69" t="s">
        <v>926</v>
      </c>
      <c r="B36" s="70">
        <v>27200</v>
      </c>
      <c r="C36" s="34">
        <v>16378.999996</v>
      </c>
      <c r="D36" s="34">
        <v>10821.000004</v>
      </c>
      <c r="E36" s="34">
        <v>0</v>
      </c>
      <c r="F36" s="34">
        <v>16378.999996</v>
      </c>
      <c r="G36" s="71">
        <v>10821.000004</v>
      </c>
      <c r="J36" s="42">
        <f t="shared" si="0"/>
        <v>0</v>
      </c>
    </row>
    <row r="37" spans="1:10" x14ac:dyDescent="0.2">
      <c r="A37" s="69" t="s">
        <v>902</v>
      </c>
      <c r="B37" s="70">
        <v>382500</v>
      </c>
      <c r="C37" s="34">
        <v>204177.99989399998</v>
      </c>
      <c r="D37" s="34">
        <v>178322.00010599999</v>
      </c>
      <c r="E37" s="34">
        <v>0</v>
      </c>
      <c r="F37" s="34">
        <v>204177.99989399998</v>
      </c>
      <c r="G37" s="71">
        <v>178322.00010599999</v>
      </c>
      <c r="J37" s="42">
        <f t="shared" si="0"/>
        <v>0</v>
      </c>
    </row>
    <row r="38" spans="1:10" x14ac:dyDescent="0.2">
      <c r="A38" s="69" t="s">
        <v>882</v>
      </c>
      <c r="B38" s="70">
        <v>79900</v>
      </c>
      <c r="C38" s="34">
        <v>32759</v>
      </c>
      <c r="D38" s="34">
        <v>47141</v>
      </c>
      <c r="E38" s="34">
        <v>1241.5159369999999</v>
      </c>
      <c r="F38" s="34">
        <v>34000.515936999996</v>
      </c>
      <c r="G38" s="71">
        <v>45899.484063000004</v>
      </c>
      <c r="J38" s="42">
        <f t="shared" si="0"/>
        <v>0</v>
      </c>
    </row>
    <row r="39" spans="1:10" x14ac:dyDescent="0.2">
      <c r="A39" s="69" t="s">
        <v>883</v>
      </c>
      <c r="B39" s="70">
        <v>136800</v>
      </c>
      <c r="C39" s="34">
        <v>83576.999968000004</v>
      </c>
      <c r="D39" s="34">
        <v>53223.000031999996</v>
      </c>
      <c r="E39" s="34">
        <v>1062.8246569999999</v>
      </c>
      <c r="F39" s="34">
        <v>84639.824625000008</v>
      </c>
      <c r="G39" s="71">
        <v>52160.175375000006</v>
      </c>
      <c r="J39" s="42">
        <f t="shared" si="0"/>
        <v>0</v>
      </c>
    </row>
    <row r="40" spans="1:10" x14ac:dyDescent="0.2">
      <c r="A40" s="69" t="s">
        <v>905</v>
      </c>
      <c r="B40" s="70">
        <v>72000</v>
      </c>
      <c r="C40" s="34">
        <v>42246</v>
      </c>
      <c r="D40" s="34">
        <v>29754</v>
      </c>
      <c r="E40" s="34">
        <v>0</v>
      </c>
      <c r="F40" s="34">
        <v>42246</v>
      </c>
      <c r="G40" s="71">
        <v>29754</v>
      </c>
      <c r="J40" s="42">
        <f t="shared" si="0"/>
        <v>0</v>
      </c>
    </row>
    <row r="41" spans="1:10" x14ac:dyDescent="0.2">
      <c r="A41" s="69" t="s">
        <v>874</v>
      </c>
      <c r="B41" s="70">
        <v>187000</v>
      </c>
      <c r="C41" s="34">
        <v>87749.999967999989</v>
      </c>
      <c r="D41" s="34">
        <v>99250.000032000011</v>
      </c>
      <c r="E41" s="34">
        <v>4723.0471600000001</v>
      </c>
      <c r="F41" s="34">
        <v>92473.047128000006</v>
      </c>
      <c r="G41" s="71">
        <v>94526.952871999994</v>
      </c>
      <c r="J41" s="42">
        <f t="shared" si="0"/>
        <v>0</v>
      </c>
    </row>
    <row r="42" spans="1:10" x14ac:dyDescent="0.2">
      <c r="A42" s="69" t="s">
        <v>873</v>
      </c>
      <c r="B42" s="70">
        <v>561600</v>
      </c>
      <c r="C42" s="34">
        <v>241024.99994999997</v>
      </c>
      <c r="D42" s="34">
        <v>320575.00005000003</v>
      </c>
      <c r="E42" s="34">
        <v>13171.676505000001</v>
      </c>
      <c r="F42" s="34">
        <v>254196.67645500001</v>
      </c>
      <c r="G42" s="71">
        <v>307403.32354499999</v>
      </c>
      <c r="J42" s="42">
        <f t="shared" si="0"/>
        <v>0</v>
      </c>
    </row>
    <row r="43" spans="1:10" x14ac:dyDescent="0.2">
      <c r="A43" s="69" t="s">
        <v>891</v>
      </c>
      <c r="B43" s="70">
        <v>24600</v>
      </c>
      <c r="C43" s="34">
        <v>9741</v>
      </c>
      <c r="D43" s="34">
        <v>14859</v>
      </c>
      <c r="E43" s="34">
        <v>5643.6811900000002</v>
      </c>
      <c r="F43" s="34">
        <v>15384.681189999999</v>
      </c>
      <c r="G43" s="71">
        <v>9215.3188100000007</v>
      </c>
      <c r="J43" s="42">
        <f t="shared" si="0"/>
        <v>0</v>
      </c>
    </row>
    <row r="44" spans="1:10" x14ac:dyDescent="0.2">
      <c r="A44" s="69" t="s">
        <v>910</v>
      </c>
      <c r="B44" s="70">
        <v>491300</v>
      </c>
      <c r="C44" s="34">
        <v>214884.99987</v>
      </c>
      <c r="D44" s="34">
        <v>276415.00013</v>
      </c>
      <c r="E44" s="34">
        <v>0</v>
      </c>
      <c r="F44" s="34">
        <v>214884.99987</v>
      </c>
      <c r="G44" s="71">
        <v>276415.00013</v>
      </c>
      <c r="J44" s="42">
        <f t="shared" si="0"/>
        <v>0</v>
      </c>
    </row>
    <row r="45" spans="1:10" x14ac:dyDescent="0.2">
      <c r="A45" s="69" t="s">
        <v>864</v>
      </c>
      <c r="B45" s="70">
        <v>15360</v>
      </c>
      <c r="C45" s="34">
        <v>5248</v>
      </c>
      <c r="D45" s="34">
        <v>10112</v>
      </c>
      <c r="E45" s="34">
        <v>1536.227063</v>
      </c>
      <c r="F45" s="34">
        <v>6784.2270630000003</v>
      </c>
      <c r="G45" s="71">
        <v>8575.7729369999997</v>
      </c>
      <c r="J45" s="42">
        <f t="shared" si="0"/>
        <v>0</v>
      </c>
    </row>
    <row r="46" spans="1:10" x14ac:dyDescent="0.2">
      <c r="A46" s="69" t="s">
        <v>898</v>
      </c>
      <c r="B46" s="70">
        <v>20480</v>
      </c>
      <c r="C46" s="34">
        <v>2222</v>
      </c>
      <c r="D46" s="34">
        <v>18258</v>
      </c>
      <c r="E46" s="34">
        <v>8910.1169659999996</v>
      </c>
      <c r="F46" s="34">
        <v>11132.116966</v>
      </c>
      <c r="G46" s="71">
        <v>9347.8830340000004</v>
      </c>
      <c r="J46" s="42">
        <f t="shared" si="0"/>
        <v>0</v>
      </c>
    </row>
    <row r="47" spans="1:10" x14ac:dyDescent="0.2">
      <c r="A47" s="69" t="s">
        <v>893</v>
      </c>
      <c r="B47" s="70">
        <v>43200</v>
      </c>
      <c r="C47" s="34">
        <v>18965</v>
      </c>
      <c r="D47" s="34">
        <v>24235</v>
      </c>
      <c r="E47" s="34">
        <v>1620.669011</v>
      </c>
      <c r="F47" s="34">
        <v>20585.669010999998</v>
      </c>
      <c r="G47" s="71">
        <v>22614.330989000002</v>
      </c>
      <c r="J47" s="42">
        <f t="shared" si="0"/>
        <v>0</v>
      </c>
    </row>
    <row r="48" spans="1:10" x14ac:dyDescent="0.2">
      <c r="A48" s="69" t="s">
        <v>894</v>
      </c>
      <c r="B48" s="70">
        <v>38250</v>
      </c>
      <c r="C48" s="34">
        <v>19845.999974999999</v>
      </c>
      <c r="D48" s="34">
        <v>18404.000025000001</v>
      </c>
      <c r="E48" s="34">
        <v>1434.967353</v>
      </c>
      <c r="F48" s="34">
        <v>21280.967327999999</v>
      </c>
      <c r="G48" s="71">
        <v>16969.032672000001</v>
      </c>
      <c r="J48" s="42">
        <f t="shared" si="0"/>
        <v>0</v>
      </c>
    </row>
    <row r="49" spans="1:10" x14ac:dyDescent="0.2">
      <c r="A49" s="69" t="s">
        <v>934</v>
      </c>
      <c r="B49" s="70">
        <v>104330</v>
      </c>
      <c r="C49" s="34">
        <v>60449</v>
      </c>
      <c r="D49" s="34">
        <v>43881</v>
      </c>
      <c r="E49" s="34">
        <v>4568.7366419999998</v>
      </c>
      <c r="F49" s="34">
        <v>65017.736642000003</v>
      </c>
      <c r="G49" s="71">
        <v>39312.263357999997</v>
      </c>
      <c r="J49" s="42">
        <f t="shared" si="0"/>
        <v>0</v>
      </c>
    </row>
    <row r="50" spans="1:10" x14ac:dyDescent="0.2">
      <c r="A50" s="54" t="s">
        <v>992</v>
      </c>
      <c r="B50" s="72">
        <v>6208801</v>
      </c>
      <c r="C50" s="73">
        <v>3424292.9938329998</v>
      </c>
      <c r="D50" s="73">
        <v>2784508.0061670002</v>
      </c>
      <c r="E50" s="73">
        <v>186768.41708700001</v>
      </c>
      <c r="F50" s="73">
        <v>3611061.4109199997</v>
      </c>
      <c r="G50" s="74">
        <v>2597739.5890800003</v>
      </c>
      <c r="J50" s="42">
        <f t="shared" si="0"/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E105"/>
  <sheetViews>
    <sheetView workbookViewId="0">
      <selection activeCell="Q16" sqref="Q16"/>
    </sheetView>
  </sheetViews>
  <sheetFormatPr defaultRowHeight="12.75" x14ac:dyDescent="0.2"/>
  <cols>
    <col min="1" max="1" width="33.7109375" customWidth="1"/>
    <col min="2" max="2" width="15.140625" bestFit="1" customWidth="1"/>
    <col min="3" max="3" width="17.28515625" bestFit="1" customWidth="1"/>
    <col min="4" max="4" width="11.140625" bestFit="1" customWidth="1"/>
    <col min="5" max="5" width="9.7109375" bestFit="1" customWidth="1"/>
  </cols>
  <sheetData>
    <row r="1" spans="1:5" x14ac:dyDescent="0.2">
      <c r="A1" s="18" t="s">
        <v>1</v>
      </c>
      <c r="B1" s="19" t="s">
        <v>971</v>
      </c>
    </row>
    <row r="3" spans="1:5" ht="14.25" x14ac:dyDescent="0.25">
      <c r="A3" s="9" t="s">
        <v>954</v>
      </c>
      <c r="B3" s="5" t="s">
        <v>981</v>
      </c>
      <c r="C3" s="20" t="s">
        <v>985</v>
      </c>
      <c r="D3" s="35" t="s">
        <v>986</v>
      </c>
      <c r="E3" s="43" t="s">
        <v>987</v>
      </c>
    </row>
    <row r="4" spans="1:5" x14ac:dyDescent="0.2">
      <c r="A4" s="11" t="s">
        <v>610</v>
      </c>
      <c r="B4" s="25">
        <v>3567074</v>
      </c>
      <c r="C4" s="26">
        <v>2007884.9261950001</v>
      </c>
      <c r="D4" s="40">
        <v>1559189.0738049999</v>
      </c>
      <c r="E4" s="42">
        <f>D4/B4</f>
        <v>0.43710589514122777</v>
      </c>
    </row>
    <row r="5" spans="1:5" x14ac:dyDescent="0.2">
      <c r="A5" s="38" t="s">
        <v>892</v>
      </c>
      <c r="B5" s="25">
        <v>81450</v>
      </c>
      <c r="C5" s="26">
        <v>41866.636338999997</v>
      </c>
      <c r="D5" s="40">
        <v>39583.363661000003</v>
      </c>
      <c r="E5" s="42">
        <f t="shared" ref="E5:E68" si="0">D5/B5</f>
        <v>0.48598359313689382</v>
      </c>
    </row>
    <row r="6" spans="1:5" x14ac:dyDescent="0.2">
      <c r="A6" s="38" t="s">
        <v>890</v>
      </c>
      <c r="B6" s="25">
        <v>24600</v>
      </c>
      <c r="C6" s="26">
        <v>15384.681189999999</v>
      </c>
      <c r="D6" s="40">
        <v>9215.3188100000007</v>
      </c>
      <c r="E6" s="42">
        <f t="shared" si="0"/>
        <v>0.37460645569105694</v>
      </c>
    </row>
    <row r="7" spans="1:5" x14ac:dyDescent="0.2">
      <c r="A7" s="38" t="s">
        <v>928</v>
      </c>
      <c r="B7" s="25">
        <v>30240</v>
      </c>
      <c r="C7" s="26">
        <v>26736.995584</v>
      </c>
      <c r="D7" s="40">
        <v>3503.0044160000002</v>
      </c>
      <c r="E7" s="42">
        <f t="shared" si="0"/>
        <v>0.11584009312169313</v>
      </c>
    </row>
    <row r="8" spans="1:5" x14ac:dyDescent="0.2">
      <c r="A8" s="38" t="s">
        <v>933</v>
      </c>
      <c r="B8" s="25">
        <v>131330</v>
      </c>
      <c r="C8" s="26">
        <v>83969.099222999997</v>
      </c>
      <c r="D8" s="40">
        <v>47360.900776999995</v>
      </c>
      <c r="E8" s="42">
        <f t="shared" si="0"/>
        <v>0.36062514868651485</v>
      </c>
    </row>
    <row r="9" spans="1:5" x14ac:dyDescent="0.2">
      <c r="A9" s="38" t="s">
        <v>930</v>
      </c>
      <c r="B9" s="25">
        <v>30685</v>
      </c>
      <c r="C9" s="26">
        <v>20590.999997999999</v>
      </c>
      <c r="D9" s="40">
        <v>10094.000002000001</v>
      </c>
      <c r="E9" s="42">
        <f t="shared" si="0"/>
        <v>0.32895551578947368</v>
      </c>
    </row>
    <row r="10" spans="1:5" x14ac:dyDescent="0.2">
      <c r="A10" s="38" t="s">
        <v>881</v>
      </c>
      <c r="B10" s="25">
        <v>315900</v>
      </c>
      <c r="C10" s="26">
        <v>177265.340558</v>
      </c>
      <c r="D10" s="40">
        <v>138634.659442</v>
      </c>
      <c r="E10" s="42">
        <f t="shared" si="0"/>
        <v>0.43885615524533084</v>
      </c>
    </row>
    <row r="11" spans="1:5" x14ac:dyDescent="0.2">
      <c r="A11" s="38" t="s">
        <v>875</v>
      </c>
      <c r="B11" s="25">
        <v>1099725</v>
      </c>
      <c r="C11" s="26">
        <v>583454.3537010001</v>
      </c>
      <c r="D11" s="40">
        <v>516270.64629900001</v>
      </c>
      <c r="E11" s="42">
        <f t="shared" si="0"/>
        <v>0.46945431475959898</v>
      </c>
    </row>
    <row r="12" spans="1:5" x14ac:dyDescent="0.2">
      <c r="A12" s="38" t="s">
        <v>906</v>
      </c>
      <c r="B12" s="25">
        <v>52326</v>
      </c>
      <c r="C12" s="26">
        <v>34645.744323999999</v>
      </c>
      <c r="D12" s="40">
        <v>17680.255676000001</v>
      </c>
      <c r="E12" s="42">
        <f t="shared" si="0"/>
        <v>0.33788662760386806</v>
      </c>
    </row>
    <row r="13" spans="1:5" x14ac:dyDescent="0.2">
      <c r="A13" s="38" t="s">
        <v>872</v>
      </c>
      <c r="B13" s="25">
        <v>1266000</v>
      </c>
      <c r="C13" s="26">
        <v>600515.58588800009</v>
      </c>
      <c r="D13" s="40">
        <v>665484.41411200003</v>
      </c>
      <c r="E13" s="42">
        <f t="shared" si="0"/>
        <v>0.52565909487519746</v>
      </c>
    </row>
    <row r="14" spans="1:5" x14ac:dyDescent="0.2">
      <c r="A14" s="38" t="s">
        <v>897</v>
      </c>
      <c r="B14" s="25">
        <v>20480</v>
      </c>
      <c r="C14" s="26">
        <v>11132.116966</v>
      </c>
      <c r="D14" s="40">
        <v>9347.8830340000004</v>
      </c>
      <c r="E14" s="42">
        <f t="shared" si="0"/>
        <v>0.45643960126953126</v>
      </c>
    </row>
    <row r="15" spans="1:5" x14ac:dyDescent="0.2">
      <c r="A15" s="38" t="s">
        <v>863</v>
      </c>
      <c r="B15" s="25">
        <v>15360</v>
      </c>
      <c r="C15" s="26">
        <v>6784.2270630000003</v>
      </c>
      <c r="D15" s="40">
        <v>8575.7729369999997</v>
      </c>
      <c r="E15" s="42">
        <f t="shared" si="0"/>
        <v>0.55831855058593749</v>
      </c>
    </row>
    <row r="16" spans="1:5" x14ac:dyDescent="0.2">
      <c r="A16" s="38" t="s">
        <v>867</v>
      </c>
      <c r="B16" s="25">
        <v>246258</v>
      </c>
      <c r="C16" s="26">
        <v>174427.99992999999</v>
      </c>
      <c r="D16" s="40">
        <v>71830.000070000009</v>
      </c>
      <c r="E16" s="42">
        <f t="shared" si="0"/>
        <v>0.29168595566438454</v>
      </c>
    </row>
    <row r="17" spans="1:5" x14ac:dyDescent="0.2">
      <c r="A17" s="38" t="s">
        <v>899</v>
      </c>
      <c r="B17" s="25">
        <v>5400</v>
      </c>
      <c r="C17" s="26">
        <v>1165.9999800000001</v>
      </c>
      <c r="D17" s="40">
        <v>4234.0000200000004</v>
      </c>
      <c r="E17" s="42">
        <f t="shared" si="0"/>
        <v>0.78407407777777782</v>
      </c>
    </row>
    <row r="18" spans="1:5" x14ac:dyDescent="0.2">
      <c r="A18" s="38" t="s">
        <v>917</v>
      </c>
      <c r="B18" s="25">
        <v>247320</v>
      </c>
      <c r="C18" s="26">
        <v>229945.14545099999</v>
      </c>
      <c r="D18" s="40">
        <v>17374.854549</v>
      </c>
      <c r="E18" s="42">
        <f t="shared" si="0"/>
        <v>7.0252525266860752E-2</v>
      </c>
    </row>
    <row r="19" spans="1:5" x14ac:dyDescent="0.2">
      <c r="A19" s="11" t="s">
        <v>676</v>
      </c>
      <c r="B19" s="25">
        <v>64114</v>
      </c>
      <c r="C19" s="26">
        <v>75106.142720000003</v>
      </c>
      <c r="D19" s="40">
        <v>-10992.14272</v>
      </c>
      <c r="E19" s="42">
        <f t="shared" si="0"/>
        <v>-0.17144684031568769</v>
      </c>
    </row>
    <row r="20" spans="1:5" x14ac:dyDescent="0.2">
      <c r="A20" s="38" t="s">
        <v>921</v>
      </c>
      <c r="B20" s="25">
        <v>64114</v>
      </c>
      <c r="C20" s="26">
        <v>75106.142720000003</v>
      </c>
      <c r="D20" s="40">
        <v>-10992.14272</v>
      </c>
      <c r="E20" s="42">
        <f t="shared" si="0"/>
        <v>-0.17144684031568769</v>
      </c>
    </row>
    <row r="21" spans="1:5" x14ac:dyDescent="0.2">
      <c r="A21" s="11" t="s">
        <v>622</v>
      </c>
      <c r="B21" s="25">
        <v>668855</v>
      </c>
      <c r="C21" s="26">
        <v>303457.74845800002</v>
      </c>
      <c r="D21" s="40">
        <v>365397.25154199998</v>
      </c>
      <c r="E21" s="42">
        <f t="shared" si="0"/>
        <v>0.5463026389008081</v>
      </c>
    </row>
    <row r="22" spans="1:5" x14ac:dyDescent="0.2">
      <c r="A22" s="38" t="s">
        <v>927</v>
      </c>
      <c r="B22" s="25">
        <v>9600</v>
      </c>
      <c r="C22" s="26">
        <v>12292.158879000001</v>
      </c>
      <c r="D22" s="40">
        <v>-2692.1588790000001</v>
      </c>
      <c r="E22" s="42">
        <f t="shared" si="0"/>
        <v>-0.28043321656250003</v>
      </c>
    </row>
    <row r="23" spans="1:5" x14ac:dyDescent="0.2">
      <c r="A23" s="38" t="s">
        <v>914</v>
      </c>
      <c r="B23" s="25">
        <v>51405</v>
      </c>
      <c r="C23" s="26">
        <v>16115.389435999999</v>
      </c>
      <c r="D23" s="40">
        <v>35289.610564000002</v>
      </c>
      <c r="E23" s="42">
        <f t="shared" si="0"/>
        <v>0.68650151860713948</v>
      </c>
    </row>
    <row r="24" spans="1:5" x14ac:dyDescent="0.2">
      <c r="A24" s="38" t="s">
        <v>895</v>
      </c>
      <c r="B24" s="25">
        <v>153600</v>
      </c>
      <c r="C24" s="26">
        <v>30654</v>
      </c>
      <c r="D24" s="40">
        <v>122946</v>
      </c>
      <c r="E24" s="42">
        <f t="shared" si="0"/>
        <v>0.80042968749999999</v>
      </c>
    </row>
    <row r="25" spans="1:5" x14ac:dyDescent="0.2">
      <c r="A25" s="38" t="s">
        <v>909</v>
      </c>
      <c r="B25" s="25">
        <v>133800</v>
      </c>
      <c r="C25" s="26">
        <v>56680.550480999998</v>
      </c>
      <c r="D25" s="40">
        <v>77119.449519000002</v>
      </c>
      <c r="E25" s="42">
        <f t="shared" si="0"/>
        <v>0.57637854647982067</v>
      </c>
    </row>
    <row r="26" spans="1:5" x14ac:dyDescent="0.2">
      <c r="A26" s="38" t="s">
        <v>901</v>
      </c>
      <c r="B26" s="25">
        <v>19200</v>
      </c>
      <c r="C26" s="26">
        <v>12344.610500999999</v>
      </c>
      <c r="D26" s="40">
        <v>6855.3894989999999</v>
      </c>
      <c r="E26" s="42">
        <f t="shared" si="0"/>
        <v>0.35705153640624998</v>
      </c>
    </row>
    <row r="27" spans="1:5" x14ac:dyDescent="0.2">
      <c r="A27" s="38" t="s">
        <v>878</v>
      </c>
      <c r="B27" s="25">
        <v>301250</v>
      </c>
      <c r="C27" s="26">
        <v>175371.03916099999</v>
      </c>
      <c r="D27" s="40">
        <v>125878.96083900001</v>
      </c>
      <c r="E27" s="42">
        <f t="shared" si="0"/>
        <v>0.4178554716647303</v>
      </c>
    </row>
    <row r="28" spans="1:5" x14ac:dyDescent="0.2">
      <c r="A28" s="11" t="s">
        <v>601</v>
      </c>
      <c r="B28" s="25">
        <v>82400</v>
      </c>
      <c r="C28" s="26">
        <v>83814.918485000002</v>
      </c>
      <c r="D28" s="40">
        <v>-1414.9184849999983</v>
      </c>
      <c r="E28" s="42">
        <f t="shared" si="0"/>
        <v>-1.7171340837378622E-2</v>
      </c>
    </row>
    <row r="29" spans="1:5" x14ac:dyDescent="0.2">
      <c r="A29" s="38" t="s">
        <v>852</v>
      </c>
      <c r="B29" s="25">
        <v>45900</v>
      </c>
      <c r="C29" s="26">
        <v>26544.040825</v>
      </c>
      <c r="D29" s="40">
        <v>19355.959175</v>
      </c>
      <c r="E29" s="42">
        <f t="shared" si="0"/>
        <v>0.42169845697167757</v>
      </c>
    </row>
    <row r="30" spans="1:5" x14ac:dyDescent="0.2">
      <c r="A30" s="38" t="s">
        <v>903</v>
      </c>
      <c r="B30" s="25">
        <v>28500</v>
      </c>
      <c r="C30" s="26">
        <v>17456.009091</v>
      </c>
      <c r="D30" s="40">
        <v>11043.990909</v>
      </c>
      <c r="E30" s="42">
        <f t="shared" si="0"/>
        <v>0.38750845294736841</v>
      </c>
    </row>
    <row r="31" spans="1:5" x14ac:dyDescent="0.2">
      <c r="A31" s="38" t="s">
        <v>900</v>
      </c>
      <c r="B31" s="25">
        <v>8000</v>
      </c>
      <c r="C31" s="26">
        <v>39814.868568999998</v>
      </c>
      <c r="D31" s="40">
        <v>-31814.868568999998</v>
      </c>
      <c r="E31" s="42">
        <f t="shared" si="0"/>
        <v>-3.9768585711249997</v>
      </c>
    </row>
    <row r="32" spans="1:5" x14ac:dyDescent="0.2">
      <c r="A32" s="11" t="s">
        <v>604</v>
      </c>
      <c r="B32" s="25">
        <v>1826358</v>
      </c>
      <c r="C32" s="26">
        <v>1140797.6750620003</v>
      </c>
      <c r="D32" s="40">
        <v>685560.32493799995</v>
      </c>
      <c r="E32" s="42">
        <f t="shared" si="0"/>
        <v>0.37537017656888733</v>
      </c>
    </row>
    <row r="33" spans="1:5" x14ac:dyDescent="0.2">
      <c r="A33" s="38" t="s">
        <v>858</v>
      </c>
      <c r="B33" s="25">
        <v>28800</v>
      </c>
      <c r="C33" s="26">
        <v>13823</v>
      </c>
      <c r="D33" s="40">
        <v>14977</v>
      </c>
      <c r="E33" s="42">
        <f t="shared" si="0"/>
        <v>0.52003472222222225</v>
      </c>
    </row>
    <row r="34" spans="1:5" x14ac:dyDescent="0.2">
      <c r="A34" s="38" t="s">
        <v>912</v>
      </c>
      <c r="B34" s="25">
        <v>43750</v>
      </c>
      <c r="C34" s="26">
        <v>33798.99985</v>
      </c>
      <c r="D34" s="40">
        <v>9951.0001499999998</v>
      </c>
      <c r="E34" s="42">
        <f t="shared" si="0"/>
        <v>0.22745143200000001</v>
      </c>
    </row>
    <row r="35" spans="1:5" x14ac:dyDescent="0.2">
      <c r="A35" s="38" t="s">
        <v>861</v>
      </c>
      <c r="B35" s="25">
        <v>812500</v>
      </c>
      <c r="C35" s="26">
        <v>478293.99800000002</v>
      </c>
      <c r="D35" s="40">
        <v>334206.00199999998</v>
      </c>
      <c r="E35" s="42">
        <f t="shared" si="0"/>
        <v>0.41133046399999995</v>
      </c>
    </row>
    <row r="36" spans="1:5" x14ac:dyDescent="0.2">
      <c r="A36" s="38" t="s">
        <v>911</v>
      </c>
      <c r="B36" s="25">
        <v>5000</v>
      </c>
      <c r="C36" s="26">
        <v>2383</v>
      </c>
      <c r="D36" s="40">
        <v>2617</v>
      </c>
      <c r="E36" s="42">
        <f t="shared" si="0"/>
        <v>0.52339999999999998</v>
      </c>
    </row>
    <row r="37" spans="1:5" x14ac:dyDescent="0.2">
      <c r="A37" s="38" t="s">
        <v>854</v>
      </c>
      <c r="B37" s="25">
        <v>16200</v>
      </c>
      <c r="C37" s="26">
        <v>13291.999991999999</v>
      </c>
      <c r="D37" s="40">
        <v>2908.000008</v>
      </c>
      <c r="E37" s="42">
        <f t="shared" si="0"/>
        <v>0.17950617333333332</v>
      </c>
    </row>
    <row r="38" spans="1:5" x14ac:dyDescent="0.2">
      <c r="A38" s="38" t="s">
        <v>888</v>
      </c>
      <c r="B38" s="25">
        <v>53550</v>
      </c>
      <c r="C38" s="26">
        <v>38940.999930000005</v>
      </c>
      <c r="D38" s="40">
        <v>14609.000070000002</v>
      </c>
      <c r="E38" s="42">
        <f t="shared" si="0"/>
        <v>0.27281045882352944</v>
      </c>
    </row>
    <row r="39" spans="1:5" x14ac:dyDescent="0.2">
      <c r="A39" s="38" t="s">
        <v>919</v>
      </c>
      <c r="B39" s="25">
        <v>78408</v>
      </c>
      <c r="C39" s="26">
        <v>62731.999493000003</v>
      </c>
      <c r="D39" s="40">
        <v>15676.000507000001</v>
      </c>
      <c r="E39" s="42">
        <f t="shared" si="0"/>
        <v>0.19992858518263443</v>
      </c>
    </row>
    <row r="40" spans="1:5" x14ac:dyDescent="0.2">
      <c r="A40" s="38" t="s">
        <v>907</v>
      </c>
      <c r="B40" s="25">
        <v>14000</v>
      </c>
      <c r="C40" s="26">
        <v>8241</v>
      </c>
      <c r="D40" s="40">
        <v>5759</v>
      </c>
      <c r="E40" s="42">
        <f t="shared" si="0"/>
        <v>0.41135714285714287</v>
      </c>
    </row>
    <row r="41" spans="1:5" x14ac:dyDescent="0.2">
      <c r="A41" s="38" t="s">
        <v>870</v>
      </c>
      <c r="B41" s="25">
        <v>174400</v>
      </c>
      <c r="C41" s="26">
        <v>126411.92848</v>
      </c>
      <c r="D41" s="40">
        <v>47988.071519999998</v>
      </c>
      <c r="E41" s="42">
        <f t="shared" si="0"/>
        <v>0.27516096055045869</v>
      </c>
    </row>
    <row r="42" spans="1:5" x14ac:dyDescent="0.2">
      <c r="A42" s="38" t="s">
        <v>865</v>
      </c>
      <c r="B42" s="25">
        <v>150000</v>
      </c>
      <c r="C42" s="26">
        <v>88687.999544999999</v>
      </c>
      <c r="D42" s="40">
        <v>61312.000455000001</v>
      </c>
      <c r="E42" s="42">
        <f t="shared" si="0"/>
        <v>0.40874666970000001</v>
      </c>
    </row>
    <row r="43" spans="1:5" x14ac:dyDescent="0.2">
      <c r="A43" s="38" t="s">
        <v>886</v>
      </c>
      <c r="B43" s="25">
        <v>13500</v>
      </c>
      <c r="C43" s="26">
        <v>7261.9999799999996</v>
      </c>
      <c r="D43" s="40">
        <v>6238.0000200000004</v>
      </c>
      <c r="E43" s="42">
        <f t="shared" si="0"/>
        <v>0.46207407555555557</v>
      </c>
    </row>
    <row r="44" spans="1:5" x14ac:dyDescent="0.2">
      <c r="A44" s="38" t="s">
        <v>856</v>
      </c>
      <c r="B44" s="25">
        <v>112350</v>
      </c>
      <c r="C44" s="26">
        <v>66135.999792000002</v>
      </c>
      <c r="D44" s="40">
        <v>46214.000207999998</v>
      </c>
      <c r="E44" s="42">
        <f t="shared" si="0"/>
        <v>0.4113395657142857</v>
      </c>
    </row>
    <row r="45" spans="1:5" x14ac:dyDescent="0.2">
      <c r="A45" s="38" t="s">
        <v>884</v>
      </c>
      <c r="B45" s="25">
        <v>312500</v>
      </c>
      <c r="C45" s="26">
        <v>190000</v>
      </c>
      <c r="D45" s="40">
        <v>122500</v>
      </c>
      <c r="E45" s="42">
        <f t="shared" si="0"/>
        <v>0.39200000000000002</v>
      </c>
    </row>
    <row r="46" spans="1:5" x14ac:dyDescent="0.2">
      <c r="A46" s="38" t="s">
        <v>924</v>
      </c>
      <c r="B46" s="25">
        <v>11400</v>
      </c>
      <c r="C46" s="26">
        <v>10794.75</v>
      </c>
      <c r="D46" s="40">
        <v>605.25</v>
      </c>
      <c r="E46" s="42">
        <f t="shared" si="0"/>
        <v>5.3092105263157892E-2</v>
      </c>
    </row>
    <row r="47" spans="1:5" x14ac:dyDescent="0.2">
      <c r="A47" s="16" t="s">
        <v>955</v>
      </c>
      <c r="B47" s="29">
        <v>6208801</v>
      </c>
      <c r="C47" s="30">
        <v>3611061.4109199997</v>
      </c>
      <c r="D47" s="41">
        <v>2597739.5890800003</v>
      </c>
      <c r="E47" s="42">
        <f t="shared" si="0"/>
        <v>0.41839633595600828</v>
      </c>
    </row>
    <row r="48" spans="1:5" x14ac:dyDescent="0.2">
      <c r="E48" s="42" t="e">
        <f t="shared" si="0"/>
        <v>#DIV/0!</v>
      </c>
    </row>
    <row r="49" spans="5:5" x14ac:dyDescent="0.2">
      <c r="E49" s="42" t="e">
        <f t="shared" si="0"/>
        <v>#DIV/0!</v>
      </c>
    </row>
    <row r="50" spans="5:5" x14ac:dyDescent="0.2">
      <c r="E50" s="42" t="e">
        <f t="shared" si="0"/>
        <v>#DIV/0!</v>
      </c>
    </row>
    <row r="51" spans="5:5" x14ac:dyDescent="0.2">
      <c r="E51" s="42" t="e">
        <f t="shared" si="0"/>
        <v>#DIV/0!</v>
      </c>
    </row>
    <row r="52" spans="5:5" x14ac:dyDescent="0.2">
      <c r="E52" s="42" t="e">
        <f t="shared" si="0"/>
        <v>#DIV/0!</v>
      </c>
    </row>
    <row r="53" spans="5:5" x14ac:dyDescent="0.2">
      <c r="E53" s="42" t="e">
        <f t="shared" si="0"/>
        <v>#DIV/0!</v>
      </c>
    </row>
    <row r="54" spans="5:5" x14ac:dyDescent="0.2">
      <c r="E54" s="42" t="e">
        <f t="shared" si="0"/>
        <v>#DIV/0!</v>
      </c>
    </row>
    <row r="55" spans="5:5" x14ac:dyDescent="0.2">
      <c r="E55" s="42" t="e">
        <f t="shared" si="0"/>
        <v>#DIV/0!</v>
      </c>
    </row>
    <row r="56" spans="5:5" x14ac:dyDescent="0.2">
      <c r="E56" s="42" t="e">
        <f t="shared" si="0"/>
        <v>#DIV/0!</v>
      </c>
    </row>
    <row r="57" spans="5:5" x14ac:dyDescent="0.2">
      <c r="E57" s="42" t="e">
        <f t="shared" si="0"/>
        <v>#DIV/0!</v>
      </c>
    </row>
    <row r="58" spans="5:5" x14ac:dyDescent="0.2">
      <c r="E58" s="42" t="e">
        <f t="shared" si="0"/>
        <v>#DIV/0!</v>
      </c>
    </row>
    <row r="59" spans="5:5" x14ac:dyDescent="0.2">
      <c r="E59" s="42" t="e">
        <f t="shared" si="0"/>
        <v>#DIV/0!</v>
      </c>
    </row>
    <row r="60" spans="5:5" x14ac:dyDescent="0.2">
      <c r="E60" s="42" t="e">
        <f t="shared" si="0"/>
        <v>#DIV/0!</v>
      </c>
    </row>
    <row r="61" spans="5:5" x14ac:dyDescent="0.2">
      <c r="E61" s="42" t="e">
        <f t="shared" si="0"/>
        <v>#DIV/0!</v>
      </c>
    </row>
    <row r="62" spans="5:5" x14ac:dyDescent="0.2">
      <c r="E62" s="42" t="e">
        <f t="shared" si="0"/>
        <v>#DIV/0!</v>
      </c>
    </row>
    <row r="63" spans="5:5" x14ac:dyDescent="0.2">
      <c r="E63" s="42" t="e">
        <f t="shared" si="0"/>
        <v>#DIV/0!</v>
      </c>
    </row>
    <row r="64" spans="5:5" x14ac:dyDescent="0.2">
      <c r="E64" s="42" t="e">
        <f t="shared" si="0"/>
        <v>#DIV/0!</v>
      </c>
    </row>
    <row r="65" spans="5:5" x14ac:dyDescent="0.2">
      <c r="E65" s="42" t="e">
        <f t="shared" si="0"/>
        <v>#DIV/0!</v>
      </c>
    </row>
    <row r="66" spans="5:5" x14ac:dyDescent="0.2">
      <c r="E66" s="42" t="e">
        <f t="shared" si="0"/>
        <v>#DIV/0!</v>
      </c>
    </row>
    <row r="67" spans="5:5" x14ac:dyDescent="0.2">
      <c r="E67" s="42" t="e">
        <f t="shared" si="0"/>
        <v>#DIV/0!</v>
      </c>
    </row>
    <row r="68" spans="5:5" x14ac:dyDescent="0.2">
      <c r="E68" s="42" t="e">
        <f t="shared" si="0"/>
        <v>#DIV/0!</v>
      </c>
    </row>
    <row r="69" spans="5:5" x14ac:dyDescent="0.2">
      <c r="E69" s="42" t="e">
        <f t="shared" ref="E69:E105" si="1">D69/B69</f>
        <v>#DIV/0!</v>
      </c>
    </row>
    <row r="70" spans="5:5" x14ac:dyDescent="0.2">
      <c r="E70" s="42" t="e">
        <f t="shared" si="1"/>
        <v>#DIV/0!</v>
      </c>
    </row>
    <row r="71" spans="5:5" x14ac:dyDescent="0.2">
      <c r="E71" s="42" t="e">
        <f t="shared" si="1"/>
        <v>#DIV/0!</v>
      </c>
    </row>
    <row r="72" spans="5:5" x14ac:dyDescent="0.2">
      <c r="E72" s="42" t="e">
        <f t="shared" si="1"/>
        <v>#DIV/0!</v>
      </c>
    </row>
    <row r="73" spans="5:5" x14ac:dyDescent="0.2">
      <c r="E73" s="42" t="e">
        <f t="shared" si="1"/>
        <v>#DIV/0!</v>
      </c>
    </row>
    <row r="74" spans="5:5" x14ac:dyDescent="0.2">
      <c r="E74" s="42" t="e">
        <f t="shared" si="1"/>
        <v>#DIV/0!</v>
      </c>
    </row>
    <row r="75" spans="5:5" x14ac:dyDescent="0.2">
      <c r="E75" s="42" t="e">
        <f t="shared" si="1"/>
        <v>#DIV/0!</v>
      </c>
    </row>
    <row r="76" spans="5:5" x14ac:dyDescent="0.2">
      <c r="E76" s="42" t="e">
        <f t="shared" si="1"/>
        <v>#DIV/0!</v>
      </c>
    </row>
    <row r="77" spans="5:5" x14ac:dyDescent="0.2">
      <c r="E77" s="42" t="e">
        <f t="shared" si="1"/>
        <v>#DIV/0!</v>
      </c>
    </row>
    <row r="78" spans="5:5" x14ac:dyDescent="0.2">
      <c r="E78" s="42" t="e">
        <f t="shared" si="1"/>
        <v>#DIV/0!</v>
      </c>
    </row>
    <row r="79" spans="5:5" x14ac:dyDescent="0.2">
      <c r="E79" s="42" t="e">
        <f t="shared" si="1"/>
        <v>#DIV/0!</v>
      </c>
    </row>
    <row r="80" spans="5:5" x14ac:dyDescent="0.2">
      <c r="E80" s="42" t="e">
        <f t="shared" si="1"/>
        <v>#DIV/0!</v>
      </c>
    </row>
    <row r="81" spans="5:5" x14ac:dyDescent="0.2">
      <c r="E81" s="42" t="e">
        <f t="shared" si="1"/>
        <v>#DIV/0!</v>
      </c>
    </row>
    <row r="82" spans="5:5" x14ac:dyDescent="0.2">
      <c r="E82" s="42" t="e">
        <f t="shared" si="1"/>
        <v>#DIV/0!</v>
      </c>
    </row>
    <row r="83" spans="5:5" x14ac:dyDescent="0.2">
      <c r="E83" s="42" t="e">
        <f t="shared" si="1"/>
        <v>#DIV/0!</v>
      </c>
    </row>
    <row r="84" spans="5:5" x14ac:dyDescent="0.2">
      <c r="E84" s="42" t="e">
        <f t="shared" si="1"/>
        <v>#DIV/0!</v>
      </c>
    </row>
    <row r="85" spans="5:5" x14ac:dyDescent="0.2">
      <c r="E85" s="42" t="e">
        <f t="shared" si="1"/>
        <v>#DIV/0!</v>
      </c>
    </row>
    <row r="86" spans="5:5" x14ac:dyDescent="0.2">
      <c r="E86" s="42" t="e">
        <f t="shared" si="1"/>
        <v>#DIV/0!</v>
      </c>
    </row>
    <row r="87" spans="5:5" x14ac:dyDescent="0.2">
      <c r="E87" s="42" t="e">
        <f t="shared" si="1"/>
        <v>#DIV/0!</v>
      </c>
    </row>
    <row r="88" spans="5:5" x14ac:dyDescent="0.2">
      <c r="E88" s="42" t="e">
        <f t="shared" si="1"/>
        <v>#DIV/0!</v>
      </c>
    </row>
    <row r="89" spans="5:5" x14ac:dyDescent="0.2">
      <c r="E89" s="42" t="e">
        <f t="shared" si="1"/>
        <v>#DIV/0!</v>
      </c>
    </row>
    <row r="90" spans="5:5" x14ac:dyDescent="0.2">
      <c r="E90" s="42" t="e">
        <f t="shared" si="1"/>
        <v>#DIV/0!</v>
      </c>
    </row>
    <row r="91" spans="5:5" x14ac:dyDescent="0.2">
      <c r="E91" s="42" t="e">
        <f t="shared" si="1"/>
        <v>#DIV/0!</v>
      </c>
    </row>
    <row r="92" spans="5:5" x14ac:dyDescent="0.2">
      <c r="E92" s="42" t="e">
        <f t="shared" si="1"/>
        <v>#DIV/0!</v>
      </c>
    </row>
    <row r="93" spans="5:5" x14ac:dyDescent="0.2">
      <c r="E93" s="42" t="e">
        <f t="shared" si="1"/>
        <v>#DIV/0!</v>
      </c>
    </row>
    <row r="94" spans="5:5" x14ac:dyDescent="0.2">
      <c r="E94" s="42" t="e">
        <f t="shared" si="1"/>
        <v>#DIV/0!</v>
      </c>
    </row>
    <row r="95" spans="5:5" x14ac:dyDescent="0.2">
      <c r="E95" s="42" t="e">
        <f t="shared" si="1"/>
        <v>#DIV/0!</v>
      </c>
    </row>
    <row r="96" spans="5:5" x14ac:dyDescent="0.2">
      <c r="E96" s="42" t="e">
        <f t="shared" si="1"/>
        <v>#DIV/0!</v>
      </c>
    </row>
    <row r="97" spans="5:5" x14ac:dyDescent="0.2">
      <c r="E97" s="42" t="e">
        <f t="shared" si="1"/>
        <v>#DIV/0!</v>
      </c>
    </row>
    <row r="98" spans="5:5" x14ac:dyDescent="0.2">
      <c r="E98" s="42" t="e">
        <f t="shared" si="1"/>
        <v>#DIV/0!</v>
      </c>
    </row>
    <row r="99" spans="5:5" x14ac:dyDescent="0.2">
      <c r="E99" s="42" t="e">
        <f t="shared" si="1"/>
        <v>#DIV/0!</v>
      </c>
    </row>
    <row r="100" spans="5:5" x14ac:dyDescent="0.2">
      <c r="E100" s="42" t="e">
        <f t="shared" si="1"/>
        <v>#DIV/0!</v>
      </c>
    </row>
    <row r="101" spans="5:5" x14ac:dyDescent="0.2">
      <c r="E101" s="42" t="e">
        <f t="shared" si="1"/>
        <v>#DIV/0!</v>
      </c>
    </row>
    <row r="102" spans="5:5" x14ac:dyDescent="0.2">
      <c r="E102" s="42" t="e">
        <f t="shared" si="1"/>
        <v>#DIV/0!</v>
      </c>
    </row>
    <row r="103" spans="5:5" x14ac:dyDescent="0.2">
      <c r="E103" s="42" t="e">
        <f t="shared" si="1"/>
        <v>#DIV/0!</v>
      </c>
    </row>
    <row r="104" spans="5:5" x14ac:dyDescent="0.2">
      <c r="E104" s="42" t="e">
        <f t="shared" si="1"/>
        <v>#DIV/0!</v>
      </c>
    </row>
    <row r="105" spans="5:5" x14ac:dyDescent="0.2">
      <c r="E105" s="42" t="e">
        <f t="shared" si="1"/>
        <v>#DIV/0!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110"/>
  <sheetViews>
    <sheetView tabSelected="1" zoomScale="70" zoomScaleNormal="70" workbookViewId="0">
      <selection activeCell="F16" sqref="F16"/>
    </sheetView>
  </sheetViews>
  <sheetFormatPr defaultColWidth="9.140625" defaultRowHeight="15.75" x14ac:dyDescent="0.25"/>
  <cols>
    <col min="1" max="1" width="7.140625" style="1" bestFit="1" customWidth="1"/>
    <col min="2" max="2" width="6.5703125" style="1" bestFit="1" customWidth="1"/>
    <col min="3" max="3" width="16.42578125" style="1" bestFit="1" customWidth="1"/>
    <col min="4" max="4" width="14.85546875" style="1" bestFit="1" customWidth="1"/>
    <col min="5" max="5" width="26.7109375" style="1" bestFit="1" customWidth="1"/>
    <col min="6" max="6" width="12.5703125" style="1" bestFit="1" customWidth="1"/>
    <col min="7" max="7" width="58.5703125" style="1" bestFit="1" customWidth="1"/>
    <col min="8" max="11" width="11.28515625" style="1" bestFit="1" customWidth="1"/>
    <col min="12" max="12" width="16.85546875" style="1" bestFit="1" customWidth="1"/>
    <col min="13" max="13" width="11.28515625" style="1" bestFit="1" customWidth="1"/>
    <col min="14" max="14" width="19" style="1" bestFit="1" customWidth="1"/>
    <col min="15" max="18" width="21.5703125" style="1" bestFit="1" customWidth="1"/>
    <col min="19" max="19" width="16.42578125" style="1" bestFit="1" customWidth="1"/>
    <col min="20" max="21" width="16.85546875" style="1" bestFit="1" customWidth="1"/>
    <col min="22" max="24" width="16.42578125" style="1" bestFit="1" customWidth="1"/>
    <col min="25" max="16384" width="9.14062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936</v>
      </c>
      <c r="G1" s="1" t="s">
        <v>249</v>
      </c>
      <c r="H1" s="1" t="s">
        <v>937</v>
      </c>
      <c r="I1" s="1" t="s">
        <v>938</v>
      </c>
      <c r="J1" s="1" t="s">
        <v>939</v>
      </c>
      <c r="K1" s="1" t="s">
        <v>940</v>
      </c>
      <c r="L1" s="1" t="s">
        <v>941</v>
      </c>
      <c r="M1" s="1" t="s">
        <v>942</v>
      </c>
      <c r="N1" s="1" t="s">
        <v>943</v>
      </c>
      <c r="O1" s="1" t="s">
        <v>944</v>
      </c>
      <c r="P1" s="1" t="s">
        <v>945</v>
      </c>
      <c r="Q1" s="1" t="s">
        <v>946</v>
      </c>
      <c r="R1" s="1" t="s">
        <v>947</v>
      </c>
      <c r="S1" s="1" t="s">
        <v>948</v>
      </c>
      <c r="T1" s="1" t="s">
        <v>949</v>
      </c>
      <c r="U1" s="1" t="s">
        <v>950</v>
      </c>
      <c r="V1" s="1" t="s">
        <v>951</v>
      </c>
      <c r="W1" s="1" t="s">
        <v>952</v>
      </c>
      <c r="X1" s="1" t="s">
        <v>953</v>
      </c>
    </row>
    <row r="2" spans="1:24" x14ac:dyDescent="0.25">
      <c r="A2" s="1">
        <v>2018</v>
      </c>
      <c r="B2" s="1">
        <v>3</v>
      </c>
      <c r="C2" s="1" t="s">
        <v>21</v>
      </c>
      <c r="D2" s="1" t="s">
        <v>22</v>
      </c>
      <c r="E2" s="1" t="s">
        <v>23</v>
      </c>
      <c r="F2" s="1" t="s">
        <v>279</v>
      </c>
      <c r="G2" s="1" t="s">
        <v>821</v>
      </c>
      <c r="H2" s="1">
        <v>0</v>
      </c>
      <c r="I2" s="1">
        <v>0</v>
      </c>
      <c r="J2" s="1">
        <v>0</v>
      </c>
      <c r="K2" s="1">
        <v>16</v>
      </c>
      <c r="L2" s="1">
        <v>368.5</v>
      </c>
      <c r="M2" s="1">
        <v>5896</v>
      </c>
      <c r="N2" s="1">
        <v>0</v>
      </c>
      <c r="O2" s="1">
        <v>368.5</v>
      </c>
      <c r="P2" s="1">
        <v>16</v>
      </c>
      <c r="Q2" s="1">
        <v>368.5</v>
      </c>
      <c r="R2" s="1">
        <v>5896</v>
      </c>
      <c r="S2" s="1">
        <v>16</v>
      </c>
      <c r="T2" s="1">
        <v>368.5</v>
      </c>
      <c r="U2" s="1">
        <v>5896</v>
      </c>
      <c r="V2" s="1">
        <v>0</v>
      </c>
      <c r="W2" s="1">
        <v>0</v>
      </c>
      <c r="X2" s="1">
        <v>0</v>
      </c>
    </row>
    <row r="3" spans="1:24" x14ac:dyDescent="0.25">
      <c r="A3" s="1">
        <v>2018</v>
      </c>
      <c r="B3" s="1">
        <v>3</v>
      </c>
      <c r="C3" s="1" t="s">
        <v>21</v>
      </c>
      <c r="D3" s="1" t="s">
        <v>22</v>
      </c>
      <c r="E3" s="1" t="s">
        <v>23</v>
      </c>
      <c r="F3" s="1" t="s">
        <v>273</v>
      </c>
      <c r="G3" s="1" t="s">
        <v>815</v>
      </c>
      <c r="H3" s="1">
        <v>0</v>
      </c>
      <c r="I3" s="1">
        <v>0</v>
      </c>
      <c r="J3" s="1">
        <v>0</v>
      </c>
      <c r="K3" s="1">
        <v>19</v>
      </c>
      <c r="L3" s="1">
        <v>2216.2631578946998</v>
      </c>
      <c r="M3" s="1">
        <v>42109</v>
      </c>
      <c r="N3" s="1">
        <v>0</v>
      </c>
      <c r="O3" s="1">
        <v>2216.263157894</v>
      </c>
      <c r="P3" s="1">
        <v>19</v>
      </c>
      <c r="Q3" s="1">
        <v>2216.26315789</v>
      </c>
      <c r="R3" s="1">
        <v>42109</v>
      </c>
      <c r="S3" s="1">
        <v>19</v>
      </c>
      <c r="T3" s="1">
        <v>2216.26315789</v>
      </c>
      <c r="U3" s="1">
        <v>42109</v>
      </c>
      <c r="V3" s="1">
        <v>0</v>
      </c>
      <c r="W3" s="1">
        <v>0</v>
      </c>
      <c r="X3" s="1">
        <v>0</v>
      </c>
    </row>
    <row r="4" spans="1:24" x14ac:dyDescent="0.25">
      <c r="A4" s="1">
        <v>2018</v>
      </c>
      <c r="B4" s="1">
        <v>3</v>
      </c>
      <c r="C4" s="1" t="s">
        <v>21</v>
      </c>
      <c r="D4" s="1" t="s">
        <v>22</v>
      </c>
      <c r="E4" s="1" t="s">
        <v>23</v>
      </c>
      <c r="F4" s="1" t="s">
        <v>264</v>
      </c>
      <c r="G4" s="1" t="s">
        <v>806</v>
      </c>
      <c r="H4" s="1">
        <v>0</v>
      </c>
      <c r="I4" s="1">
        <v>0</v>
      </c>
      <c r="J4" s="1">
        <v>0</v>
      </c>
      <c r="K4" s="1">
        <v>1250</v>
      </c>
      <c r="L4" s="1">
        <v>152</v>
      </c>
      <c r="M4" s="1">
        <v>190000</v>
      </c>
      <c r="N4" s="1">
        <v>0</v>
      </c>
      <c r="O4" s="1">
        <v>152</v>
      </c>
      <c r="P4" s="1">
        <v>1250</v>
      </c>
      <c r="Q4" s="1">
        <v>152</v>
      </c>
      <c r="R4" s="1">
        <v>190000</v>
      </c>
      <c r="S4" s="1">
        <v>1250</v>
      </c>
      <c r="T4" s="1">
        <v>152</v>
      </c>
      <c r="U4" s="1">
        <v>190000</v>
      </c>
      <c r="V4" s="1">
        <v>0</v>
      </c>
      <c r="W4" s="1">
        <v>0</v>
      </c>
      <c r="X4" s="1">
        <v>0</v>
      </c>
    </row>
    <row r="5" spans="1:24" x14ac:dyDescent="0.25">
      <c r="A5" s="1">
        <v>2018</v>
      </c>
      <c r="B5" s="1">
        <v>3</v>
      </c>
      <c r="C5" s="1" t="s">
        <v>21</v>
      </c>
      <c r="D5" s="1" t="s">
        <v>22</v>
      </c>
      <c r="E5" s="1" t="s">
        <v>23</v>
      </c>
      <c r="F5" s="1" t="s">
        <v>260</v>
      </c>
      <c r="G5" s="1" t="s">
        <v>802</v>
      </c>
      <c r="H5" s="1">
        <v>0</v>
      </c>
      <c r="I5" s="1">
        <v>0</v>
      </c>
      <c r="J5" s="1">
        <v>0</v>
      </c>
      <c r="K5" s="1">
        <v>428</v>
      </c>
      <c r="L5" s="1">
        <v>103.0163551401</v>
      </c>
      <c r="M5" s="1">
        <v>44091</v>
      </c>
      <c r="N5" s="1">
        <v>0</v>
      </c>
      <c r="O5" s="1">
        <v>103.01635514</v>
      </c>
      <c r="P5" s="1">
        <v>428</v>
      </c>
      <c r="Q5" s="1">
        <v>103.01635514</v>
      </c>
      <c r="R5" s="1">
        <v>44091</v>
      </c>
      <c r="S5" s="1">
        <v>428</v>
      </c>
      <c r="T5" s="1">
        <v>103.01635514</v>
      </c>
      <c r="U5" s="1">
        <v>44091</v>
      </c>
      <c r="V5" s="1">
        <v>0</v>
      </c>
      <c r="W5" s="1">
        <v>0</v>
      </c>
      <c r="X5" s="1">
        <v>0</v>
      </c>
    </row>
    <row r="6" spans="1:24" x14ac:dyDescent="0.25">
      <c r="A6" s="1">
        <v>2018</v>
      </c>
      <c r="B6" s="1">
        <v>3</v>
      </c>
      <c r="C6" s="1" t="s">
        <v>21</v>
      </c>
      <c r="D6" s="1" t="s">
        <v>22</v>
      </c>
      <c r="E6" s="1" t="s">
        <v>23</v>
      </c>
      <c r="F6" s="1" t="s">
        <v>274</v>
      </c>
      <c r="G6" s="1" t="s">
        <v>816</v>
      </c>
      <c r="H6" s="1">
        <v>0</v>
      </c>
      <c r="I6" s="1">
        <v>0</v>
      </c>
      <c r="J6" s="1">
        <v>0</v>
      </c>
      <c r="K6" s="1">
        <v>17</v>
      </c>
      <c r="L6" s="1">
        <v>1099.2352941176</v>
      </c>
      <c r="M6" s="1">
        <v>18687</v>
      </c>
      <c r="N6" s="1">
        <v>0</v>
      </c>
      <c r="O6" s="1">
        <v>1099.235294117</v>
      </c>
      <c r="P6" s="1">
        <v>17</v>
      </c>
      <c r="Q6" s="1">
        <v>1099.23529411</v>
      </c>
      <c r="R6" s="1">
        <v>18687</v>
      </c>
      <c r="S6" s="1">
        <v>17</v>
      </c>
      <c r="T6" s="1">
        <v>1099.23529411</v>
      </c>
      <c r="U6" s="1">
        <v>18687</v>
      </c>
      <c r="V6" s="1">
        <v>0</v>
      </c>
      <c r="W6" s="1">
        <v>0</v>
      </c>
      <c r="X6" s="1">
        <v>0</v>
      </c>
    </row>
    <row r="7" spans="1:24" x14ac:dyDescent="0.25">
      <c r="A7" s="1">
        <v>2018</v>
      </c>
      <c r="B7" s="1">
        <v>3</v>
      </c>
      <c r="C7" s="1" t="s">
        <v>21</v>
      </c>
      <c r="D7" s="1" t="s">
        <v>22</v>
      </c>
      <c r="E7" s="1" t="s">
        <v>23</v>
      </c>
      <c r="F7" s="1" t="s">
        <v>267</v>
      </c>
      <c r="G7" s="1" t="s">
        <v>809</v>
      </c>
      <c r="H7" s="1">
        <v>0</v>
      </c>
      <c r="I7" s="1">
        <v>0</v>
      </c>
      <c r="J7" s="1">
        <v>0</v>
      </c>
      <c r="K7" s="1">
        <v>17</v>
      </c>
      <c r="L7" s="1">
        <v>1243.1764705881999</v>
      </c>
      <c r="M7" s="1">
        <v>21134</v>
      </c>
      <c r="N7" s="1">
        <v>0</v>
      </c>
      <c r="O7" s="1">
        <v>1243.176470588</v>
      </c>
      <c r="P7" s="1">
        <v>17</v>
      </c>
      <c r="Q7" s="1">
        <v>1243.1764705799999</v>
      </c>
      <c r="R7" s="1">
        <v>21134</v>
      </c>
      <c r="S7" s="1">
        <v>17</v>
      </c>
      <c r="T7" s="1">
        <v>1243.1764705799999</v>
      </c>
      <c r="U7" s="1">
        <v>21134</v>
      </c>
      <c r="V7" s="1">
        <v>0</v>
      </c>
      <c r="W7" s="1">
        <v>0</v>
      </c>
      <c r="X7" s="1">
        <v>0</v>
      </c>
    </row>
    <row r="8" spans="1:24" x14ac:dyDescent="0.25">
      <c r="A8" s="1">
        <v>2018</v>
      </c>
      <c r="B8" s="1">
        <v>3</v>
      </c>
      <c r="C8" s="1" t="s">
        <v>21</v>
      </c>
      <c r="D8" s="1" t="s">
        <v>22</v>
      </c>
      <c r="E8" s="1" t="s">
        <v>23</v>
      </c>
      <c r="F8" s="1" t="s">
        <v>262</v>
      </c>
      <c r="G8" s="1" t="s">
        <v>804</v>
      </c>
      <c r="H8" s="1">
        <v>0</v>
      </c>
      <c r="I8" s="1">
        <v>0</v>
      </c>
      <c r="J8" s="1">
        <v>0</v>
      </c>
      <c r="K8" s="1">
        <v>415.6</v>
      </c>
      <c r="L8" s="1">
        <v>81.000962463899995</v>
      </c>
      <c r="M8" s="1">
        <v>33664</v>
      </c>
      <c r="N8" s="1">
        <v>0</v>
      </c>
      <c r="O8" s="1">
        <v>81.000962462999993</v>
      </c>
      <c r="P8" s="1">
        <v>415.6</v>
      </c>
      <c r="Q8" s="1">
        <v>81.000962459999997</v>
      </c>
      <c r="R8" s="1">
        <v>33664</v>
      </c>
      <c r="S8" s="1">
        <v>415.6</v>
      </c>
      <c r="T8" s="1">
        <v>81.000962459999997</v>
      </c>
      <c r="U8" s="1">
        <v>33663.999997999999</v>
      </c>
      <c r="V8" s="1">
        <v>0</v>
      </c>
      <c r="W8" s="1">
        <v>0</v>
      </c>
      <c r="X8" s="1">
        <v>1.9999999999999999E-6</v>
      </c>
    </row>
    <row r="9" spans="1:24" x14ac:dyDescent="0.25">
      <c r="A9" s="1">
        <v>2018</v>
      </c>
      <c r="B9" s="1">
        <v>3</v>
      </c>
      <c r="C9" s="1" t="s">
        <v>21</v>
      </c>
      <c r="D9" s="1" t="s">
        <v>22</v>
      </c>
      <c r="E9" s="1" t="s">
        <v>23</v>
      </c>
      <c r="F9" s="1" t="s">
        <v>280</v>
      </c>
      <c r="G9" s="1" t="s">
        <v>822</v>
      </c>
      <c r="H9" s="1">
        <v>0</v>
      </c>
      <c r="I9" s="1">
        <v>0</v>
      </c>
      <c r="J9" s="1">
        <v>0</v>
      </c>
      <c r="K9" s="1">
        <v>30</v>
      </c>
      <c r="L9" s="1">
        <v>443.26666666659997</v>
      </c>
      <c r="M9" s="1">
        <v>13298</v>
      </c>
      <c r="N9" s="1">
        <v>0</v>
      </c>
      <c r="O9" s="1">
        <v>443.26666666599999</v>
      </c>
      <c r="P9" s="1">
        <v>30</v>
      </c>
      <c r="Q9" s="1">
        <v>443.26666666</v>
      </c>
      <c r="R9" s="1">
        <v>13298</v>
      </c>
      <c r="S9" s="1">
        <v>30</v>
      </c>
      <c r="T9" s="1">
        <v>443.26666666</v>
      </c>
      <c r="U9" s="1">
        <v>13298</v>
      </c>
      <c r="V9" s="1">
        <v>0</v>
      </c>
      <c r="W9" s="1">
        <v>0</v>
      </c>
      <c r="X9" s="1">
        <v>0</v>
      </c>
    </row>
    <row r="10" spans="1:24" x14ac:dyDescent="0.25">
      <c r="A10" s="1">
        <v>2018</v>
      </c>
      <c r="B10" s="1">
        <v>3</v>
      </c>
      <c r="C10" s="1" t="s">
        <v>21</v>
      </c>
      <c r="D10" s="1" t="s">
        <v>22</v>
      </c>
      <c r="E10" s="1" t="s">
        <v>23</v>
      </c>
      <c r="F10" s="1" t="s">
        <v>276</v>
      </c>
      <c r="G10" s="1" t="s">
        <v>818</v>
      </c>
      <c r="H10" s="1">
        <v>0</v>
      </c>
      <c r="I10" s="1">
        <v>0</v>
      </c>
      <c r="J10" s="1">
        <v>0</v>
      </c>
      <c r="K10" s="1">
        <v>3</v>
      </c>
      <c r="L10" s="1">
        <v>3247</v>
      </c>
      <c r="M10" s="1">
        <v>9741</v>
      </c>
      <c r="N10" s="1">
        <v>0</v>
      </c>
      <c r="O10" s="1">
        <v>3247</v>
      </c>
      <c r="P10" s="1">
        <v>3</v>
      </c>
      <c r="Q10" s="1">
        <v>3247</v>
      </c>
      <c r="R10" s="1">
        <v>9741</v>
      </c>
      <c r="S10" s="1">
        <v>3</v>
      </c>
      <c r="T10" s="1">
        <v>3247</v>
      </c>
      <c r="U10" s="1">
        <v>9741</v>
      </c>
      <c r="V10" s="1">
        <v>0</v>
      </c>
      <c r="W10" s="1">
        <v>0</v>
      </c>
      <c r="X10" s="1">
        <v>0</v>
      </c>
    </row>
    <row r="11" spans="1:24" x14ac:dyDescent="0.25">
      <c r="A11" s="1">
        <v>2018</v>
      </c>
      <c r="B11" s="1">
        <v>3</v>
      </c>
      <c r="C11" s="1" t="s">
        <v>21</v>
      </c>
      <c r="D11" s="1" t="s">
        <v>22</v>
      </c>
      <c r="E11" s="1" t="s">
        <v>23</v>
      </c>
      <c r="F11" s="1" t="s">
        <v>268</v>
      </c>
      <c r="G11" s="1" t="s">
        <v>810</v>
      </c>
      <c r="H11" s="1">
        <v>0</v>
      </c>
      <c r="I11" s="1">
        <v>0</v>
      </c>
      <c r="J11" s="1">
        <v>0</v>
      </c>
      <c r="K11" s="1">
        <v>26</v>
      </c>
      <c r="L11" s="1">
        <v>713</v>
      </c>
      <c r="M11" s="1">
        <v>18538</v>
      </c>
      <c r="N11" s="1">
        <v>0</v>
      </c>
      <c r="O11" s="1">
        <v>713</v>
      </c>
      <c r="P11" s="1">
        <v>26</v>
      </c>
      <c r="Q11" s="1">
        <v>713</v>
      </c>
      <c r="R11" s="1">
        <v>18538</v>
      </c>
      <c r="S11" s="1">
        <v>26</v>
      </c>
      <c r="T11" s="1">
        <v>713</v>
      </c>
      <c r="U11" s="1">
        <v>18538</v>
      </c>
      <c r="V11" s="1">
        <v>0</v>
      </c>
      <c r="W11" s="1">
        <v>0</v>
      </c>
      <c r="X11" s="1">
        <v>0</v>
      </c>
    </row>
    <row r="12" spans="1:24" x14ac:dyDescent="0.25">
      <c r="A12" s="1">
        <v>2018</v>
      </c>
      <c r="B12" s="1">
        <v>3</v>
      </c>
      <c r="C12" s="1" t="s">
        <v>21</v>
      </c>
      <c r="D12" s="1" t="s">
        <v>22</v>
      </c>
      <c r="E12" s="1" t="s">
        <v>23</v>
      </c>
      <c r="F12" s="1" t="s">
        <v>258</v>
      </c>
      <c r="G12" s="1" t="s">
        <v>800</v>
      </c>
      <c r="H12" s="1">
        <v>0</v>
      </c>
      <c r="I12" s="1">
        <v>0</v>
      </c>
      <c r="J12" s="1">
        <v>0</v>
      </c>
      <c r="K12" s="1">
        <v>20</v>
      </c>
      <c r="L12" s="1">
        <v>229.6</v>
      </c>
      <c r="M12" s="1">
        <v>4592</v>
      </c>
      <c r="N12" s="1">
        <v>0</v>
      </c>
      <c r="O12" s="1">
        <v>229.6</v>
      </c>
      <c r="P12" s="1">
        <v>20</v>
      </c>
      <c r="Q12" s="1">
        <v>229.6</v>
      </c>
      <c r="R12" s="1">
        <v>4592</v>
      </c>
      <c r="S12" s="1">
        <v>20</v>
      </c>
      <c r="T12" s="1">
        <v>229.6</v>
      </c>
      <c r="U12" s="1">
        <v>4592</v>
      </c>
      <c r="V12" s="1">
        <v>0</v>
      </c>
      <c r="W12" s="1">
        <v>0</v>
      </c>
      <c r="X12" s="1">
        <v>0</v>
      </c>
    </row>
    <row r="13" spans="1:24" x14ac:dyDescent="0.25">
      <c r="A13" s="1">
        <v>2018</v>
      </c>
      <c r="B13" s="1">
        <v>3</v>
      </c>
      <c r="C13" s="1" t="s">
        <v>21</v>
      </c>
      <c r="D13" s="1" t="s">
        <v>22</v>
      </c>
      <c r="E13" s="1" t="s">
        <v>23</v>
      </c>
      <c r="F13" s="1" t="s">
        <v>275</v>
      </c>
      <c r="G13" s="1" t="s">
        <v>817</v>
      </c>
      <c r="H13" s="1">
        <v>0</v>
      </c>
      <c r="I13" s="1">
        <v>0</v>
      </c>
      <c r="J13" s="1">
        <v>0</v>
      </c>
      <c r="K13" s="1">
        <v>54</v>
      </c>
      <c r="L13" s="1">
        <v>1477.5185185185001</v>
      </c>
      <c r="M13" s="1">
        <v>79786</v>
      </c>
      <c r="N13" s="1">
        <v>0</v>
      </c>
      <c r="O13" s="1">
        <v>1477.5185185180001</v>
      </c>
      <c r="P13" s="1">
        <v>54</v>
      </c>
      <c r="Q13" s="1">
        <v>1477.5185185099999</v>
      </c>
      <c r="R13" s="1">
        <v>79786</v>
      </c>
      <c r="S13" s="1">
        <v>54</v>
      </c>
      <c r="T13" s="1">
        <v>1477.5185185099999</v>
      </c>
      <c r="U13" s="1">
        <v>79786</v>
      </c>
      <c r="V13" s="1">
        <v>0</v>
      </c>
      <c r="W13" s="1">
        <v>0</v>
      </c>
      <c r="X13" s="1">
        <v>0</v>
      </c>
    </row>
    <row r="14" spans="1:24" x14ac:dyDescent="0.25">
      <c r="A14" s="1">
        <v>2018</v>
      </c>
      <c r="B14" s="1">
        <v>3</v>
      </c>
      <c r="C14" s="1" t="s">
        <v>21</v>
      </c>
      <c r="D14" s="1" t="s">
        <v>22</v>
      </c>
      <c r="E14" s="1" t="s">
        <v>23</v>
      </c>
      <c r="F14" s="1" t="s">
        <v>269</v>
      </c>
      <c r="G14" s="1" t="s">
        <v>811</v>
      </c>
      <c r="H14" s="1">
        <v>0</v>
      </c>
      <c r="I14" s="1">
        <v>0</v>
      </c>
      <c r="J14" s="1">
        <v>0</v>
      </c>
      <c r="K14" s="1">
        <v>45</v>
      </c>
      <c r="L14" s="1">
        <v>895.37777777769998</v>
      </c>
      <c r="M14" s="1">
        <v>40292</v>
      </c>
      <c r="N14" s="1">
        <v>0</v>
      </c>
      <c r="O14" s="1">
        <v>895.37777777700001</v>
      </c>
      <c r="P14" s="1">
        <v>45</v>
      </c>
      <c r="Q14" s="1">
        <v>895.37777776999997</v>
      </c>
      <c r="R14" s="1">
        <v>40292</v>
      </c>
      <c r="S14" s="1">
        <v>45</v>
      </c>
      <c r="T14" s="1">
        <v>895.37777776999997</v>
      </c>
      <c r="U14" s="1">
        <v>40292</v>
      </c>
      <c r="V14" s="1">
        <v>0</v>
      </c>
      <c r="W14" s="1">
        <v>0</v>
      </c>
      <c r="X14" s="1">
        <v>0</v>
      </c>
    </row>
    <row r="15" spans="1:24" x14ac:dyDescent="0.25">
      <c r="A15" s="1">
        <v>2018</v>
      </c>
      <c r="B15" s="1">
        <v>3</v>
      </c>
      <c r="C15" s="1" t="s">
        <v>21</v>
      </c>
      <c r="D15" s="1" t="s">
        <v>22</v>
      </c>
      <c r="E15" s="1" t="s">
        <v>23</v>
      </c>
      <c r="F15" s="1" t="s">
        <v>263</v>
      </c>
      <c r="G15" s="1" t="s">
        <v>805</v>
      </c>
      <c r="H15" s="1">
        <v>0</v>
      </c>
      <c r="I15" s="1">
        <v>0</v>
      </c>
      <c r="J15" s="1">
        <v>0</v>
      </c>
      <c r="K15" s="1">
        <v>36</v>
      </c>
      <c r="L15" s="1">
        <v>369.2222222222</v>
      </c>
      <c r="M15" s="1">
        <v>13292</v>
      </c>
      <c r="N15" s="1">
        <v>0</v>
      </c>
      <c r="O15" s="1">
        <v>369.22222222200003</v>
      </c>
      <c r="P15" s="1">
        <v>36</v>
      </c>
      <c r="Q15" s="1">
        <v>369.22222221999999</v>
      </c>
      <c r="R15" s="1">
        <v>13292</v>
      </c>
      <c r="S15" s="1">
        <v>36</v>
      </c>
      <c r="T15" s="1">
        <v>369.22222221999999</v>
      </c>
      <c r="U15" s="1">
        <v>13292</v>
      </c>
      <c r="V15" s="1">
        <v>0</v>
      </c>
      <c r="W15" s="1">
        <v>0</v>
      </c>
      <c r="X15" s="1">
        <v>0</v>
      </c>
    </row>
    <row r="16" spans="1:24" x14ac:dyDescent="0.25">
      <c r="A16" s="1">
        <v>2018</v>
      </c>
      <c r="B16" s="1">
        <v>3</v>
      </c>
      <c r="C16" s="1" t="s">
        <v>21</v>
      </c>
      <c r="D16" s="1" t="s">
        <v>22</v>
      </c>
      <c r="E16" s="1" t="s">
        <v>23</v>
      </c>
      <c r="F16" s="1" t="s">
        <v>253</v>
      </c>
      <c r="G16" s="1" t="s">
        <v>796</v>
      </c>
      <c r="H16" s="1">
        <v>0</v>
      </c>
      <c r="I16" s="1">
        <v>0</v>
      </c>
      <c r="J16" s="1">
        <v>0</v>
      </c>
      <c r="K16" s="1">
        <v>300</v>
      </c>
      <c r="L16" s="1">
        <v>84.216666666600005</v>
      </c>
      <c r="M16" s="1">
        <v>25265</v>
      </c>
      <c r="N16" s="1">
        <v>0</v>
      </c>
      <c r="O16" s="1">
        <v>84.216666665999995</v>
      </c>
      <c r="P16" s="1">
        <v>300</v>
      </c>
      <c r="Q16" s="1">
        <v>84.216666660000001</v>
      </c>
      <c r="R16" s="1">
        <v>25265</v>
      </c>
      <c r="S16" s="1">
        <v>300</v>
      </c>
      <c r="T16" s="1">
        <v>84.216666660000001</v>
      </c>
      <c r="U16" s="1">
        <v>25264.999997999999</v>
      </c>
      <c r="V16" s="1">
        <v>0</v>
      </c>
      <c r="W16" s="1">
        <v>0</v>
      </c>
      <c r="X16" s="1">
        <v>1.9999999999999999E-6</v>
      </c>
    </row>
    <row r="17" spans="1:24" x14ac:dyDescent="0.25">
      <c r="A17" s="1">
        <v>2018</v>
      </c>
      <c r="B17" s="1">
        <v>3</v>
      </c>
      <c r="C17" s="1" t="s">
        <v>21</v>
      </c>
      <c r="D17" s="1" t="s">
        <v>22</v>
      </c>
      <c r="E17" s="1" t="s">
        <v>23</v>
      </c>
      <c r="F17" s="1" t="s">
        <v>278</v>
      </c>
      <c r="G17" s="1" t="s">
        <v>820</v>
      </c>
      <c r="H17" s="1">
        <v>0</v>
      </c>
      <c r="I17" s="1">
        <v>0</v>
      </c>
      <c r="J17" s="1">
        <v>0</v>
      </c>
      <c r="K17" s="1">
        <v>16</v>
      </c>
      <c r="L17" s="1">
        <v>138.875</v>
      </c>
      <c r="M17" s="1">
        <v>2222</v>
      </c>
      <c r="N17" s="1">
        <v>0</v>
      </c>
      <c r="O17" s="1">
        <v>138.875</v>
      </c>
      <c r="P17" s="1">
        <v>16</v>
      </c>
      <c r="Q17" s="1">
        <v>138.875</v>
      </c>
      <c r="R17" s="1">
        <v>2222</v>
      </c>
      <c r="S17" s="1">
        <v>16</v>
      </c>
      <c r="T17" s="1">
        <v>138.875</v>
      </c>
      <c r="U17" s="1">
        <v>2222</v>
      </c>
      <c r="V17" s="1">
        <v>0</v>
      </c>
      <c r="W17" s="1">
        <v>0</v>
      </c>
      <c r="X17" s="1">
        <v>0</v>
      </c>
    </row>
    <row r="18" spans="1:24" x14ac:dyDescent="0.25">
      <c r="A18" s="1">
        <v>2018</v>
      </c>
      <c r="B18" s="1">
        <v>3</v>
      </c>
      <c r="C18" s="1" t="s">
        <v>21</v>
      </c>
      <c r="D18" s="1" t="s">
        <v>22</v>
      </c>
      <c r="E18" s="1" t="s">
        <v>23</v>
      </c>
      <c r="F18" s="1" t="s">
        <v>271</v>
      </c>
      <c r="G18" s="1" t="s">
        <v>813</v>
      </c>
      <c r="H18" s="1">
        <v>0</v>
      </c>
      <c r="I18" s="1">
        <v>0</v>
      </c>
      <c r="J18" s="1">
        <v>0</v>
      </c>
      <c r="K18" s="1">
        <v>187</v>
      </c>
      <c r="L18" s="1">
        <v>591.00534759350001</v>
      </c>
      <c r="M18" s="1">
        <v>110518</v>
      </c>
      <c r="N18" s="1">
        <v>0</v>
      </c>
      <c r="O18" s="1">
        <v>591.00534759300001</v>
      </c>
      <c r="P18" s="1">
        <v>187</v>
      </c>
      <c r="Q18" s="1">
        <v>591.00534759000004</v>
      </c>
      <c r="R18" s="1">
        <v>110518</v>
      </c>
      <c r="S18" s="1">
        <v>187</v>
      </c>
      <c r="T18" s="1">
        <v>591.00534759000004</v>
      </c>
      <c r="U18" s="1">
        <v>110517.99999900001</v>
      </c>
      <c r="V18" s="1">
        <v>0</v>
      </c>
      <c r="W18" s="1">
        <v>0</v>
      </c>
      <c r="X18" s="1">
        <v>9.9999999999999995E-7</v>
      </c>
    </row>
    <row r="19" spans="1:24" x14ac:dyDescent="0.25">
      <c r="A19" s="1">
        <v>2018</v>
      </c>
      <c r="B19" s="1">
        <v>3</v>
      </c>
      <c r="C19" s="1" t="s">
        <v>21</v>
      </c>
      <c r="D19" s="1" t="s">
        <v>22</v>
      </c>
      <c r="E19" s="1" t="s">
        <v>23</v>
      </c>
      <c r="F19" s="1" t="s">
        <v>265</v>
      </c>
      <c r="G19" s="1" t="s">
        <v>807</v>
      </c>
      <c r="H19" s="1">
        <v>0</v>
      </c>
      <c r="I19" s="1">
        <v>0</v>
      </c>
      <c r="J19" s="1">
        <v>0</v>
      </c>
      <c r="K19" s="1">
        <v>90</v>
      </c>
      <c r="L19" s="1">
        <v>309.05555555550001</v>
      </c>
      <c r="M19" s="1">
        <v>27815</v>
      </c>
      <c r="N19" s="1">
        <v>0</v>
      </c>
      <c r="O19" s="1">
        <v>309.05555555500001</v>
      </c>
      <c r="P19" s="1">
        <v>90</v>
      </c>
      <c r="Q19" s="1">
        <v>309.05555555000001</v>
      </c>
      <c r="R19" s="1">
        <v>27815</v>
      </c>
      <c r="S19" s="1">
        <v>90</v>
      </c>
      <c r="T19" s="1">
        <v>309.05555555000001</v>
      </c>
      <c r="U19" s="1">
        <v>27815</v>
      </c>
      <c r="V19" s="1">
        <v>0</v>
      </c>
      <c r="W19" s="1">
        <v>0</v>
      </c>
      <c r="X19" s="1">
        <v>0</v>
      </c>
    </row>
    <row r="20" spans="1:24" x14ac:dyDescent="0.25">
      <c r="A20" s="1">
        <v>2018</v>
      </c>
      <c r="B20" s="1">
        <v>3</v>
      </c>
      <c r="C20" s="1" t="s">
        <v>21</v>
      </c>
      <c r="D20" s="1" t="s">
        <v>22</v>
      </c>
      <c r="E20" s="1" t="s">
        <v>23</v>
      </c>
      <c r="F20" s="1" t="s">
        <v>259</v>
      </c>
      <c r="G20" s="1" t="s">
        <v>801</v>
      </c>
      <c r="H20" s="1">
        <v>0</v>
      </c>
      <c r="I20" s="1">
        <v>0</v>
      </c>
      <c r="J20" s="1">
        <v>0</v>
      </c>
      <c r="K20" s="1">
        <v>60</v>
      </c>
      <c r="L20" s="1">
        <v>121.03333333330001</v>
      </c>
      <c r="M20" s="1">
        <v>7262</v>
      </c>
      <c r="N20" s="1">
        <v>0</v>
      </c>
      <c r="O20" s="1">
        <v>121.033333333</v>
      </c>
      <c r="P20" s="1">
        <v>60</v>
      </c>
      <c r="Q20" s="1">
        <v>121.03333333</v>
      </c>
      <c r="R20" s="1">
        <v>7262</v>
      </c>
      <c r="S20" s="1">
        <v>60</v>
      </c>
      <c r="T20" s="1">
        <v>121.03333333</v>
      </c>
      <c r="U20" s="1">
        <v>7262</v>
      </c>
      <c r="V20" s="1">
        <v>0</v>
      </c>
      <c r="W20" s="1">
        <v>0</v>
      </c>
      <c r="X20" s="1">
        <v>0</v>
      </c>
    </row>
    <row r="21" spans="1:24" x14ac:dyDescent="0.25">
      <c r="A21" s="1">
        <v>2018</v>
      </c>
      <c r="B21" s="1">
        <v>3</v>
      </c>
      <c r="C21" s="1" t="s">
        <v>21</v>
      </c>
      <c r="D21" s="1" t="s">
        <v>22</v>
      </c>
      <c r="E21" s="1" t="s">
        <v>23</v>
      </c>
      <c r="F21" s="1" t="s">
        <v>277</v>
      </c>
      <c r="G21" s="1" t="s">
        <v>819</v>
      </c>
      <c r="H21" s="1">
        <v>0</v>
      </c>
      <c r="I21" s="1">
        <v>0</v>
      </c>
      <c r="J21" s="1">
        <v>0</v>
      </c>
      <c r="K21" s="1">
        <v>16</v>
      </c>
      <c r="L21" s="1">
        <v>328</v>
      </c>
      <c r="M21" s="1">
        <v>5248</v>
      </c>
      <c r="N21" s="1">
        <v>0</v>
      </c>
      <c r="O21" s="1">
        <v>328</v>
      </c>
      <c r="P21" s="1">
        <v>16</v>
      </c>
      <c r="Q21" s="1">
        <v>328</v>
      </c>
      <c r="R21" s="1">
        <v>5248</v>
      </c>
      <c r="S21" s="1">
        <v>16</v>
      </c>
      <c r="T21" s="1">
        <v>328</v>
      </c>
      <c r="U21" s="1">
        <v>5248</v>
      </c>
      <c r="V21" s="1">
        <v>0</v>
      </c>
      <c r="W21" s="1">
        <v>0</v>
      </c>
      <c r="X21" s="1">
        <v>0</v>
      </c>
    </row>
    <row r="22" spans="1:24" x14ac:dyDescent="0.25">
      <c r="A22" s="1">
        <v>2018</v>
      </c>
      <c r="B22" s="1">
        <v>3</v>
      </c>
      <c r="C22" s="1" t="s">
        <v>21</v>
      </c>
      <c r="D22" s="1" t="s">
        <v>22</v>
      </c>
      <c r="E22" s="1" t="s">
        <v>23</v>
      </c>
      <c r="F22" s="1" t="s">
        <v>270</v>
      </c>
      <c r="G22" s="1" t="s">
        <v>812</v>
      </c>
      <c r="H22" s="1">
        <v>0</v>
      </c>
      <c r="I22" s="1">
        <v>0</v>
      </c>
      <c r="J22" s="1">
        <v>0</v>
      </c>
      <c r="K22" s="1">
        <v>72</v>
      </c>
      <c r="L22" s="1">
        <v>202.27777777770001</v>
      </c>
      <c r="M22" s="1">
        <v>14564</v>
      </c>
      <c r="N22" s="1">
        <v>0</v>
      </c>
      <c r="O22" s="1">
        <v>202.27777777700001</v>
      </c>
      <c r="P22" s="1">
        <v>72</v>
      </c>
      <c r="Q22" s="1">
        <v>202.27777777</v>
      </c>
      <c r="R22" s="1">
        <v>14564</v>
      </c>
      <c r="S22" s="1">
        <v>72</v>
      </c>
      <c r="T22" s="1">
        <v>202.27777777</v>
      </c>
      <c r="U22" s="1">
        <v>14563.999999</v>
      </c>
      <c r="V22" s="1">
        <v>0</v>
      </c>
      <c r="W22" s="1">
        <v>0</v>
      </c>
      <c r="X22" s="1">
        <v>9.9999999999999995E-7</v>
      </c>
    </row>
    <row r="23" spans="1:24" x14ac:dyDescent="0.25">
      <c r="A23" s="1">
        <v>2018</v>
      </c>
      <c r="B23" s="1">
        <v>3</v>
      </c>
      <c r="C23" s="1" t="s">
        <v>21</v>
      </c>
      <c r="D23" s="1" t="s">
        <v>22</v>
      </c>
      <c r="E23" s="1" t="s">
        <v>23</v>
      </c>
      <c r="F23" s="1" t="s">
        <v>266</v>
      </c>
      <c r="G23" s="1" t="s">
        <v>808</v>
      </c>
      <c r="H23" s="1">
        <v>0</v>
      </c>
      <c r="I23" s="1">
        <v>0</v>
      </c>
      <c r="J23" s="1">
        <v>0</v>
      </c>
      <c r="K23" s="1">
        <v>260</v>
      </c>
      <c r="L23" s="1">
        <v>140</v>
      </c>
      <c r="M23" s="1">
        <v>36400</v>
      </c>
      <c r="N23" s="1">
        <v>0</v>
      </c>
      <c r="O23" s="1">
        <v>140</v>
      </c>
      <c r="P23" s="1">
        <v>260</v>
      </c>
      <c r="Q23" s="1">
        <v>140</v>
      </c>
      <c r="R23" s="1">
        <v>36400</v>
      </c>
      <c r="S23" s="1">
        <v>260</v>
      </c>
      <c r="T23" s="1">
        <v>140</v>
      </c>
      <c r="U23" s="1">
        <v>36400</v>
      </c>
      <c r="V23" s="1">
        <v>0</v>
      </c>
      <c r="W23" s="1">
        <v>0</v>
      </c>
      <c r="X23" s="1">
        <v>0</v>
      </c>
    </row>
    <row r="24" spans="1:24" x14ac:dyDescent="0.25">
      <c r="A24" s="1">
        <v>2018</v>
      </c>
      <c r="B24" s="1">
        <v>3</v>
      </c>
      <c r="C24" s="1" t="s">
        <v>21</v>
      </c>
      <c r="D24" s="1" t="s">
        <v>22</v>
      </c>
      <c r="E24" s="1" t="s">
        <v>23</v>
      </c>
      <c r="F24" s="1" t="s">
        <v>256</v>
      </c>
      <c r="G24" s="1" t="s">
        <v>798</v>
      </c>
      <c r="H24" s="1">
        <v>0</v>
      </c>
      <c r="I24" s="1">
        <v>0</v>
      </c>
      <c r="J24" s="1">
        <v>0</v>
      </c>
      <c r="K24" s="1">
        <v>480</v>
      </c>
      <c r="L24" s="1">
        <v>33.262500000000003</v>
      </c>
      <c r="M24" s="1">
        <v>15966</v>
      </c>
      <c r="N24" s="1">
        <v>0</v>
      </c>
      <c r="O24" s="1">
        <v>33.262500000000003</v>
      </c>
      <c r="P24" s="1">
        <v>480</v>
      </c>
      <c r="Q24" s="1">
        <v>33.262500000000003</v>
      </c>
      <c r="R24" s="1">
        <v>15966</v>
      </c>
      <c r="S24" s="1">
        <v>480</v>
      </c>
      <c r="T24" s="1">
        <v>33.262500000000003</v>
      </c>
      <c r="U24" s="1">
        <v>15966</v>
      </c>
      <c r="V24" s="1">
        <v>0</v>
      </c>
      <c r="W24" s="1">
        <v>0</v>
      </c>
      <c r="X24" s="1">
        <v>0</v>
      </c>
    </row>
    <row r="25" spans="1:24" x14ac:dyDescent="0.25">
      <c r="A25" s="1">
        <v>2018</v>
      </c>
      <c r="B25" s="1">
        <v>3</v>
      </c>
      <c r="C25" s="1" t="s">
        <v>21</v>
      </c>
      <c r="D25" s="1" t="s">
        <v>22</v>
      </c>
      <c r="E25" s="1" t="s">
        <v>23</v>
      </c>
      <c r="F25" s="1" t="s">
        <v>272</v>
      </c>
      <c r="G25" s="1" t="s">
        <v>814</v>
      </c>
      <c r="H25" s="1">
        <v>0</v>
      </c>
      <c r="I25" s="1">
        <v>0</v>
      </c>
      <c r="J25" s="1">
        <v>0</v>
      </c>
      <c r="K25" s="1">
        <v>17</v>
      </c>
      <c r="L25" s="1">
        <v>1927</v>
      </c>
      <c r="M25" s="1">
        <v>32759</v>
      </c>
      <c r="N25" s="1">
        <v>0</v>
      </c>
      <c r="O25" s="1">
        <v>1927</v>
      </c>
      <c r="P25" s="1">
        <v>17</v>
      </c>
      <c r="Q25" s="1">
        <v>1927</v>
      </c>
      <c r="R25" s="1">
        <v>32759</v>
      </c>
      <c r="S25" s="1">
        <v>17</v>
      </c>
      <c r="T25" s="1">
        <v>1927</v>
      </c>
      <c r="U25" s="1">
        <v>32759</v>
      </c>
      <c r="V25" s="1">
        <v>0</v>
      </c>
      <c r="W25" s="1">
        <v>0</v>
      </c>
      <c r="X25" s="1">
        <v>0</v>
      </c>
    </row>
    <row r="26" spans="1:24" x14ac:dyDescent="0.25">
      <c r="A26" s="1">
        <v>2018</v>
      </c>
      <c r="B26" s="1">
        <v>3</v>
      </c>
      <c r="C26" s="1" t="s">
        <v>21</v>
      </c>
      <c r="D26" s="1" t="s">
        <v>22</v>
      </c>
      <c r="E26" s="1" t="s">
        <v>23</v>
      </c>
      <c r="F26" s="1" t="s">
        <v>255</v>
      </c>
      <c r="G26" s="1" t="s">
        <v>797</v>
      </c>
      <c r="H26" s="1">
        <v>0</v>
      </c>
      <c r="I26" s="1">
        <v>0</v>
      </c>
      <c r="J26" s="1">
        <v>0</v>
      </c>
      <c r="K26" s="1">
        <v>150</v>
      </c>
      <c r="L26" s="1">
        <v>38.866666666599997</v>
      </c>
      <c r="M26" s="1">
        <v>5830</v>
      </c>
      <c r="N26" s="1">
        <v>0</v>
      </c>
      <c r="O26" s="1">
        <v>38.866666666</v>
      </c>
      <c r="P26" s="1">
        <v>150</v>
      </c>
      <c r="Q26" s="1">
        <v>38.86666666</v>
      </c>
      <c r="R26" s="1">
        <v>5830</v>
      </c>
      <c r="S26" s="1">
        <v>150</v>
      </c>
      <c r="T26" s="1">
        <v>38.86666666</v>
      </c>
      <c r="U26" s="1">
        <v>5829.9999989999997</v>
      </c>
      <c r="V26" s="1">
        <v>0</v>
      </c>
      <c r="W26" s="1">
        <v>0</v>
      </c>
      <c r="X26" s="1">
        <v>9.9999999999999995E-7</v>
      </c>
    </row>
    <row r="27" spans="1:24" x14ac:dyDescent="0.25">
      <c r="A27" s="1">
        <v>2018</v>
      </c>
      <c r="B27" s="1">
        <v>3</v>
      </c>
      <c r="C27" s="1" t="s">
        <v>21</v>
      </c>
      <c r="D27" s="1" t="s">
        <v>22</v>
      </c>
      <c r="E27" s="1" t="s">
        <v>23</v>
      </c>
      <c r="F27" s="1" t="s">
        <v>257</v>
      </c>
      <c r="G27" s="1" t="s">
        <v>799</v>
      </c>
      <c r="H27" s="1">
        <v>0</v>
      </c>
      <c r="I27" s="1">
        <v>0</v>
      </c>
      <c r="J27" s="1">
        <v>0</v>
      </c>
      <c r="K27" s="1">
        <v>20</v>
      </c>
      <c r="L27" s="1">
        <v>131.85</v>
      </c>
      <c r="M27" s="1">
        <v>2637</v>
      </c>
      <c r="N27" s="1">
        <v>0</v>
      </c>
      <c r="O27" s="1">
        <v>131.85</v>
      </c>
      <c r="P27" s="1">
        <v>20</v>
      </c>
      <c r="Q27" s="1">
        <v>131.85</v>
      </c>
      <c r="R27" s="1">
        <v>2637</v>
      </c>
      <c r="S27" s="1">
        <v>20</v>
      </c>
      <c r="T27" s="1">
        <v>131.85</v>
      </c>
      <c r="U27" s="1">
        <v>2637</v>
      </c>
      <c r="V27" s="1">
        <v>0</v>
      </c>
      <c r="W27" s="1">
        <v>0</v>
      </c>
      <c r="X27" s="1">
        <v>0</v>
      </c>
    </row>
    <row r="28" spans="1:24" x14ac:dyDescent="0.25">
      <c r="A28" s="1">
        <v>2018</v>
      </c>
      <c r="B28" s="1">
        <v>3</v>
      </c>
      <c r="C28" s="1" t="s">
        <v>21</v>
      </c>
      <c r="D28" s="1" t="s">
        <v>22</v>
      </c>
      <c r="E28" s="1" t="s">
        <v>23</v>
      </c>
      <c r="F28" s="1" t="s">
        <v>261</v>
      </c>
      <c r="G28" s="1" t="s">
        <v>803</v>
      </c>
      <c r="H28" s="1">
        <v>0</v>
      </c>
      <c r="I28" s="1">
        <v>0</v>
      </c>
      <c r="J28" s="1">
        <v>0</v>
      </c>
      <c r="K28" s="1">
        <v>1000</v>
      </c>
      <c r="L28" s="1">
        <v>71.468999999999994</v>
      </c>
      <c r="M28" s="1">
        <v>71469</v>
      </c>
      <c r="N28" s="1">
        <v>0</v>
      </c>
      <c r="O28" s="1">
        <v>71.468999999999994</v>
      </c>
      <c r="P28" s="1">
        <v>1000</v>
      </c>
      <c r="Q28" s="1">
        <v>71.468999999999994</v>
      </c>
      <c r="R28" s="1">
        <v>71469</v>
      </c>
      <c r="S28" s="1">
        <v>1000</v>
      </c>
      <c r="T28" s="1">
        <v>71.468999999999994</v>
      </c>
      <c r="U28" s="1">
        <v>71469</v>
      </c>
      <c r="V28" s="1">
        <v>0</v>
      </c>
      <c r="W28" s="1">
        <v>0</v>
      </c>
      <c r="X28" s="1">
        <v>0</v>
      </c>
    </row>
    <row r="29" spans="1:24" x14ac:dyDescent="0.25">
      <c r="A29" s="1">
        <v>2018</v>
      </c>
      <c r="B29" s="1">
        <v>4</v>
      </c>
      <c r="C29" s="1" t="s">
        <v>57</v>
      </c>
      <c r="D29" s="1" t="s">
        <v>22</v>
      </c>
      <c r="E29" s="1" t="s">
        <v>23</v>
      </c>
      <c r="F29" s="1" t="s">
        <v>253</v>
      </c>
      <c r="G29" s="1" t="s">
        <v>796</v>
      </c>
      <c r="H29" s="1">
        <v>0</v>
      </c>
      <c r="I29" s="1">
        <v>0</v>
      </c>
      <c r="J29" s="1">
        <v>0</v>
      </c>
      <c r="K29" s="1">
        <v>820</v>
      </c>
      <c r="L29" s="1">
        <v>82.936585365799999</v>
      </c>
      <c r="M29" s="1">
        <v>68008</v>
      </c>
      <c r="N29" s="1">
        <v>0</v>
      </c>
      <c r="O29" s="1">
        <v>82.936585364999999</v>
      </c>
      <c r="P29" s="1">
        <v>820</v>
      </c>
      <c r="Q29" s="1">
        <v>82.936585359999995</v>
      </c>
      <c r="R29" s="1">
        <v>68008</v>
      </c>
      <c r="S29" s="1">
        <v>820</v>
      </c>
      <c r="T29" s="1">
        <v>82.936585359999995</v>
      </c>
      <c r="U29" s="1">
        <v>68007.999995000006</v>
      </c>
      <c r="V29" s="1">
        <v>0</v>
      </c>
      <c r="W29" s="1">
        <v>0</v>
      </c>
      <c r="X29" s="1">
        <v>5.0000000000000004E-6</v>
      </c>
    </row>
    <row r="30" spans="1:24" x14ac:dyDescent="0.25">
      <c r="A30" s="1">
        <v>2018</v>
      </c>
      <c r="B30" s="1">
        <v>4</v>
      </c>
      <c r="C30" s="1" t="s">
        <v>57</v>
      </c>
      <c r="D30" s="1" t="s">
        <v>22</v>
      </c>
      <c r="E30" s="1" t="s">
        <v>23</v>
      </c>
      <c r="F30" s="1" t="s">
        <v>255</v>
      </c>
      <c r="G30" s="1" t="s">
        <v>797</v>
      </c>
      <c r="H30" s="1">
        <v>0</v>
      </c>
      <c r="I30" s="1">
        <v>0</v>
      </c>
      <c r="J30" s="1">
        <v>0</v>
      </c>
      <c r="K30" s="1">
        <v>300</v>
      </c>
      <c r="L30" s="1">
        <v>38.866666666599997</v>
      </c>
      <c r="M30" s="1">
        <v>11660</v>
      </c>
      <c r="N30" s="1">
        <v>0</v>
      </c>
      <c r="O30" s="1">
        <v>38.866666666</v>
      </c>
      <c r="P30" s="1">
        <v>300</v>
      </c>
      <c r="Q30" s="1">
        <v>38.86666666</v>
      </c>
      <c r="R30" s="1">
        <v>11660</v>
      </c>
      <c r="S30" s="1">
        <v>300</v>
      </c>
      <c r="T30" s="1">
        <v>38.86666666</v>
      </c>
      <c r="U30" s="1">
        <v>11659.999997999999</v>
      </c>
      <c r="V30" s="1">
        <v>0</v>
      </c>
      <c r="W30" s="1">
        <v>0</v>
      </c>
      <c r="X30" s="1">
        <v>1.9999999999999999E-6</v>
      </c>
    </row>
    <row r="31" spans="1:24" x14ac:dyDescent="0.25">
      <c r="A31" s="1">
        <v>2018</v>
      </c>
      <c r="B31" s="1">
        <v>4</v>
      </c>
      <c r="C31" s="1" t="s">
        <v>57</v>
      </c>
      <c r="D31" s="1" t="s">
        <v>22</v>
      </c>
      <c r="E31" s="1" t="s">
        <v>23</v>
      </c>
      <c r="F31" s="1" t="s">
        <v>256</v>
      </c>
      <c r="G31" s="1" t="s">
        <v>798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25">
      <c r="A32" s="1">
        <v>2018</v>
      </c>
      <c r="B32" s="1">
        <v>4</v>
      </c>
      <c r="C32" s="1" t="s">
        <v>57</v>
      </c>
      <c r="D32" s="1" t="s">
        <v>22</v>
      </c>
      <c r="E32" s="1" t="s">
        <v>23</v>
      </c>
      <c r="F32" s="1" t="s">
        <v>257</v>
      </c>
      <c r="G32" s="1" t="s">
        <v>799</v>
      </c>
      <c r="H32" s="1">
        <v>0</v>
      </c>
      <c r="I32" s="1">
        <v>0</v>
      </c>
      <c r="J32" s="1">
        <v>0</v>
      </c>
      <c r="K32" s="1">
        <v>20</v>
      </c>
      <c r="L32" s="1">
        <v>129.85</v>
      </c>
      <c r="M32" s="1">
        <v>2597</v>
      </c>
      <c r="N32" s="1">
        <v>0</v>
      </c>
      <c r="O32" s="1">
        <v>129.85</v>
      </c>
      <c r="P32" s="1">
        <v>20</v>
      </c>
      <c r="Q32" s="1">
        <v>129.85</v>
      </c>
      <c r="R32" s="1">
        <v>2597</v>
      </c>
      <c r="S32" s="1">
        <v>20</v>
      </c>
      <c r="T32" s="1">
        <v>129.85</v>
      </c>
      <c r="U32" s="1">
        <v>2597</v>
      </c>
      <c r="V32" s="1">
        <v>0</v>
      </c>
      <c r="W32" s="1">
        <v>0</v>
      </c>
      <c r="X32" s="1">
        <v>0</v>
      </c>
    </row>
    <row r="33" spans="1:24" x14ac:dyDescent="0.25">
      <c r="A33" s="1">
        <v>2018</v>
      </c>
      <c r="B33" s="1">
        <v>4</v>
      </c>
      <c r="C33" s="1" t="s">
        <v>57</v>
      </c>
      <c r="D33" s="1" t="s">
        <v>22</v>
      </c>
      <c r="E33" s="1" t="s">
        <v>23</v>
      </c>
      <c r="F33" s="1" t="s">
        <v>258</v>
      </c>
      <c r="G33" s="1" t="s">
        <v>800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</row>
    <row r="34" spans="1:24" x14ac:dyDescent="0.25">
      <c r="A34" s="1">
        <v>2018</v>
      </c>
      <c r="B34" s="1">
        <v>4</v>
      </c>
      <c r="C34" s="1" t="s">
        <v>57</v>
      </c>
      <c r="D34" s="1" t="s">
        <v>22</v>
      </c>
      <c r="E34" s="1" t="s">
        <v>23</v>
      </c>
      <c r="F34" s="1" t="s">
        <v>259</v>
      </c>
      <c r="G34" s="1" t="s">
        <v>801</v>
      </c>
      <c r="H34" s="1">
        <v>0</v>
      </c>
      <c r="I34" s="1">
        <v>0</v>
      </c>
      <c r="J34" s="1">
        <v>0</v>
      </c>
      <c r="K34" s="1">
        <v>20</v>
      </c>
      <c r="L34" s="1">
        <v>119.15</v>
      </c>
      <c r="M34" s="1">
        <v>2383</v>
      </c>
      <c r="N34" s="1">
        <v>0</v>
      </c>
      <c r="O34" s="1">
        <v>119.15</v>
      </c>
      <c r="P34" s="1">
        <v>20</v>
      </c>
      <c r="Q34" s="1">
        <v>119.15</v>
      </c>
      <c r="R34" s="1">
        <v>2383</v>
      </c>
      <c r="S34" s="1">
        <v>20</v>
      </c>
      <c r="T34" s="1">
        <v>119.15</v>
      </c>
      <c r="U34" s="1">
        <v>2383</v>
      </c>
      <c r="V34" s="1">
        <v>0</v>
      </c>
      <c r="W34" s="1">
        <v>0</v>
      </c>
      <c r="X34" s="1">
        <v>0</v>
      </c>
    </row>
    <row r="35" spans="1:24" x14ac:dyDescent="0.25">
      <c r="A35" s="1">
        <v>2018</v>
      </c>
      <c r="B35" s="1">
        <v>4</v>
      </c>
      <c r="C35" s="1" t="s">
        <v>57</v>
      </c>
      <c r="D35" s="1" t="s">
        <v>22</v>
      </c>
      <c r="E35" s="1" t="s">
        <v>23</v>
      </c>
      <c r="F35" s="1" t="s">
        <v>260</v>
      </c>
      <c r="G35" s="1" t="s">
        <v>802</v>
      </c>
      <c r="H35" s="1">
        <v>0</v>
      </c>
      <c r="I35" s="1">
        <v>0</v>
      </c>
      <c r="J35" s="1">
        <v>0</v>
      </c>
      <c r="K35" s="1">
        <v>80</v>
      </c>
      <c r="L35" s="1">
        <v>103.0125</v>
      </c>
      <c r="M35" s="1">
        <v>8241</v>
      </c>
      <c r="N35" s="1">
        <v>0</v>
      </c>
      <c r="O35" s="1">
        <v>103.0125</v>
      </c>
      <c r="P35" s="1">
        <v>80</v>
      </c>
      <c r="Q35" s="1">
        <v>103.0125</v>
      </c>
      <c r="R35" s="1">
        <v>8241</v>
      </c>
      <c r="S35" s="1">
        <v>80</v>
      </c>
      <c r="T35" s="1">
        <v>103.0125</v>
      </c>
      <c r="U35" s="1">
        <v>8241</v>
      </c>
      <c r="V35" s="1">
        <v>0</v>
      </c>
      <c r="W35" s="1">
        <v>0</v>
      </c>
      <c r="X35" s="1">
        <v>0</v>
      </c>
    </row>
    <row r="36" spans="1:24" x14ac:dyDescent="0.25">
      <c r="A36" s="1">
        <v>2018</v>
      </c>
      <c r="B36" s="1">
        <v>4</v>
      </c>
      <c r="C36" s="1" t="s">
        <v>57</v>
      </c>
      <c r="D36" s="1" t="s">
        <v>22</v>
      </c>
      <c r="E36" s="1" t="s">
        <v>23</v>
      </c>
      <c r="F36" s="1" t="s">
        <v>261</v>
      </c>
      <c r="G36" s="1" t="s">
        <v>803</v>
      </c>
      <c r="H36" s="1">
        <v>0</v>
      </c>
      <c r="I36" s="1">
        <v>0</v>
      </c>
      <c r="J36" s="1">
        <v>0</v>
      </c>
      <c r="K36" s="1">
        <v>2500</v>
      </c>
      <c r="L36" s="1">
        <v>71.469200000000001</v>
      </c>
      <c r="M36" s="1">
        <v>178673</v>
      </c>
      <c r="N36" s="1">
        <v>0</v>
      </c>
      <c r="O36" s="1">
        <v>71.469200000000001</v>
      </c>
      <c r="P36" s="1">
        <v>2500</v>
      </c>
      <c r="Q36" s="1">
        <v>71.469200000000001</v>
      </c>
      <c r="R36" s="1">
        <v>178673</v>
      </c>
      <c r="S36" s="1">
        <v>2500</v>
      </c>
      <c r="T36" s="1">
        <v>71.469200000000001</v>
      </c>
      <c r="U36" s="1">
        <v>178673</v>
      </c>
      <c r="V36" s="1">
        <v>0</v>
      </c>
      <c r="W36" s="1">
        <v>0</v>
      </c>
      <c r="X36" s="1">
        <v>0</v>
      </c>
    </row>
    <row r="37" spans="1:24" x14ac:dyDescent="0.25">
      <c r="A37" s="1">
        <v>2018</v>
      </c>
      <c r="B37" s="1">
        <v>4</v>
      </c>
      <c r="C37" s="1" t="s">
        <v>57</v>
      </c>
      <c r="D37" s="1" t="s">
        <v>22</v>
      </c>
      <c r="E37" s="1" t="s">
        <v>23</v>
      </c>
      <c r="F37" s="1" t="s">
        <v>262</v>
      </c>
      <c r="G37" s="1" t="s">
        <v>804</v>
      </c>
      <c r="H37" s="1">
        <v>0</v>
      </c>
      <c r="I37" s="1">
        <v>0</v>
      </c>
      <c r="J37" s="1">
        <v>0</v>
      </c>
      <c r="K37" s="1">
        <v>415.6</v>
      </c>
      <c r="L37" s="1">
        <v>81.000962463899995</v>
      </c>
      <c r="M37" s="1">
        <v>33664</v>
      </c>
      <c r="N37" s="1">
        <v>0</v>
      </c>
      <c r="O37" s="1">
        <v>81.000962462999993</v>
      </c>
      <c r="P37" s="1">
        <v>415.6</v>
      </c>
      <c r="Q37" s="1">
        <v>81.000962459999997</v>
      </c>
      <c r="R37" s="1">
        <v>33664</v>
      </c>
      <c r="S37" s="1">
        <v>415.6</v>
      </c>
      <c r="T37" s="1">
        <v>81.000962459999997</v>
      </c>
      <c r="U37" s="1">
        <v>33663.999997999999</v>
      </c>
      <c r="V37" s="1">
        <v>0</v>
      </c>
      <c r="W37" s="1">
        <v>0</v>
      </c>
      <c r="X37" s="1">
        <v>1.9999999999999999E-6</v>
      </c>
    </row>
    <row r="38" spans="1:24" x14ac:dyDescent="0.25">
      <c r="A38" s="1">
        <v>2018</v>
      </c>
      <c r="B38" s="1">
        <v>4</v>
      </c>
      <c r="C38" s="1" t="s">
        <v>57</v>
      </c>
      <c r="D38" s="1" t="s">
        <v>22</v>
      </c>
      <c r="E38" s="1" t="s">
        <v>23</v>
      </c>
      <c r="F38" s="1" t="s">
        <v>263</v>
      </c>
      <c r="G38" s="1" t="s">
        <v>805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5">
      <c r="A39" s="1">
        <v>2018</v>
      </c>
      <c r="B39" s="1">
        <v>4</v>
      </c>
      <c r="C39" s="1" t="s">
        <v>57</v>
      </c>
      <c r="D39" s="1" t="s">
        <v>22</v>
      </c>
      <c r="E39" s="1" t="s">
        <v>23</v>
      </c>
      <c r="F39" s="1" t="s">
        <v>264</v>
      </c>
      <c r="G39" s="1" t="s">
        <v>806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</row>
    <row r="40" spans="1:24" x14ac:dyDescent="0.25">
      <c r="A40" s="1">
        <v>2018</v>
      </c>
      <c r="B40" s="1">
        <v>4</v>
      </c>
      <c r="C40" s="1" t="s">
        <v>57</v>
      </c>
      <c r="D40" s="1" t="s">
        <v>22</v>
      </c>
      <c r="E40" s="1" t="s">
        <v>23</v>
      </c>
      <c r="F40" s="1" t="s">
        <v>265</v>
      </c>
      <c r="G40" s="1" t="s">
        <v>807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5">
      <c r="A41" s="1">
        <v>2018</v>
      </c>
      <c r="B41" s="1">
        <v>4</v>
      </c>
      <c r="C41" s="1" t="s">
        <v>57</v>
      </c>
      <c r="D41" s="1" t="s">
        <v>22</v>
      </c>
      <c r="E41" s="1" t="s">
        <v>23</v>
      </c>
      <c r="F41" s="1" t="s">
        <v>266</v>
      </c>
      <c r="G41" s="1" t="s">
        <v>808</v>
      </c>
      <c r="H41" s="1">
        <v>0</v>
      </c>
      <c r="I41" s="1">
        <v>0</v>
      </c>
      <c r="J41" s="1">
        <v>0</v>
      </c>
      <c r="K41" s="1">
        <v>300</v>
      </c>
      <c r="L41" s="1">
        <v>140</v>
      </c>
      <c r="M41" s="1">
        <v>42000</v>
      </c>
      <c r="N41" s="1">
        <v>0</v>
      </c>
      <c r="O41" s="1">
        <v>140</v>
      </c>
      <c r="P41" s="1">
        <v>300</v>
      </c>
      <c r="Q41" s="1">
        <v>140</v>
      </c>
      <c r="R41" s="1">
        <v>42000</v>
      </c>
      <c r="S41" s="1">
        <v>300</v>
      </c>
      <c r="T41" s="1">
        <v>140</v>
      </c>
      <c r="U41" s="1">
        <v>42000</v>
      </c>
      <c r="V41" s="1">
        <v>0</v>
      </c>
      <c r="W41" s="1">
        <v>0</v>
      </c>
      <c r="X41" s="1">
        <v>0</v>
      </c>
    </row>
    <row r="42" spans="1:24" x14ac:dyDescent="0.25">
      <c r="A42" s="1">
        <v>2018</v>
      </c>
      <c r="B42" s="1">
        <v>4</v>
      </c>
      <c r="C42" s="1" t="s">
        <v>57</v>
      </c>
      <c r="D42" s="1" t="s">
        <v>22</v>
      </c>
      <c r="E42" s="1" t="s">
        <v>23</v>
      </c>
      <c r="F42" s="1" t="s">
        <v>267</v>
      </c>
      <c r="G42" s="1" t="s">
        <v>809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5">
      <c r="A43" s="1">
        <v>2018</v>
      </c>
      <c r="B43" s="1">
        <v>4</v>
      </c>
      <c r="C43" s="1" t="s">
        <v>57</v>
      </c>
      <c r="D43" s="1" t="s">
        <v>22</v>
      </c>
      <c r="E43" s="1" t="s">
        <v>23</v>
      </c>
      <c r="F43" s="1" t="s">
        <v>268</v>
      </c>
      <c r="G43" s="1" t="s">
        <v>810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25">
      <c r="A44" s="1">
        <v>2018</v>
      </c>
      <c r="B44" s="1">
        <v>4</v>
      </c>
      <c r="C44" s="1" t="s">
        <v>57</v>
      </c>
      <c r="D44" s="1" t="s">
        <v>22</v>
      </c>
      <c r="E44" s="1" t="s">
        <v>23</v>
      </c>
      <c r="F44" s="1" t="s">
        <v>269</v>
      </c>
      <c r="G44" s="1" t="s">
        <v>811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5">
      <c r="A45" s="1">
        <v>2018</v>
      </c>
      <c r="B45" s="1">
        <v>4</v>
      </c>
      <c r="C45" s="1" t="s">
        <v>57</v>
      </c>
      <c r="D45" s="1" t="s">
        <v>22</v>
      </c>
      <c r="E45" s="1" t="s">
        <v>23</v>
      </c>
      <c r="F45" s="1" t="s">
        <v>270</v>
      </c>
      <c r="G45" s="1" t="s">
        <v>812</v>
      </c>
      <c r="H45" s="1">
        <v>0</v>
      </c>
      <c r="I45" s="1">
        <v>0</v>
      </c>
      <c r="J45" s="1">
        <v>0</v>
      </c>
      <c r="K45" s="1">
        <v>36</v>
      </c>
      <c r="L45" s="1">
        <v>202.27777777770001</v>
      </c>
      <c r="M45" s="1">
        <v>7282</v>
      </c>
      <c r="N45" s="1">
        <v>0</v>
      </c>
      <c r="O45" s="1">
        <v>202.27777777700001</v>
      </c>
      <c r="P45" s="1">
        <v>36</v>
      </c>
      <c r="Q45" s="1">
        <v>202.27777777</v>
      </c>
      <c r="R45" s="1">
        <v>7282</v>
      </c>
      <c r="S45" s="1">
        <v>36</v>
      </c>
      <c r="T45" s="1">
        <v>202.27777777</v>
      </c>
      <c r="U45" s="1">
        <v>7282</v>
      </c>
      <c r="V45" s="1">
        <v>0</v>
      </c>
      <c r="W45" s="1">
        <v>0</v>
      </c>
      <c r="X45" s="1">
        <v>0</v>
      </c>
    </row>
    <row r="46" spans="1:24" x14ac:dyDescent="0.25">
      <c r="A46" s="1">
        <v>2018</v>
      </c>
      <c r="B46" s="1">
        <v>4</v>
      </c>
      <c r="C46" s="1" t="s">
        <v>57</v>
      </c>
      <c r="D46" s="1" t="s">
        <v>22</v>
      </c>
      <c r="E46" s="1" t="s">
        <v>23</v>
      </c>
      <c r="F46" s="1" t="s">
        <v>271</v>
      </c>
      <c r="G46" s="1" t="s">
        <v>813</v>
      </c>
      <c r="H46" s="1">
        <v>0</v>
      </c>
      <c r="I46" s="1">
        <v>0</v>
      </c>
      <c r="J46" s="1">
        <v>0</v>
      </c>
      <c r="K46" s="1">
        <v>493</v>
      </c>
      <c r="L46" s="1">
        <v>582.00608519260004</v>
      </c>
      <c r="M46" s="1">
        <v>286929</v>
      </c>
      <c r="N46" s="1">
        <v>0</v>
      </c>
      <c r="O46" s="1">
        <v>582.006085192</v>
      </c>
      <c r="P46" s="1">
        <v>493</v>
      </c>
      <c r="Q46" s="1">
        <v>582.00608519000002</v>
      </c>
      <c r="R46" s="1">
        <v>286929</v>
      </c>
      <c r="S46" s="1">
        <v>493</v>
      </c>
      <c r="T46" s="1">
        <v>582.00608519000002</v>
      </c>
      <c r="U46" s="1">
        <v>286928.99999899999</v>
      </c>
      <c r="V46" s="1">
        <v>0</v>
      </c>
      <c r="W46" s="1">
        <v>0</v>
      </c>
      <c r="X46" s="1">
        <v>9.9999999999999995E-7</v>
      </c>
    </row>
    <row r="47" spans="1:24" x14ac:dyDescent="0.25">
      <c r="A47" s="1">
        <v>2018</v>
      </c>
      <c r="B47" s="1">
        <v>4</v>
      </c>
      <c r="C47" s="1" t="s">
        <v>57</v>
      </c>
      <c r="D47" s="1" t="s">
        <v>22</v>
      </c>
      <c r="E47" s="1" t="s">
        <v>23</v>
      </c>
      <c r="F47" s="1" t="s">
        <v>272</v>
      </c>
      <c r="G47" s="1" t="s">
        <v>814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25">
      <c r="A48" s="1">
        <v>2018</v>
      </c>
      <c r="B48" s="1">
        <v>4</v>
      </c>
      <c r="C48" s="1" t="s">
        <v>57</v>
      </c>
      <c r="D48" s="1" t="s">
        <v>22</v>
      </c>
      <c r="E48" s="1" t="s">
        <v>23</v>
      </c>
      <c r="F48" s="1" t="s">
        <v>273</v>
      </c>
      <c r="G48" s="1" t="s">
        <v>815</v>
      </c>
      <c r="H48" s="1">
        <v>0</v>
      </c>
      <c r="I48" s="1">
        <v>0</v>
      </c>
      <c r="J48" s="1">
        <v>0</v>
      </c>
      <c r="K48" s="1">
        <v>19</v>
      </c>
      <c r="L48" s="1">
        <v>2182.5263157894001</v>
      </c>
      <c r="M48" s="1">
        <v>41468</v>
      </c>
      <c r="N48" s="1">
        <v>0</v>
      </c>
      <c r="O48" s="1">
        <v>2182.5263157889999</v>
      </c>
      <c r="P48" s="1">
        <v>19</v>
      </c>
      <c r="Q48" s="1">
        <v>2182.52631578</v>
      </c>
      <c r="R48" s="1">
        <v>41468</v>
      </c>
      <c r="S48" s="1">
        <v>19</v>
      </c>
      <c r="T48" s="1">
        <v>2182.52631578</v>
      </c>
      <c r="U48" s="1">
        <v>41468</v>
      </c>
      <c r="V48" s="1">
        <v>0</v>
      </c>
      <c r="W48" s="1">
        <v>0</v>
      </c>
      <c r="X48" s="1">
        <v>0</v>
      </c>
    </row>
    <row r="49" spans="1:24" x14ac:dyDescent="0.25">
      <c r="A49" s="1">
        <v>2018</v>
      </c>
      <c r="B49" s="1">
        <v>4</v>
      </c>
      <c r="C49" s="1" t="s">
        <v>57</v>
      </c>
      <c r="D49" s="1" t="s">
        <v>22</v>
      </c>
      <c r="E49" s="1" t="s">
        <v>23</v>
      </c>
      <c r="F49" s="1" t="s">
        <v>274</v>
      </c>
      <c r="G49" s="1" t="s">
        <v>816</v>
      </c>
      <c r="H49" s="1">
        <v>0</v>
      </c>
      <c r="I49" s="1">
        <v>0</v>
      </c>
      <c r="J49" s="1">
        <v>0</v>
      </c>
      <c r="K49" s="1">
        <v>34</v>
      </c>
      <c r="L49" s="1">
        <v>989.41176470580001</v>
      </c>
      <c r="M49" s="1">
        <v>33640</v>
      </c>
      <c r="N49" s="1">
        <v>0</v>
      </c>
      <c r="O49" s="1">
        <v>989.411764705</v>
      </c>
      <c r="P49" s="1">
        <v>34</v>
      </c>
      <c r="Q49" s="1">
        <v>989.41176470000005</v>
      </c>
      <c r="R49" s="1">
        <v>33640</v>
      </c>
      <c r="S49" s="1">
        <v>34</v>
      </c>
      <c r="T49" s="1">
        <v>989.41176470000005</v>
      </c>
      <c r="U49" s="1">
        <v>33640</v>
      </c>
      <c r="V49" s="1">
        <v>0</v>
      </c>
      <c r="W49" s="1">
        <v>0</v>
      </c>
      <c r="X49" s="1">
        <v>0</v>
      </c>
    </row>
    <row r="50" spans="1:24" x14ac:dyDescent="0.25">
      <c r="A50" s="1">
        <v>2018</v>
      </c>
      <c r="B50" s="1">
        <v>4</v>
      </c>
      <c r="C50" s="1" t="s">
        <v>57</v>
      </c>
      <c r="D50" s="1" t="s">
        <v>22</v>
      </c>
      <c r="E50" s="1" t="s">
        <v>23</v>
      </c>
      <c r="F50" s="1" t="s">
        <v>275</v>
      </c>
      <c r="G50" s="1" t="s">
        <v>817</v>
      </c>
      <c r="H50" s="1">
        <v>0</v>
      </c>
      <c r="I50" s="1">
        <v>0</v>
      </c>
      <c r="J50" s="1">
        <v>0</v>
      </c>
      <c r="K50" s="1">
        <v>54</v>
      </c>
      <c r="L50" s="1">
        <v>1455</v>
      </c>
      <c r="M50" s="1">
        <v>78570</v>
      </c>
      <c r="N50" s="1">
        <v>0</v>
      </c>
      <c r="O50" s="1">
        <v>1455</v>
      </c>
      <c r="P50" s="1">
        <v>54</v>
      </c>
      <c r="Q50" s="1">
        <v>1455</v>
      </c>
      <c r="R50" s="1">
        <v>78570</v>
      </c>
      <c r="S50" s="1">
        <v>54</v>
      </c>
      <c r="T50" s="1">
        <v>1455</v>
      </c>
      <c r="U50" s="1">
        <v>78570</v>
      </c>
      <c r="V50" s="1">
        <v>0</v>
      </c>
      <c r="W50" s="1">
        <v>0</v>
      </c>
      <c r="X50" s="1">
        <v>0</v>
      </c>
    </row>
    <row r="51" spans="1:24" x14ac:dyDescent="0.25">
      <c r="A51" s="1">
        <v>2018</v>
      </c>
      <c r="B51" s="1">
        <v>4</v>
      </c>
      <c r="C51" s="1" t="s">
        <v>57</v>
      </c>
      <c r="D51" s="1" t="s">
        <v>22</v>
      </c>
      <c r="E51" s="1" t="s">
        <v>23</v>
      </c>
      <c r="F51" s="1" t="s">
        <v>276</v>
      </c>
      <c r="G51" s="1" t="s">
        <v>818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</row>
    <row r="52" spans="1:24" x14ac:dyDescent="0.25">
      <c r="A52" s="1">
        <v>2018</v>
      </c>
      <c r="B52" s="1">
        <v>4</v>
      </c>
      <c r="C52" s="1" t="s">
        <v>57</v>
      </c>
      <c r="D52" s="1" t="s">
        <v>22</v>
      </c>
      <c r="E52" s="1" t="s">
        <v>23</v>
      </c>
      <c r="F52" s="1" t="s">
        <v>277</v>
      </c>
      <c r="G52" s="1" t="s">
        <v>819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25">
      <c r="A53" s="1">
        <v>2018</v>
      </c>
      <c r="B53" s="1">
        <v>4</v>
      </c>
      <c r="C53" s="1" t="s">
        <v>57</v>
      </c>
      <c r="D53" s="1" t="s">
        <v>22</v>
      </c>
      <c r="E53" s="1" t="s">
        <v>23</v>
      </c>
      <c r="F53" s="1" t="s">
        <v>278</v>
      </c>
      <c r="G53" s="1" t="s">
        <v>820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</row>
    <row r="54" spans="1:24" x14ac:dyDescent="0.25">
      <c r="A54" s="1">
        <v>2018</v>
      </c>
      <c r="B54" s="1">
        <v>4</v>
      </c>
      <c r="C54" s="1" t="s">
        <v>57</v>
      </c>
      <c r="D54" s="1" t="s">
        <v>22</v>
      </c>
      <c r="E54" s="1" t="s">
        <v>23</v>
      </c>
      <c r="F54" s="1" t="s">
        <v>279</v>
      </c>
      <c r="G54" s="1" t="s">
        <v>821</v>
      </c>
      <c r="H54" s="1">
        <v>0</v>
      </c>
      <c r="I54" s="1">
        <v>0</v>
      </c>
      <c r="J54" s="1">
        <v>0</v>
      </c>
      <c r="K54" s="1">
        <v>16</v>
      </c>
      <c r="L54" s="1">
        <v>362.875</v>
      </c>
      <c r="M54" s="1">
        <v>5806</v>
      </c>
      <c r="N54" s="1">
        <v>0</v>
      </c>
      <c r="O54" s="1">
        <v>362.875</v>
      </c>
      <c r="P54" s="1">
        <v>16</v>
      </c>
      <c r="Q54" s="1">
        <v>362.875</v>
      </c>
      <c r="R54" s="1">
        <v>5806</v>
      </c>
      <c r="S54" s="1">
        <v>16</v>
      </c>
      <c r="T54" s="1">
        <v>362.875</v>
      </c>
      <c r="U54" s="1">
        <v>5806</v>
      </c>
      <c r="V54" s="1">
        <v>0</v>
      </c>
      <c r="W54" s="1">
        <v>0</v>
      </c>
      <c r="X54" s="1">
        <v>0</v>
      </c>
    </row>
    <row r="55" spans="1:24" x14ac:dyDescent="0.25">
      <c r="A55" s="1">
        <v>2018</v>
      </c>
      <c r="B55" s="1">
        <v>4</v>
      </c>
      <c r="C55" s="1" t="s">
        <v>57</v>
      </c>
      <c r="D55" s="1" t="s">
        <v>22</v>
      </c>
      <c r="E55" s="1" t="s">
        <v>23</v>
      </c>
      <c r="F55" s="1" t="s">
        <v>280</v>
      </c>
      <c r="G55" s="1" t="s">
        <v>822</v>
      </c>
      <c r="H55" s="1">
        <v>0</v>
      </c>
      <c r="I55" s="1">
        <v>0</v>
      </c>
      <c r="J55" s="1">
        <v>0</v>
      </c>
      <c r="K55" s="1">
        <v>15</v>
      </c>
      <c r="L55" s="1">
        <v>436.53333333329999</v>
      </c>
      <c r="M55" s="1">
        <v>6548</v>
      </c>
      <c r="N55" s="1">
        <v>0</v>
      </c>
      <c r="O55" s="1">
        <v>436.53333333299997</v>
      </c>
      <c r="P55" s="1">
        <v>15</v>
      </c>
      <c r="Q55" s="1">
        <v>436.53333333</v>
      </c>
      <c r="R55" s="1">
        <v>6548</v>
      </c>
      <c r="S55" s="1">
        <v>15</v>
      </c>
      <c r="T55" s="1">
        <v>436.53333333</v>
      </c>
      <c r="U55" s="1">
        <v>6548</v>
      </c>
      <c r="V55" s="1">
        <v>0</v>
      </c>
      <c r="W55" s="1">
        <v>0</v>
      </c>
      <c r="X55" s="1">
        <v>0</v>
      </c>
    </row>
    <row r="56" spans="1:24" x14ac:dyDescent="0.25">
      <c r="A56" s="1">
        <v>2018</v>
      </c>
      <c r="B56" s="1">
        <v>4</v>
      </c>
      <c r="C56" s="1" t="s">
        <v>57</v>
      </c>
      <c r="D56" s="1" t="s">
        <v>22</v>
      </c>
      <c r="E56" s="1" t="s">
        <v>23</v>
      </c>
      <c r="F56" s="1" t="s">
        <v>291</v>
      </c>
      <c r="G56" s="1" t="s">
        <v>831</v>
      </c>
      <c r="H56" s="1">
        <v>0</v>
      </c>
      <c r="I56" s="1">
        <v>0</v>
      </c>
      <c r="J56" s="1">
        <v>0</v>
      </c>
      <c r="K56" s="1">
        <v>85</v>
      </c>
      <c r="L56" s="1">
        <v>1222.2117647058001</v>
      </c>
      <c r="M56" s="1">
        <v>103888</v>
      </c>
      <c r="N56" s="1">
        <v>0</v>
      </c>
      <c r="O56" s="1">
        <v>1222.211764705</v>
      </c>
      <c r="P56" s="1">
        <v>85</v>
      </c>
      <c r="Q56" s="1">
        <v>1222.2117647</v>
      </c>
      <c r="R56" s="1">
        <v>103888</v>
      </c>
      <c r="S56" s="1">
        <v>85</v>
      </c>
      <c r="T56" s="1">
        <v>1222.2117647</v>
      </c>
      <c r="U56" s="1">
        <v>103888</v>
      </c>
      <c r="V56" s="1">
        <v>0</v>
      </c>
      <c r="W56" s="1">
        <v>0</v>
      </c>
      <c r="X56" s="1">
        <v>0</v>
      </c>
    </row>
    <row r="57" spans="1:24" x14ac:dyDescent="0.25">
      <c r="A57" s="1">
        <v>2018</v>
      </c>
      <c r="B57" s="1">
        <v>4</v>
      </c>
      <c r="C57" s="1" t="s">
        <v>57</v>
      </c>
      <c r="D57" s="1" t="s">
        <v>22</v>
      </c>
      <c r="E57" s="1" t="s">
        <v>23</v>
      </c>
      <c r="F57" s="1" t="s">
        <v>285</v>
      </c>
      <c r="G57" s="1" t="s">
        <v>825</v>
      </c>
      <c r="H57" s="1">
        <v>0</v>
      </c>
      <c r="I57" s="1">
        <v>0</v>
      </c>
      <c r="J57" s="1">
        <v>0</v>
      </c>
      <c r="K57" s="1">
        <v>232.4</v>
      </c>
      <c r="L57" s="1">
        <v>54.001721170300002</v>
      </c>
      <c r="M57" s="1">
        <v>12550</v>
      </c>
      <c r="N57" s="1">
        <v>0</v>
      </c>
      <c r="O57" s="1">
        <v>54.001721170000003</v>
      </c>
      <c r="P57" s="1">
        <v>232.4</v>
      </c>
      <c r="Q57" s="1">
        <v>54.001721170000003</v>
      </c>
      <c r="R57" s="1">
        <v>12550</v>
      </c>
      <c r="S57" s="1">
        <v>232.4</v>
      </c>
      <c r="T57" s="1">
        <v>54.001721170000003</v>
      </c>
      <c r="U57" s="1">
        <v>12550</v>
      </c>
      <c r="V57" s="1">
        <v>0</v>
      </c>
      <c r="W57" s="1">
        <v>0</v>
      </c>
      <c r="X57" s="1">
        <v>0</v>
      </c>
    </row>
    <row r="58" spans="1:24" x14ac:dyDescent="0.25">
      <c r="A58" s="1">
        <v>2018</v>
      </c>
      <c r="B58" s="1">
        <v>4</v>
      </c>
      <c r="C58" s="1" t="s">
        <v>57</v>
      </c>
      <c r="D58" s="1" t="s">
        <v>22</v>
      </c>
      <c r="E58" s="1" t="s">
        <v>23</v>
      </c>
      <c r="F58" s="1" t="s">
        <v>284</v>
      </c>
      <c r="G58" s="1" t="s">
        <v>824</v>
      </c>
      <c r="H58" s="1">
        <v>0</v>
      </c>
      <c r="I58" s="1">
        <v>0</v>
      </c>
      <c r="J58" s="1">
        <v>0</v>
      </c>
      <c r="K58" s="1">
        <v>40</v>
      </c>
      <c r="L58" s="1">
        <v>96.25</v>
      </c>
      <c r="M58" s="1">
        <v>3850</v>
      </c>
      <c r="N58" s="1">
        <v>0</v>
      </c>
      <c r="O58" s="1">
        <v>96.25</v>
      </c>
      <c r="P58" s="1">
        <v>40</v>
      </c>
      <c r="Q58" s="1">
        <v>96.25</v>
      </c>
      <c r="R58" s="1">
        <v>3850</v>
      </c>
      <c r="S58" s="1">
        <v>40</v>
      </c>
      <c r="T58" s="1">
        <v>96.25</v>
      </c>
      <c r="U58" s="1">
        <v>3850</v>
      </c>
      <c r="V58" s="1">
        <v>0</v>
      </c>
      <c r="W58" s="1">
        <v>0</v>
      </c>
      <c r="X58" s="1">
        <v>0</v>
      </c>
    </row>
    <row r="59" spans="1:24" x14ac:dyDescent="0.25">
      <c r="A59" s="1">
        <v>2018</v>
      </c>
      <c r="B59" s="1">
        <v>4</v>
      </c>
      <c r="C59" s="1" t="s">
        <v>57</v>
      </c>
      <c r="D59" s="1" t="s">
        <v>22</v>
      </c>
      <c r="E59" s="1" t="s">
        <v>23</v>
      </c>
      <c r="F59" s="1" t="s">
        <v>287</v>
      </c>
      <c r="G59" s="1" t="s">
        <v>827</v>
      </c>
      <c r="H59" s="1">
        <v>0</v>
      </c>
      <c r="I59" s="1">
        <v>0</v>
      </c>
      <c r="J59" s="1">
        <v>0</v>
      </c>
      <c r="K59" s="1">
        <v>175</v>
      </c>
      <c r="L59" s="1">
        <v>94.24</v>
      </c>
      <c r="M59" s="1">
        <v>16492</v>
      </c>
      <c r="N59" s="1">
        <v>0</v>
      </c>
      <c r="O59" s="1">
        <v>94.24</v>
      </c>
      <c r="P59" s="1">
        <v>175</v>
      </c>
      <c r="Q59" s="1">
        <v>94.24</v>
      </c>
      <c r="R59" s="1">
        <v>16492</v>
      </c>
      <c r="S59" s="1">
        <v>175</v>
      </c>
      <c r="T59" s="1">
        <v>94.24</v>
      </c>
      <c r="U59" s="1">
        <v>16492</v>
      </c>
      <c r="V59" s="1">
        <v>0</v>
      </c>
      <c r="W59" s="1">
        <v>0</v>
      </c>
      <c r="X59" s="1">
        <v>0</v>
      </c>
    </row>
    <row r="60" spans="1:24" x14ac:dyDescent="0.25">
      <c r="A60" s="1">
        <v>2018</v>
      </c>
      <c r="B60" s="1">
        <v>4</v>
      </c>
      <c r="C60" s="1" t="s">
        <v>57</v>
      </c>
      <c r="D60" s="1" t="s">
        <v>22</v>
      </c>
      <c r="E60" s="1" t="s">
        <v>23</v>
      </c>
      <c r="F60" s="1" t="s">
        <v>290</v>
      </c>
      <c r="G60" s="1" t="s">
        <v>830</v>
      </c>
      <c r="H60" s="1">
        <v>0</v>
      </c>
      <c r="I60" s="1">
        <v>0</v>
      </c>
      <c r="J60" s="1">
        <v>0</v>
      </c>
      <c r="K60" s="1">
        <v>18</v>
      </c>
      <c r="L60" s="1">
        <v>2347</v>
      </c>
      <c r="M60" s="1">
        <v>42246</v>
      </c>
      <c r="N60" s="1">
        <v>0</v>
      </c>
      <c r="O60" s="1">
        <v>2347</v>
      </c>
      <c r="P60" s="1">
        <v>18</v>
      </c>
      <c r="Q60" s="1">
        <v>2347</v>
      </c>
      <c r="R60" s="1">
        <v>42246</v>
      </c>
      <c r="S60" s="1">
        <v>18</v>
      </c>
      <c r="T60" s="1">
        <v>2347</v>
      </c>
      <c r="U60" s="1">
        <v>42246</v>
      </c>
      <c r="V60" s="1">
        <v>0</v>
      </c>
      <c r="W60" s="1">
        <v>0</v>
      </c>
      <c r="X60" s="1">
        <v>0</v>
      </c>
    </row>
    <row r="61" spans="1:24" x14ac:dyDescent="0.25">
      <c r="A61" s="1">
        <v>2018</v>
      </c>
      <c r="B61" s="1">
        <v>4</v>
      </c>
      <c r="C61" s="1" t="s">
        <v>57</v>
      </c>
      <c r="D61" s="1" t="s">
        <v>22</v>
      </c>
      <c r="E61" s="1" t="s">
        <v>23</v>
      </c>
      <c r="F61" s="1" t="s">
        <v>283</v>
      </c>
      <c r="G61" s="1" t="s">
        <v>823</v>
      </c>
      <c r="H61" s="1">
        <v>0</v>
      </c>
      <c r="I61" s="1">
        <v>0</v>
      </c>
      <c r="J61" s="1">
        <v>0</v>
      </c>
      <c r="K61" s="1">
        <v>19.7</v>
      </c>
      <c r="L61" s="1">
        <v>65.279187817199997</v>
      </c>
      <c r="M61" s="1">
        <v>1286</v>
      </c>
      <c r="N61" s="1">
        <v>0</v>
      </c>
      <c r="O61" s="1">
        <v>65.279187816999993</v>
      </c>
      <c r="P61" s="1">
        <v>19.7</v>
      </c>
      <c r="Q61" s="1">
        <v>65.279187809999996</v>
      </c>
      <c r="R61" s="1">
        <v>1286</v>
      </c>
      <c r="S61" s="1">
        <v>19.7</v>
      </c>
      <c r="T61" s="1">
        <v>65.279187809999996</v>
      </c>
      <c r="U61" s="1">
        <v>1286</v>
      </c>
      <c r="V61" s="1">
        <v>0</v>
      </c>
      <c r="W61" s="1">
        <v>0</v>
      </c>
      <c r="X61" s="1">
        <v>0</v>
      </c>
    </row>
    <row r="62" spans="1:24" x14ac:dyDescent="0.25">
      <c r="A62" s="1">
        <v>2018</v>
      </c>
      <c r="B62" s="1">
        <v>4</v>
      </c>
      <c r="C62" s="1" t="s">
        <v>57</v>
      </c>
      <c r="D62" s="1" t="s">
        <v>22</v>
      </c>
      <c r="E62" s="1" t="s">
        <v>23</v>
      </c>
      <c r="F62" s="1" t="s">
        <v>289</v>
      </c>
      <c r="G62" s="1" t="s">
        <v>829</v>
      </c>
      <c r="H62" s="1">
        <v>0</v>
      </c>
      <c r="I62" s="1">
        <v>0</v>
      </c>
      <c r="J62" s="1">
        <v>0</v>
      </c>
      <c r="K62" s="1">
        <v>102</v>
      </c>
      <c r="L62" s="1">
        <v>1309.5098039215</v>
      </c>
      <c r="M62" s="1">
        <v>133570</v>
      </c>
      <c r="N62" s="1">
        <v>0</v>
      </c>
      <c r="O62" s="1">
        <v>1309.509803921</v>
      </c>
      <c r="P62" s="1">
        <v>102</v>
      </c>
      <c r="Q62" s="1">
        <v>1309.50980392</v>
      </c>
      <c r="R62" s="1">
        <v>133570</v>
      </c>
      <c r="S62" s="1">
        <v>102</v>
      </c>
      <c r="T62" s="1">
        <v>1309.50980392</v>
      </c>
      <c r="U62" s="1">
        <v>133570</v>
      </c>
      <c r="V62" s="1">
        <v>0</v>
      </c>
      <c r="W62" s="1">
        <v>0</v>
      </c>
      <c r="X62" s="1">
        <v>0</v>
      </c>
    </row>
    <row r="63" spans="1:24" x14ac:dyDescent="0.25">
      <c r="A63" s="1">
        <v>2018</v>
      </c>
      <c r="B63" s="1">
        <v>4</v>
      </c>
      <c r="C63" s="1" t="s">
        <v>57</v>
      </c>
      <c r="D63" s="1" t="s">
        <v>22</v>
      </c>
      <c r="E63" s="1" t="s">
        <v>23</v>
      </c>
      <c r="F63" s="1" t="s">
        <v>286</v>
      </c>
      <c r="G63" s="1" t="s">
        <v>826</v>
      </c>
      <c r="H63" s="1">
        <v>0</v>
      </c>
      <c r="I63" s="1">
        <v>0</v>
      </c>
      <c r="J63" s="1">
        <v>0</v>
      </c>
      <c r="K63" s="1">
        <v>108</v>
      </c>
      <c r="L63" s="1">
        <v>2045.7870370369999</v>
      </c>
      <c r="M63" s="1">
        <v>220945</v>
      </c>
      <c r="N63" s="1">
        <v>0</v>
      </c>
      <c r="O63" s="1">
        <v>2045.7870370369999</v>
      </c>
      <c r="P63" s="1">
        <v>108</v>
      </c>
      <c r="Q63" s="1">
        <v>2045.78703703</v>
      </c>
      <c r="R63" s="1">
        <v>220945</v>
      </c>
      <c r="S63" s="1">
        <v>108</v>
      </c>
      <c r="T63" s="1">
        <v>2045.78703703</v>
      </c>
      <c r="U63" s="1">
        <v>220944.99999899999</v>
      </c>
      <c r="V63" s="1">
        <v>0</v>
      </c>
      <c r="W63" s="1">
        <v>0</v>
      </c>
      <c r="X63" s="1">
        <v>9.9999999999999995E-7</v>
      </c>
    </row>
    <row r="64" spans="1:24" x14ac:dyDescent="0.25">
      <c r="A64" s="1">
        <v>2018</v>
      </c>
      <c r="B64" s="1">
        <v>4</v>
      </c>
      <c r="C64" s="1" t="s">
        <v>57</v>
      </c>
      <c r="D64" s="1" t="s">
        <v>22</v>
      </c>
      <c r="E64" s="1" t="s">
        <v>23</v>
      </c>
      <c r="F64" s="1" t="s">
        <v>288</v>
      </c>
      <c r="G64" s="1" t="s">
        <v>828</v>
      </c>
      <c r="H64" s="1">
        <v>0</v>
      </c>
      <c r="I64" s="1">
        <v>0</v>
      </c>
      <c r="J64" s="1">
        <v>0</v>
      </c>
      <c r="K64" s="1">
        <v>1</v>
      </c>
      <c r="L64" s="1">
        <v>16412</v>
      </c>
      <c r="M64" s="1">
        <v>16412</v>
      </c>
      <c r="N64" s="1">
        <v>0</v>
      </c>
      <c r="O64" s="1">
        <v>16412</v>
      </c>
      <c r="P64" s="1">
        <v>1</v>
      </c>
      <c r="Q64" s="1">
        <v>16412</v>
      </c>
      <c r="R64" s="1">
        <v>16412</v>
      </c>
      <c r="S64" s="1">
        <v>1</v>
      </c>
      <c r="T64" s="1">
        <v>16412</v>
      </c>
      <c r="U64" s="1">
        <v>16412</v>
      </c>
      <c r="V64" s="1">
        <v>0</v>
      </c>
      <c r="W64" s="1">
        <v>0</v>
      </c>
      <c r="X64" s="1">
        <v>0</v>
      </c>
    </row>
    <row r="65" spans="1:24" x14ac:dyDescent="0.25">
      <c r="A65" s="1">
        <v>2018</v>
      </c>
      <c r="B65" s="1">
        <v>5</v>
      </c>
      <c r="C65" s="1" t="s">
        <v>63</v>
      </c>
      <c r="D65" s="1" t="s">
        <v>22</v>
      </c>
      <c r="E65" s="1" t="s">
        <v>23</v>
      </c>
      <c r="F65" s="1" t="s">
        <v>253</v>
      </c>
      <c r="G65" s="1" t="s">
        <v>796</v>
      </c>
      <c r="H65" s="1">
        <v>0</v>
      </c>
      <c r="I65" s="1">
        <v>0</v>
      </c>
      <c r="J65" s="1">
        <v>0</v>
      </c>
      <c r="K65" s="1">
        <v>600</v>
      </c>
      <c r="L65" s="1">
        <v>88.051666666599999</v>
      </c>
      <c r="M65" s="1">
        <v>52831</v>
      </c>
      <c r="N65" s="1">
        <v>0</v>
      </c>
      <c r="O65" s="1">
        <v>88.051666666000003</v>
      </c>
      <c r="P65" s="1">
        <v>600</v>
      </c>
      <c r="Q65" s="1">
        <v>88.051666659999995</v>
      </c>
      <c r="R65" s="1">
        <v>52831</v>
      </c>
      <c r="S65" s="1">
        <v>600</v>
      </c>
      <c r="T65" s="1">
        <v>88.051666659999995</v>
      </c>
      <c r="U65" s="1">
        <v>52830.999995999999</v>
      </c>
      <c r="V65" s="1">
        <v>0</v>
      </c>
      <c r="W65" s="1">
        <v>0</v>
      </c>
      <c r="X65" s="1">
        <v>3.9999999999999998E-6</v>
      </c>
    </row>
    <row r="66" spans="1:24" x14ac:dyDescent="0.25">
      <c r="A66" s="1">
        <v>2018</v>
      </c>
      <c r="B66" s="1">
        <v>5</v>
      </c>
      <c r="C66" s="1" t="s">
        <v>63</v>
      </c>
      <c r="D66" s="1" t="s">
        <v>22</v>
      </c>
      <c r="E66" s="1" t="s">
        <v>23</v>
      </c>
      <c r="F66" s="1" t="s">
        <v>255</v>
      </c>
      <c r="G66" s="1" t="s">
        <v>797</v>
      </c>
      <c r="H66" s="1">
        <v>0</v>
      </c>
      <c r="I66" s="1">
        <v>0</v>
      </c>
      <c r="J66" s="1">
        <v>0</v>
      </c>
      <c r="K66" s="1">
        <v>510</v>
      </c>
      <c r="L66" s="1">
        <v>40.164705882299998</v>
      </c>
      <c r="M66" s="1">
        <v>20484</v>
      </c>
      <c r="N66" s="1">
        <v>0</v>
      </c>
      <c r="O66" s="1">
        <v>40.164705882</v>
      </c>
      <c r="P66" s="1">
        <v>510</v>
      </c>
      <c r="Q66" s="1">
        <v>40.16470588</v>
      </c>
      <c r="R66" s="1">
        <v>20484</v>
      </c>
      <c r="S66" s="1">
        <v>510</v>
      </c>
      <c r="T66" s="1">
        <v>40.16470588</v>
      </c>
      <c r="U66" s="1">
        <v>20483.999999</v>
      </c>
      <c r="V66" s="1">
        <v>0</v>
      </c>
      <c r="W66" s="1">
        <v>0</v>
      </c>
      <c r="X66" s="1">
        <v>9.9999999999999995E-7</v>
      </c>
    </row>
    <row r="67" spans="1:24" x14ac:dyDescent="0.25">
      <c r="A67" s="1">
        <v>2018</v>
      </c>
      <c r="B67" s="1">
        <v>5</v>
      </c>
      <c r="C67" s="1" t="s">
        <v>63</v>
      </c>
      <c r="D67" s="1" t="s">
        <v>22</v>
      </c>
      <c r="E67" s="1" t="s">
        <v>23</v>
      </c>
      <c r="F67" s="1" t="s">
        <v>256</v>
      </c>
      <c r="G67" s="1" t="s">
        <v>798</v>
      </c>
      <c r="H67" s="1">
        <v>0</v>
      </c>
      <c r="I67" s="1">
        <v>0</v>
      </c>
      <c r="J67" s="1">
        <v>0</v>
      </c>
      <c r="K67" s="1">
        <v>480</v>
      </c>
      <c r="L67" s="1">
        <v>30.6</v>
      </c>
      <c r="M67" s="1">
        <v>14688</v>
      </c>
      <c r="N67" s="1">
        <v>0</v>
      </c>
      <c r="O67" s="1">
        <v>30.6</v>
      </c>
      <c r="P67" s="1">
        <v>480</v>
      </c>
      <c r="Q67" s="1">
        <v>30.6</v>
      </c>
      <c r="R67" s="1">
        <v>14688</v>
      </c>
      <c r="S67" s="1">
        <v>480</v>
      </c>
      <c r="T67" s="1">
        <v>30.6</v>
      </c>
      <c r="U67" s="1">
        <v>14688</v>
      </c>
      <c r="V67" s="1">
        <v>0</v>
      </c>
      <c r="W67" s="1">
        <v>0</v>
      </c>
      <c r="X67" s="1">
        <v>0</v>
      </c>
    </row>
    <row r="68" spans="1:24" x14ac:dyDescent="0.25">
      <c r="A68" s="1">
        <v>2018</v>
      </c>
      <c r="B68" s="1">
        <v>5</v>
      </c>
      <c r="C68" s="1" t="s">
        <v>63</v>
      </c>
      <c r="D68" s="1" t="s">
        <v>22</v>
      </c>
      <c r="E68" s="1" t="s">
        <v>23</v>
      </c>
      <c r="F68" s="1" t="s">
        <v>257</v>
      </c>
      <c r="G68" s="1" t="s">
        <v>799</v>
      </c>
      <c r="H68" s="1">
        <v>0</v>
      </c>
      <c r="I68" s="1">
        <v>0</v>
      </c>
      <c r="J68" s="1">
        <v>0</v>
      </c>
      <c r="K68" s="1">
        <v>20</v>
      </c>
      <c r="L68" s="1">
        <v>199.85</v>
      </c>
      <c r="M68" s="1">
        <v>3997</v>
      </c>
      <c r="N68" s="1">
        <v>0</v>
      </c>
      <c r="O68" s="1">
        <v>199.85</v>
      </c>
      <c r="P68" s="1">
        <v>20</v>
      </c>
      <c r="Q68" s="1">
        <v>199.85</v>
      </c>
      <c r="R68" s="1">
        <v>3997</v>
      </c>
      <c r="S68" s="1">
        <v>20</v>
      </c>
      <c r="T68" s="1">
        <v>199.85</v>
      </c>
      <c r="U68" s="1">
        <v>3997</v>
      </c>
      <c r="V68" s="1">
        <v>0</v>
      </c>
      <c r="W68" s="1">
        <v>0</v>
      </c>
      <c r="X68" s="1">
        <v>0</v>
      </c>
    </row>
    <row r="69" spans="1:24" x14ac:dyDescent="0.25">
      <c r="A69" s="1">
        <v>2018</v>
      </c>
      <c r="B69" s="1">
        <v>5</v>
      </c>
      <c r="C69" s="1" t="s">
        <v>63</v>
      </c>
      <c r="D69" s="1" t="s">
        <v>22</v>
      </c>
      <c r="E69" s="1" t="s">
        <v>23</v>
      </c>
      <c r="F69" s="1" t="s">
        <v>283</v>
      </c>
      <c r="G69" s="1" t="s">
        <v>823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25">
      <c r="A70" s="1">
        <v>2018</v>
      </c>
      <c r="B70" s="1">
        <v>5</v>
      </c>
      <c r="C70" s="1" t="s">
        <v>63</v>
      </c>
      <c r="D70" s="1" t="s">
        <v>22</v>
      </c>
      <c r="E70" s="1" t="s">
        <v>23</v>
      </c>
      <c r="F70" s="1" t="s">
        <v>258</v>
      </c>
      <c r="G70" s="1" t="s">
        <v>800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25">
      <c r="A71" s="1">
        <v>2018</v>
      </c>
      <c r="B71" s="1">
        <v>5</v>
      </c>
      <c r="C71" s="1" t="s">
        <v>63</v>
      </c>
      <c r="D71" s="1" t="s">
        <v>22</v>
      </c>
      <c r="E71" s="1" t="s">
        <v>23</v>
      </c>
      <c r="F71" s="1" t="s">
        <v>259</v>
      </c>
      <c r="G71" s="1" t="s">
        <v>801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25">
      <c r="A72" s="1">
        <v>2018</v>
      </c>
      <c r="B72" s="1">
        <v>5</v>
      </c>
      <c r="C72" s="1" t="s">
        <v>63</v>
      </c>
      <c r="D72" s="1" t="s">
        <v>22</v>
      </c>
      <c r="E72" s="1" t="s">
        <v>23</v>
      </c>
      <c r="F72" s="1" t="s">
        <v>284</v>
      </c>
      <c r="G72" s="1" t="s">
        <v>824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</row>
    <row r="73" spans="1:24" x14ac:dyDescent="0.25">
      <c r="A73" s="1">
        <v>2018</v>
      </c>
      <c r="B73" s="1">
        <v>5</v>
      </c>
      <c r="C73" s="1" t="s">
        <v>63</v>
      </c>
      <c r="D73" s="1" t="s">
        <v>22</v>
      </c>
      <c r="E73" s="1" t="s">
        <v>23</v>
      </c>
      <c r="F73" s="1" t="s">
        <v>260</v>
      </c>
      <c r="G73" s="1" t="s">
        <v>802</v>
      </c>
      <c r="H73" s="1">
        <v>0</v>
      </c>
      <c r="I73" s="1">
        <v>0</v>
      </c>
      <c r="J73" s="1">
        <v>0</v>
      </c>
      <c r="K73" s="1">
        <v>214</v>
      </c>
      <c r="L73" s="1">
        <v>103.0140186915</v>
      </c>
      <c r="M73" s="1">
        <v>22045</v>
      </c>
      <c r="N73" s="1">
        <v>0</v>
      </c>
      <c r="O73" s="1">
        <v>103.014018691</v>
      </c>
      <c r="P73" s="1">
        <v>214</v>
      </c>
      <c r="Q73" s="1">
        <v>103.01401869</v>
      </c>
      <c r="R73" s="1">
        <v>22045</v>
      </c>
      <c r="S73" s="1">
        <v>214</v>
      </c>
      <c r="T73" s="1">
        <v>103.01401869</v>
      </c>
      <c r="U73" s="1">
        <v>22045</v>
      </c>
      <c r="V73" s="1">
        <v>0</v>
      </c>
      <c r="W73" s="1">
        <v>0</v>
      </c>
      <c r="X73" s="1">
        <v>0</v>
      </c>
    </row>
    <row r="74" spans="1:24" x14ac:dyDescent="0.25">
      <c r="A74" s="1">
        <v>2018</v>
      </c>
      <c r="B74" s="1">
        <v>5</v>
      </c>
      <c r="C74" s="1" t="s">
        <v>63</v>
      </c>
      <c r="D74" s="1" t="s">
        <v>22</v>
      </c>
      <c r="E74" s="1" t="s">
        <v>23</v>
      </c>
      <c r="F74" s="1" t="s">
        <v>261</v>
      </c>
      <c r="G74" s="1" t="s">
        <v>803</v>
      </c>
      <c r="H74" s="1">
        <v>0</v>
      </c>
      <c r="I74" s="1">
        <v>0</v>
      </c>
      <c r="J74" s="1">
        <v>0</v>
      </c>
      <c r="K74" s="1">
        <v>3000</v>
      </c>
      <c r="L74" s="1">
        <v>76.050666666599994</v>
      </c>
      <c r="M74" s="1">
        <v>228152</v>
      </c>
      <c r="N74" s="1">
        <v>0</v>
      </c>
      <c r="O74" s="1">
        <v>76.050666665999998</v>
      </c>
      <c r="P74" s="1">
        <v>3000</v>
      </c>
      <c r="Q74" s="1">
        <v>76.050666660000005</v>
      </c>
      <c r="R74" s="1">
        <v>228152</v>
      </c>
      <c r="S74" s="1">
        <v>3000</v>
      </c>
      <c r="T74" s="1">
        <v>76.050666660000005</v>
      </c>
      <c r="U74" s="1">
        <v>228151.99997999999</v>
      </c>
      <c r="V74" s="1">
        <v>0</v>
      </c>
      <c r="W74" s="1">
        <v>0</v>
      </c>
      <c r="X74" s="1">
        <v>2.0000000000000002E-5</v>
      </c>
    </row>
    <row r="75" spans="1:24" x14ac:dyDescent="0.25">
      <c r="A75" s="1">
        <v>2018</v>
      </c>
      <c r="B75" s="1">
        <v>5</v>
      </c>
      <c r="C75" s="1" t="s">
        <v>63</v>
      </c>
      <c r="D75" s="1" t="s">
        <v>22</v>
      </c>
      <c r="E75" s="1" t="s">
        <v>23</v>
      </c>
      <c r="F75" s="1" t="s">
        <v>262</v>
      </c>
      <c r="G75" s="1" t="s">
        <v>804</v>
      </c>
      <c r="H75" s="1">
        <v>0</v>
      </c>
      <c r="I75" s="1">
        <v>0</v>
      </c>
      <c r="J75" s="1">
        <v>0</v>
      </c>
      <c r="K75" s="1">
        <v>207.8</v>
      </c>
      <c r="L75" s="1">
        <v>102.791145332</v>
      </c>
      <c r="M75" s="1">
        <v>21360</v>
      </c>
      <c r="N75" s="1">
        <v>0</v>
      </c>
      <c r="O75" s="1">
        <v>102.791145332</v>
      </c>
      <c r="P75" s="1">
        <v>207.8</v>
      </c>
      <c r="Q75" s="1">
        <v>102.79114533000001</v>
      </c>
      <c r="R75" s="1">
        <v>21360</v>
      </c>
      <c r="S75" s="1">
        <v>207.8</v>
      </c>
      <c r="T75" s="1">
        <v>102.79114533000001</v>
      </c>
      <c r="U75" s="1">
        <v>21360</v>
      </c>
      <c r="V75" s="1">
        <v>0</v>
      </c>
      <c r="W75" s="1">
        <v>0</v>
      </c>
      <c r="X75" s="1">
        <v>0</v>
      </c>
    </row>
    <row r="76" spans="1:24" x14ac:dyDescent="0.25">
      <c r="A76" s="1">
        <v>2018</v>
      </c>
      <c r="B76" s="1">
        <v>5</v>
      </c>
      <c r="C76" s="1" t="s">
        <v>63</v>
      </c>
      <c r="D76" s="1" t="s">
        <v>22</v>
      </c>
      <c r="E76" s="1" t="s">
        <v>23</v>
      </c>
      <c r="F76" s="1" t="s">
        <v>263</v>
      </c>
      <c r="G76" s="1" t="s">
        <v>805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25">
      <c r="A77" s="1">
        <v>2018</v>
      </c>
      <c r="B77" s="1">
        <v>5</v>
      </c>
      <c r="C77" s="1" t="s">
        <v>63</v>
      </c>
      <c r="D77" s="1" t="s">
        <v>22</v>
      </c>
      <c r="E77" s="1" t="s">
        <v>23</v>
      </c>
      <c r="F77" s="1" t="s">
        <v>264</v>
      </c>
      <c r="G77" s="1" t="s">
        <v>806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</row>
    <row r="78" spans="1:24" x14ac:dyDescent="0.25">
      <c r="A78" s="1">
        <v>2018</v>
      </c>
      <c r="B78" s="1">
        <v>5</v>
      </c>
      <c r="C78" s="1" t="s">
        <v>63</v>
      </c>
      <c r="D78" s="1" t="s">
        <v>22</v>
      </c>
      <c r="E78" s="1" t="s">
        <v>23</v>
      </c>
      <c r="F78" s="1" t="s">
        <v>285</v>
      </c>
      <c r="G78" s="1" t="s">
        <v>825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25">
      <c r="A79" s="1">
        <v>2018</v>
      </c>
      <c r="B79" s="1">
        <v>5</v>
      </c>
      <c r="C79" s="1" t="s">
        <v>63</v>
      </c>
      <c r="D79" s="1" t="s">
        <v>22</v>
      </c>
      <c r="E79" s="1" t="s">
        <v>23</v>
      </c>
      <c r="F79" s="1" t="s">
        <v>286</v>
      </c>
      <c r="G79" s="1" t="s">
        <v>826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25">
      <c r="A80" s="1">
        <v>2018</v>
      </c>
      <c r="B80" s="1">
        <v>5</v>
      </c>
      <c r="C80" s="1" t="s">
        <v>63</v>
      </c>
      <c r="D80" s="1" t="s">
        <v>22</v>
      </c>
      <c r="E80" s="1" t="s">
        <v>23</v>
      </c>
      <c r="F80" s="1" t="s">
        <v>265</v>
      </c>
      <c r="G80" s="1" t="s">
        <v>807</v>
      </c>
      <c r="H80" s="1">
        <v>0</v>
      </c>
      <c r="I80" s="1">
        <v>0</v>
      </c>
      <c r="J80" s="1">
        <v>0</v>
      </c>
      <c r="K80" s="1">
        <v>36</v>
      </c>
      <c r="L80" s="1">
        <v>309.05555555550001</v>
      </c>
      <c r="M80" s="1">
        <v>11126</v>
      </c>
      <c r="N80" s="1">
        <v>0</v>
      </c>
      <c r="O80" s="1">
        <v>309.05555555500001</v>
      </c>
      <c r="P80" s="1">
        <v>36</v>
      </c>
      <c r="Q80" s="1">
        <v>309.05555555000001</v>
      </c>
      <c r="R80" s="1">
        <v>11126</v>
      </c>
      <c r="S80" s="1">
        <v>36</v>
      </c>
      <c r="T80" s="1">
        <v>309.05555555000001</v>
      </c>
      <c r="U80" s="1">
        <v>11126</v>
      </c>
      <c r="V80" s="1">
        <v>0</v>
      </c>
      <c r="W80" s="1">
        <v>0</v>
      </c>
      <c r="X80" s="1">
        <v>0</v>
      </c>
    </row>
    <row r="81" spans="1:24" x14ac:dyDescent="0.25">
      <c r="A81" s="1">
        <v>2018</v>
      </c>
      <c r="B81" s="1">
        <v>5</v>
      </c>
      <c r="C81" s="1" t="s">
        <v>63</v>
      </c>
      <c r="D81" s="1" t="s">
        <v>22</v>
      </c>
      <c r="E81" s="1" t="s">
        <v>23</v>
      </c>
      <c r="F81" s="1" t="s">
        <v>287</v>
      </c>
      <c r="G81" s="1" t="s">
        <v>827</v>
      </c>
      <c r="H81" s="1">
        <v>0</v>
      </c>
      <c r="I81" s="1">
        <v>0</v>
      </c>
      <c r="J81" s="1">
        <v>0</v>
      </c>
      <c r="K81" s="1">
        <v>175</v>
      </c>
      <c r="L81" s="1">
        <v>98.897142857099993</v>
      </c>
      <c r="M81" s="1">
        <v>17307</v>
      </c>
      <c r="N81" s="1">
        <v>0</v>
      </c>
      <c r="O81" s="1">
        <v>98.897142857000006</v>
      </c>
      <c r="P81" s="1">
        <v>175</v>
      </c>
      <c r="Q81" s="1">
        <v>98.897142849999994</v>
      </c>
      <c r="R81" s="1">
        <v>17307</v>
      </c>
      <c r="S81" s="1">
        <v>175</v>
      </c>
      <c r="T81" s="1">
        <v>98.897142849999994</v>
      </c>
      <c r="U81" s="1">
        <v>17306.999999</v>
      </c>
      <c r="V81" s="1">
        <v>0</v>
      </c>
      <c r="W81" s="1">
        <v>0</v>
      </c>
      <c r="X81" s="1">
        <v>9.9999999999999995E-7</v>
      </c>
    </row>
    <row r="82" spans="1:24" x14ac:dyDescent="0.25">
      <c r="A82" s="1">
        <v>2018</v>
      </c>
      <c r="B82" s="1">
        <v>5</v>
      </c>
      <c r="C82" s="1" t="s">
        <v>63</v>
      </c>
      <c r="D82" s="1" t="s">
        <v>22</v>
      </c>
      <c r="E82" s="1" t="s">
        <v>23</v>
      </c>
      <c r="F82" s="1" t="s">
        <v>266</v>
      </c>
      <c r="G82" s="1" t="s">
        <v>808</v>
      </c>
      <c r="H82" s="1">
        <v>0</v>
      </c>
      <c r="I82" s="1">
        <v>0</v>
      </c>
      <c r="J82" s="1">
        <v>0</v>
      </c>
      <c r="K82" s="1">
        <v>240</v>
      </c>
      <c r="L82" s="1">
        <v>150.98333333330001</v>
      </c>
      <c r="M82" s="1">
        <v>36236</v>
      </c>
      <c r="N82" s="1">
        <v>0</v>
      </c>
      <c r="O82" s="1">
        <v>150.98333333299999</v>
      </c>
      <c r="P82" s="1">
        <v>240</v>
      </c>
      <c r="Q82" s="1">
        <v>150.98333332999999</v>
      </c>
      <c r="R82" s="1">
        <v>36236</v>
      </c>
      <c r="S82" s="1">
        <v>240</v>
      </c>
      <c r="T82" s="1">
        <v>150.98333332999999</v>
      </c>
      <c r="U82" s="1">
        <v>36235.999999</v>
      </c>
      <c r="V82" s="1">
        <v>0</v>
      </c>
      <c r="W82" s="1">
        <v>0</v>
      </c>
      <c r="X82" s="1">
        <v>9.9999999999999995E-7</v>
      </c>
    </row>
    <row r="83" spans="1:24" x14ac:dyDescent="0.25">
      <c r="A83" s="1">
        <v>2018</v>
      </c>
      <c r="B83" s="1">
        <v>5</v>
      </c>
      <c r="C83" s="1" t="s">
        <v>63</v>
      </c>
      <c r="D83" s="1" t="s">
        <v>22</v>
      </c>
      <c r="E83" s="1" t="s">
        <v>23</v>
      </c>
      <c r="F83" s="1" t="s">
        <v>288</v>
      </c>
      <c r="G83" s="1" t="s">
        <v>828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</row>
    <row r="84" spans="1:24" x14ac:dyDescent="0.25">
      <c r="A84" s="1">
        <v>2018</v>
      </c>
      <c r="B84" s="1">
        <v>5</v>
      </c>
      <c r="C84" s="1" t="s">
        <v>63</v>
      </c>
      <c r="D84" s="1" t="s">
        <v>22</v>
      </c>
      <c r="E84" s="1" t="s">
        <v>23</v>
      </c>
      <c r="F84" s="1" t="s">
        <v>267</v>
      </c>
      <c r="G84" s="1" t="s">
        <v>809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</row>
    <row r="85" spans="1:24" x14ac:dyDescent="0.25">
      <c r="A85" s="1">
        <v>2018</v>
      </c>
      <c r="B85" s="1">
        <v>5</v>
      </c>
      <c r="C85" s="1" t="s">
        <v>63</v>
      </c>
      <c r="D85" s="1" t="s">
        <v>22</v>
      </c>
      <c r="E85" s="1" t="s">
        <v>23</v>
      </c>
      <c r="F85" s="1" t="s">
        <v>268</v>
      </c>
      <c r="G85" s="1" t="s">
        <v>810</v>
      </c>
      <c r="H85" s="1">
        <v>0</v>
      </c>
      <c r="I85" s="1">
        <v>0</v>
      </c>
      <c r="J85" s="1">
        <v>0</v>
      </c>
      <c r="K85" s="1">
        <v>52</v>
      </c>
      <c r="L85" s="1">
        <v>735.75</v>
      </c>
      <c r="M85" s="1">
        <v>38259</v>
      </c>
      <c r="N85" s="1">
        <v>0</v>
      </c>
      <c r="O85" s="1">
        <v>735.75</v>
      </c>
      <c r="P85" s="1">
        <v>52</v>
      </c>
      <c r="Q85" s="1">
        <v>735.75</v>
      </c>
      <c r="R85" s="1">
        <v>38259</v>
      </c>
      <c r="S85" s="1">
        <v>52</v>
      </c>
      <c r="T85" s="1">
        <v>735.75</v>
      </c>
      <c r="U85" s="1">
        <v>38259</v>
      </c>
      <c r="V85" s="1">
        <v>0</v>
      </c>
      <c r="W85" s="1">
        <v>0</v>
      </c>
      <c r="X85" s="1">
        <v>0</v>
      </c>
    </row>
    <row r="86" spans="1:24" x14ac:dyDescent="0.25">
      <c r="A86" s="1">
        <v>2018</v>
      </c>
      <c r="B86" s="1">
        <v>5</v>
      </c>
      <c r="C86" s="1" t="s">
        <v>63</v>
      </c>
      <c r="D86" s="1" t="s">
        <v>22</v>
      </c>
      <c r="E86" s="1" t="s">
        <v>23</v>
      </c>
      <c r="F86" s="1" t="s">
        <v>269</v>
      </c>
      <c r="G86" s="1" t="s">
        <v>811</v>
      </c>
      <c r="H86" s="1">
        <v>0</v>
      </c>
      <c r="I86" s="1">
        <v>0</v>
      </c>
      <c r="J86" s="1">
        <v>0</v>
      </c>
      <c r="K86" s="1">
        <v>15</v>
      </c>
      <c r="L86" s="1">
        <v>944.33333333329995</v>
      </c>
      <c r="M86" s="1">
        <v>14165</v>
      </c>
      <c r="N86" s="1">
        <v>0</v>
      </c>
      <c r="O86" s="1">
        <v>944.33333333300004</v>
      </c>
      <c r="P86" s="1">
        <v>15</v>
      </c>
      <c r="Q86" s="1">
        <v>944.33333332999996</v>
      </c>
      <c r="R86" s="1">
        <v>14165</v>
      </c>
      <c r="S86" s="1">
        <v>15</v>
      </c>
      <c r="T86" s="1">
        <v>944.33333332999996</v>
      </c>
      <c r="U86" s="1">
        <v>14165</v>
      </c>
      <c r="V86" s="1">
        <v>0</v>
      </c>
      <c r="W86" s="1">
        <v>0</v>
      </c>
      <c r="X86" s="1">
        <v>0</v>
      </c>
    </row>
    <row r="87" spans="1:24" x14ac:dyDescent="0.25">
      <c r="A87" s="1">
        <v>2018</v>
      </c>
      <c r="B87" s="1">
        <v>5</v>
      </c>
      <c r="C87" s="1" t="s">
        <v>63</v>
      </c>
      <c r="D87" s="1" t="s">
        <v>22</v>
      </c>
      <c r="E87" s="1" t="s">
        <v>23</v>
      </c>
      <c r="F87" s="1" t="s">
        <v>270</v>
      </c>
      <c r="G87" s="1" t="s">
        <v>812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</row>
    <row r="88" spans="1:24" x14ac:dyDescent="0.25">
      <c r="A88" s="1">
        <v>2018</v>
      </c>
      <c r="B88" s="1">
        <v>5</v>
      </c>
      <c r="C88" s="1" t="s">
        <v>63</v>
      </c>
      <c r="D88" s="1" t="s">
        <v>22</v>
      </c>
      <c r="E88" s="1" t="s">
        <v>23</v>
      </c>
      <c r="F88" s="1" t="s">
        <v>271</v>
      </c>
      <c r="G88" s="1" t="s">
        <v>813</v>
      </c>
      <c r="H88" s="1">
        <v>0</v>
      </c>
      <c r="I88" s="1">
        <v>0</v>
      </c>
      <c r="J88" s="1">
        <v>0</v>
      </c>
      <c r="K88" s="1">
        <v>34</v>
      </c>
      <c r="L88" s="1">
        <v>622.76470588229995</v>
      </c>
      <c r="M88" s="1">
        <v>21174</v>
      </c>
      <c r="N88" s="1">
        <v>0</v>
      </c>
      <c r="O88" s="1">
        <v>622.76470588200004</v>
      </c>
      <c r="P88" s="1">
        <v>34</v>
      </c>
      <c r="Q88" s="1">
        <v>622.76470587999995</v>
      </c>
      <c r="R88" s="1">
        <v>21174</v>
      </c>
      <c r="S88" s="1">
        <v>34</v>
      </c>
      <c r="T88" s="1">
        <v>622.76470587999995</v>
      </c>
      <c r="U88" s="1">
        <v>21174</v>
      </c>
      <c r="V88" s="1">
        <v>0</v>
      </c>
      <c r="W88" s="1">
        <v>0</v>
      </c>
      <c r="X88" s="1">
        <v>0</v>
      </c>
    </row>
    <row r="89" spans="1:24" x14ac:dyDescent="0.25">
      <c r="A89" s="1">
        <v>2018</v>
      </c>
      <c r="B89" s="1">
        <v>5</v>
      </c>
      <c r="C89" s="1" t="s">
        <v>63</v>
      </c>
      <c r="D89" s="1" t="s">
        <v>22</v>
      </c>
      <c r="E89" s="1" t="s">
        <v>23</v>
      </c>
      <c r="F89" s="1" t="s">
        <v>289</v>
      </c>
      <c r="G89" s="1" t="s">
        <v>829</v>
      </c>
      <c r="H89" s="1">
        <v>0</v>
      </c>
      <c r="I89" s="1">
        <v>0</v>
      </c>
      <c r="J89" s="1">
        <v>0</v>
      </c>
      <c r="K89" s="1">
        <v>51</v>
      </c>
      <c r="L89" s="1">
        <v>1384.4705882352</v>
      </c>
      <c r="M89" s="1">
        <v>70608</v>
      </c>
      <c r="N89" s="1">
        <v>0</v>
      </c>
      <c r="O89" s="1">
        <v>1384.4705882349999</v>
      </c>
      <c r="P89" s="1">
        <v>51</v>
      </c>
      <c r="Q89" s="1">
        <v>1384.47058823</v>
      </c>
      <c r="R89" s="1">
        <v>70608</v>
      </c>
      <c r="S89" s="1">
        <v>51</v>
      </c>
      <c r="T89" s="1">
        <v>1384.47058823</v>
      </c>
      <c r="U89" s="1">
        <v>70608</v>
      </c>
      <c r="V89" s="1">
        <v>0</v>
      </c>
      <c r="W89" s="1">
        <v>0</v>
      </c>
      <c r="X89" s="1">
        <v>0</v>
      </c>
    </row>
    <row r="90" spans="1:24" x14ac:dyDescent="0.25">
      <c r="A90" s="1">
        <v>2018</v>
      </c>
      <c r="B90" s="1">
        <v>5</v>
      </c>
      <c r="C90" s="1" t="s">
        <v>63</v>
      </c>
      <c r="D90" s="1" t="s">
        <v>22</v>
      </c>
      <c r="E90" s="1" t="s">
        <v>23</v>
      </c>
      <c r="F90" s="1" t="s">
        <v>272</v>
      </c>
      <c r="G90" s="1" t="s">
        <v>814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</row>
    <row r="91" spans="1:24" x14ac:dyDescent="0.25">
      <c r="A91" s="1">
        <v>2018</v>
      </c>
      <c r="B91" s="1">
        <v>5</v>
      </c>
      <c r="C91" s="1" t="s">
        <v>63</v>
      </c>
      <c r="D91" s="1" t="s">
        <v>22</v>
      </c>
      <c r="E91" s="1" t="s">
        <v>23</v>
      </c>
      <c r="F91" s="1" t="s">
        <v>273</v>
      </c>
      <c r="G91" s="1" t="s">
        <v>815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</row>
    <row r="92" spans="1:24" x14ac:dyDescent="0.25">
      <c r="A92" s="1">
        <v>2018</v>
      </c>
      <c r="B92" s="1">
        <v>5</v>
      </c>
      <c r="C92" s="1" t="s">
        <v>63</v>
      </c>
      <c r="D92" s="1" t="s">
        <v>22</v>
      </c>
      <c r="E92" s="1" t="s">
        <v>23</v>
      </c>
      <c r="F92" s="1" t="s">
        <v>290</v>
      </c>
      <c r="G92" s="1" t="s">
        <v>830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</row>
    <row r="93" spans="1:24" x14ac:dyDescent="0.25">
      <c r="A93" s="1">
        <v>2018</v>
      </c>
      <c r="B93" s="1">
        <v>5</v>
      </c>
      <c r="C93" s="1" t="s">
        <v>63</v>
      </c>
      <c r="D93" s="1" t="s">
        <v>22</v>
      </c>
      <c r="E93" s="1" t="s">
        <v>23</v>
      </c>
      <c r="F93" s="1" t="s">
        <v>274</v>
      </c>
      <c r="G93" s="1" t="s">
        <v>816</v>
      </c>
      <c r="H93" s="1">
        <v>0</v>
      </c>
      <c r="I93" s="1">
        <v>0</v>
      </c>
      <c r="J93" s="1">
        <v>0</v>
      </c>
      <c r="K93" s="1">
        <v>34</v>
      </c>
      <c r="L93" s="1">
        <v>1041.8529411764</v>
      </c>
      <c r="M93" s="1">
        <v>35423</v>
      </c>
      <c r="N93" s="1">
        <v>0</v>
      </c>
      <c r="O93" s="1">
        <v>1041.8529411760001</v>
      </c>
      <c r="P93" s="1">
        <v>34</v>
      </c>
      <c r="Q93" s="1">
        <v>1041.8529411699999</v>
      </c>
      <c r="R93" s="1">
        <v>35423</v>
      </c>
      <c r="S93" s="1">
        <v>34</v>
      </c>
      <c r="T93" s="1">
        <v>1041.8529411699999</v>
      </c>
      <c r="U93" s="1">
        <v>35423</v>
      </c>
      <c r="V93" s="1">
        <v>0</v>
      </c>
      <c r="W93" s="1">
        <v>0</v>
      </c>
      <c r="X93" s="1">
        <v>0</v>
      </c>
    </row>
    <row r="94" spans="1:24" x14ac:dyDescent="0.25">
      <c r="A94" s="1">
        <v>2018</v>
      </c>
      <c r="B94" s="1">
        <v>5</v>
      </c>
      <c r="C94" s="1" t="s">
        <v>63</v>
      </c>
      <c r="D94" s="1" t="s">
        <v>22</v>
      </c>
      <c r="E94" s="1" t="s">
        <v>23</v>
      </c>
      <c r="F94" s="1" t="s">
        <v>275</v>
      </c>
      <c r="G94" s="1" t="s">
        <v>817</v>
      </c>
      <c r="H94" s="1">
        <v>0</v>
      </c>
      <c r="I94" s="1">
        <v>0</v>
      </c>
      <c r="J94" s="1">
        <v>0</v>
      </c>
      <c r="K94" s="1">
        <v>54</v>
      </c>
      <c r="L94" s="1">
        <v>1530.9074074073999</v>
      </c>
      <c r="M94" s="1">
        <v>82669</v>
      </c>
      <c r="N94" s="1">
        <v>0</v>
      </c>
      <c r="O94" s="1">
        <v>1530.9074074069999</v>
      </c>
      <c r="P94" s="1">
        <v>54</v>
      </c>
      <c r="Q94" s="1">
        <v>1530.9074074</v>
      </c>
      <c r="R94" s="1">
        <v>82669</v>
      </c>
      <c r="S94" s="1">
        <v>54</v>
      </c>
      <c r="T94" s="1">
        <v>1530.9074074</v>
      </c>
      <c r="U94" s="1">
        <v>82669</v>
      </c>
      <c r="V94" s="1">
        <v>0</v>
      </c>
      <c r="W94" s="1">
        <v>0</v>
      </c>
      <c r="X94" s="1">
        <v>0</v>
      </c>
    </row>
    <row r="95" spans="1:24" x14ac:dyDescent="0.25">
      <c r="A95" s="1">
        <v>2018</v>
      </c>
      <c r="B95" s="1">
        <v>5</v>
      </c>
      <c r="C95" s="1" t="s">
        <v>63</v>
      </c>
      <c r="D95" s="1" t="s">
        <v>22</v>
      </c>
      <c r="E95" s="1" t="s">
        <v>23</v>
      </c>
      <c r="F95" s="1" t="s">
        <v>276</v>
      </c>
      <c r="G95" s="1" t="s">
        <v>818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</row>
    <row r="96" spans="1:24" x14ac:dyDescent="0.25">
      <c r="A96" s="1">
        <v>2018</v>
      </c>
      <c r="B96" s="1">
        <v>5</v>
      </c>
      <c r="C96" s="1" t="s">
        <v>63</v>
      </c>
      <c r="D96" s="1" t="s">
        <v>22</v>
      </c>
      <c r="E96" s="1" t="s">
        <v>23</v>
      </c>
      <c r="F96" s="1" t="s">
        <v>291</v>
      </c>
      <c r="G96" s="1" t="s">
        <v>831</v>
      </c>
      <c r="H96" s="1">
        <v>0</v>
      </c>
      <c r="I96" s="1">
        <v>0</v>
      </c>
      <c r="J96" s="1">
        <v>0</v>
      </c>
      <c r="K96" s="1">
        <v>85</v>
      </c>
      <c r="L96" s="1">
        <v>1305.8470588235</v>
      </c>
      <c r="M96" s="1">
        <v>110997</v>
      </c>
      <c r="N96" s="1">
        <v>0</v>
      </c>
      <c r="O96" s="1">
        <v>1305.847058823</v>
      </c>
      <c r="P96" s="1">
        <v>85</v>
      </c>
      <c r="Q96" s="1">
        <v>1305.84705882</v>
      </c>
      <c r="R96" s="1">
        <v>110997</v>
      </c>
      <c r="S96" s="1">
        <v>85</v>
      </c>
      <c r="T96" s="1">
        <v>1305.84705882</v>
      </c>
      <c r="U96" s="1">
        <v>110997</v>
      </c>
      <c r="V96" s="1">
        <v>0</v>
      </c>
      <c r="W96" s="1">
        <v>0</v>
      </c>
      <c r="X96" s="1">
        <v>0</v>
      </c>
    </row>
    <row r="97" spans="1:24" x14ac:dyDescent="0.25">
      <c r="A97" s="1">
        <v>2018</v>
      </c>
      <c r="B97" s="1">
        <v>5</v>
      </c>
      <c r="C97" s="1" t="s">
        <v>63</v>
      </c>
      <c r="D97" s="1" t="s">
        <v>22</v>
      </c>
      <c r="E97" s="1" t="s">
        <v>23</v>
      </c>
      <c r="F97" s="1" t="s">
        <v>277</v>
      </c>
      <c r="G97" s="1" t="s">
        <v>819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</row>
    <row r="98" spans="1:24" x14ac:dyDescent="0.25">
      <c r="A98" s="1">
        <v>2018</v>
      </c>
      <c r="B98" s="1">
        <v>5</v>
      </c>
      <c r="C98" s="1" t="s">
        <v>63</v>
      </c>
      <c r="D98" s="1" t="s">
        <v>22</v>
      </c>
      <c r="E98" s="1" t="s">
        <v>23</v>
      </c>
      <c r="F98" s="1" t="s">
        <v>278</v>
      </c>
      <c r="G98" s="1" t="s">
        <v>820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</row>
    <row r="99" spans="1:24" x14ac:dyDescent="0.25">
      <c r="A99" s="1">
        <v>2018</v>
      </c>
      <c r="B99" s="1">
        <v>5</v>
      </c>
      <c r="C99" s="1" t="s">
        <v>63</v>
      </c>
      <c r="D99" s="1" t="s">
        <v>22</v>
      </c>
      <c r="E99" s="1" t="s">
        <v>23</v>
      </c>
      <c r="F99" s="1" t="s">
        <v>279</v>
      </c>
      <c r="G99" s="1" t="s">
        <v>821</v>
      </c>
      <c r="H99" s="1">
        <v>0</v>
      </c>
      <c r="I99" s="1">
        <v>0</v>
      </c>
      <c r="J99" s="1">
        <v>0</v>
      </c>
      <c r="K99" s="1">
        <v>16</v>
      </c>
      <c r="L99" s="1">
        <v>453.9375</v>
      </c>
      <c r="M99" s="1">
        <v>7263</v>
      </c>
      <c r="N99" s="1">
        <v>0</v>
      </c>
      <c r="O99" s="1">
        <v>453.9375</v>
      </c>
      <c r="P99" s="1">
        <v>16</v>
      </c>
      <c r="Q99" s="1">
        <v>453.9375</v>
      </c>
      <c r="R99" s="1">
        <v>7263</v>
      </c>
      <c r="S99" s="1">
        <v>16</v>
      </c>
      <c r="T99" s="1">
        <v>453.9375</v>
      </c>
      <c r="U99" s="1">
        <v>7263</v>
      </c>
      <c r="V99" s="1">
        <v>0</v>
      </c>
      <c r="W99" s="1">
        <v>0</v>
      </c>
      <c r="X99" s="1">
        <v>0</v>
      </c>
    </row>
    <row r="100" spans="1:24" x14ac:dyDescent="0.25">
      <c r="A100" s="1">
        <v>2018</v>
      </c>
      <c r="B100" s="1">
        <v>5</v>
      </c>
      <c r="C100" s="1" t="s">
        <v>63</v>
      </c>
      <c r="D100" s="1" t="s">
        <v>22</v>
      </c>
      <c r="E100" s="1" t="s">
        <v>23</v>
      </c>
      <c r="F100" s="1" t="s">
        <v>280</v>
      </c>
      <c r="G100" s="1" t="s">
        <v>822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</row>
    <row r="101" spans="1:24" x14ac:dyDescent="0.25">
      <c r="A101" s="1">
        <v>2018</v>
      </c>
      <c r="B101" s="1">
        <v>5</v>
      </c>
      <c r="C101" s="1" t="s">
        <v>63</v>
      </c>
      <c r="D101" s="1" t="s">
        <v>22</v>
      </c>
      <c r="E101" s="1" t="s">
        <v>23</v>
      </c>
      <c r="F101" s="1" t="s">
        <v>300</v>
      </c>
      <c r="G101" s="1" t="s">
        <v>840</v>
      </c>
      <c r="H101" s="1">
        <v>0</v>
      </c>
      <c r="I101" s="1">
        <v>0</v>
      </c>
      <c r="J101" s="1">
        <v>0</v>
      </c>
      <c r="K101" s="1">
        <v>17</v>
      </c>
      <c r="L101" s="1">
        <v>963.47058823520001</v>
      </c>
      <c r="M101" s="1">
        <v>16379</v>
      </c>
      <c r="N101" s="1">
        <v>0</v>
      </c>
      <c r="O101" s="1">
        <v>963.47058823500004</v>
      </c>
      <c r="P101" s="1">
        <v>17</v>
      </c>
      <c r="Q101" s="1">
        <v>963.47058822999998</v>
      </c>
      <c r="R101" s="1">
        <v>16379</v>
      </c>
      <c r="S101" s="1">
        <v>17</v>
      </c>
      <c r="T101" s="1">
        <v>963.47058822999998</v>
      </c>
      <c r="U101" s="1">
        <v>16379</v>
      </c>
      <c r="V101" s="1">
        <v>0</v>
      </c>
      <c r="W101" s="1">
        <v>0</v>
      </c>
      <c r="X101" s="1">
        <v>0</v>
      </c>
    </row>
    <row r="102" spans="1:24" x14ac:dyDescent="0.25">
      <c r="A102" s="1">
        <v>2018</v>
      </c>
      <c r="B102" s="1">
        <v>5</v>
      </c>
      <c r="C102" s="1" t="s">
        <v>63</v>
      </c>
      <c r="D102" s="1" t="s">
        <v>22</v>
      </c>
      <c r="E102" s="1" t="s">
        <v>23</v>
      </c>
      <c r="F102" s="1" t="s">
        <v>297</v>
      </c>
      <c r="G102" s="1" t="s">
        <v>837</v>
      </c>
      <c r="H102" s="1">
        <v>0</v>
      </c>
      <c r="I102" s="1">
        <v>0</v>
      </c>
      <c r="J102" s="1">
        <v>0</v>
      </c>
      <c r="K102" s="1">
        <v>90</v>
      </c>
      <c r="L102" s="1">
        <v>701.93333333329997</v>
      </c>
      <c r="M102" s="1">
        <v>63174</v>
      </c>
      <c r="N102" s="1">
        <v>0</v>
      </c>
      <c r="O102" s="1">
        <v>701.93333333299995</v>
      </c>
      <c r="P102" s="1">
        <v>90</v>
      </c>
      <c r="Q102" s="1">
        <v>701.93333332999998</v>
      </c>
      <c r="R102" s="1">
        <v>63174</v>
      </c>
      <c r="S102" s="1">
        <v>90</v>
      </c>
      <c r="T102" s="1">
        <v>701.93333332999998</v>
      </c>
      <c r="U102" s="1">
        <v>63174</v>
      </c>
      <c r="V102" s="1">
        <v>0</v>
      </c>
      <c r="W102" s="1">
        <v>0</v>
      </c>
      <c r="X102" s="1">
        <v>0</v>
      </c>
    </row>
    <row r="103" spans="1:24" x14ac:dyDescent="0.25">
      <c r="A103" s="1">
        <v>2018</v>
      </c>
      <c r="B103" s="1">
        <v>5</v>
      </c>
      <c r="C103" s="1" t="s">
        <v>63</v>
      </c>
      <c r="D103" s="1" t="s">
        <v>22</v>
      </c>
      <c r="E103" s="1" t="s">
        <v>23</v>
      </c>
      <c r="F103" s="1" t="s">
        <v>295</v>
      </c>
      <c r="G103" s="1" t="s">
        <v>835</v>
      </c>
      <c r="H103" s="1">
        <v>0</v>
      </c>
      <c r="I103" s="1">
        <v>0</v>
      </c>
      <c r="J103" s="1">
        <v>0</v>
      </c>
      <c r="K103" s="1">
        <v>580.79999999999995</v>
      </c>
      <c r="L103" s="1">
        <v>108.0096418732</v>
      </c>
      <c r="M103" s="1">
        <v>62732</v>
      </c>
      <c r="N103" s="1">
        <v>0</v>
      </c>
      <c r="O103" s="1">
        <v>108.00964187300001</v>
      </c>
      <c r="P103" s="1">
        <v>580.79999999999995</v>
      </c>
      <c r="Q103" s="1">
        <v>108.00964187</v>
      </c>
      <c r="R103" s="1">
        <v>62732</v>
      </c>
      <c r="S103" s="1">
        <v>580.79999999999995</v>
      </c>
      <c r="T103" s="1">
        <v>108.00964187</v>
      </c>
      <c r="U103" s="1">
        <v>62731.999997999999</v>
      </c>
      <c r="V103" s="1">
        <v>0</v>
      </c>
      <c r="W103" s="1">
        <v>0</v>
      </c>
      <c r="X103" s="1">
        <v>1.9999999999999999E-6</v>
      </c>
    </row>
    <row r="104" spans="1:24" x14ac:dyDescent="0.25">
      <c r="A104" s="1">
        <v>2018</v>
      </c>
      <c r="B104" s="1">
        <v>5</v>
      </c>
      <c r="C104" s="1" t="s">
        <v>63</v>
      </c>
      <c r="D104" s="1" t="s">
        <v>22</v>
      </c>
      <c r="E104" s="1" t="s">
        <v>23</v>
      </c>
      <c r="F104" s="1" t="s">
        <v>292</v>
      </c>
      <c r="G104" s="1" t="s">
        <v>832</v>
      </c>
      <c r="H104" s="1">
        <v>0</v>
      </c>
      <c r="I104" s="1">
        <v>0</v>
      </c>
      <c r="J104" s="1">
        <v>0</v>
      </c>
      <c r="K104" s="1">
        <v>80</v>
      </c>
      <c r="L104" s="1">
        <v>179.91249999999999</v>
      </c>
      <c r="M104" s="1">
        <v>14393</v>
      </c>
      <c r="N104" s="1">
        <v>0</v>
      </c>
      <c r="O104" s="1">
        <v>179.91249999999999</v>
      </c>
      <c r="P104" s="1">
        <v>80</v>
      </c>
      <c r="Q104" s="1">
        <v>179.91249999999999</v>
      </c>
      <c r="R104" s="1">
        <v>14393</v>
      </c>
      <c r="S104" s="1">
        <v>80</v>
      </c>
      <c r="T104" s="1">
        <v>179.91249999999999</v>
      </c>
      <c r="U104" s="1">
        <v>14393</v>
      </c>
      <c r="V104" s="1">
        <v>0</v>
      </c>
      <c r="W104" s="1">
        <v>0</v>
      </c>
      <c r="X104" s="1">
        <v>0</v>
      </c>
    </row>
    <row r="105" spans="1:24" x14ac:dyDescent="0.25">
      <c r="A105" s="1">
        <v>2018</v>
      </c>
      <c r="B105" s="1">
        <v>5</v>
      </c>
      <c r="C105" s="1" t="s">
        <v>63</v>
      </c>
      <c r="D105" s="1" t="s">
        <v>22</v>
      </c>
      <c r="E105" s="1" t="s">
        <v>23</v>
      </c>
      <c r="F105" s="1" t="s">
        <v>298</v>
      </c>
      <c r="G105" s="1" t="s">
        <v>838</v>
      </c>
      <c r="H105" s="1">
        <v>0</v>
      </c>
      <c r="I105" s="1">
        <v>0</v>
      </c>
      <c r="J105" s="1">
        <v>0</v>
      </c>
      <c r="K105" s="1">
        <v>18</v>
      </c>
      <c r="L105" s="1">
        <v>987.16666666660001</v>
      </c>
      <c r="M105" s="1">
        <v>17769</v>
      </c>
      <c r="N105" s="1">
        <v>0</v>
      </c>
      <c r="O105" s="1">
        <v>987.16666666599997</v>
      </c>
      <c r="P105" s="1">
        <v>18</v>
      </c>
      <c r="Q105" s="1">
        <v>987.16666666000003</v>
      </c>
      <c r="R105" s="1">
        <v>17769</v>
      </c>
      <c r="S105" s="1">
        <v>18</v>
      </c>
      <c r="T105" s="1">
        <v>987.16666666000003</v>
      </c>
      <c r="U105" s="1">
        <v>17769</v>
      </c>
      <c r="V105" s="1">
        <v>0</v>
      </c>
      <c r="W105" s="1">
        <v>0</v>
      </c>
      <c r="X105" s="1">
        <v>0</v>
      </c>
    </row>
    <row r="106" spans="1:24" x14ac:dyDescent="0.25">
      <c r="A106" s="1">
        <v>2018</v>
      </c>
      <c r="B106" s="1">
        <v>5</v>
      </c>
      <c r="C106" s="1" t="s">
        <v>63</v>
      </c>
      <c r="D106" s="1" t="s">
        <v>22</v>
      </c>
      <c r="E106" s="1" t="s">
        <v>23</v>
      </c>
      <c r="F106" s="1" t="s">
        <v>301</v>
      </c>
      <c r="G106" s="1" t="s">
        <v>841</v>
      </c>
      <c r="H106" s="1">
        <v>0</v>
      </c>
      <c r="I106" s="1">
        <v>0</v>
      </c>
      <c r="J106" s="1">
        <v>0</v>
      </c>
      <c r="K106" s="1">
        <v>5</v>
      </c>
      <c r="L106" s="1">
        <v>12089.8</v>
      </c>
      <c r="M106" s="1">
        <v>60449</v>
      </c>
      <c r="N106" s="1">
        <v>0</v>
      </c>
      <c r="O106" s="1">
        <v>12089.8</v>
      </c>
      <c r="P106" s="1">
        <v>5</v>
      </c>
      <c r="Q106" s="1">
        <v>12089.8</v>
      </c>
      <c r="R106" s="1">
        <v>60449</v>
      </c>
      <c r="S106" s="1">
        <v>5</v>
      </c>
      <c r="T106" s="1">
        <v>12089.8</v>
      </c>
      <c r="U106" s="1">
        <v>60449</v>
      </c>
      <c r="V106" s="1">
        <v>0</v>
      </c>
      <c r="W106" s="1">
        <v>0</v>
      </c>
      <c r="X106" s="1">
        <v>0</v>
      </c>
    </row>
    <row r="107" spans="1:24" x14ac:dyDescent="0.25">
      <c r="A107" s="1">
        <v>2018</v>
      </c>
      <c r="B107" s="1">
        <v>5</v>
      </c>
      <c r="C107" s="1" t="s">
        <v>63</v>
      </c>
      <c r="D107" s="1" t="s">
        <v>22</v>
      </c>
      <c r="E107" s="1" t="s">
        <v>23</v>
      </c>
      <c r="F107" s="1" t="s">
        <v>296</v>
      </c>
      <c r="G107" s="1" t="s">
        <v>836</v>
      </c>
      <c r="H107" s="1">
        <v>0</v>
      </c>
      <c r="I107" s="1">
        <v>0</v>
      </c>
      <c r="J107" s="1">
        <v>0</v>
      </c>
      <c r="K107" s="1">
        <v>18</v>
      </c>
      <c r="L107" s="1">
        <v>1182.3333333333001</v>
      </c>
      <c r="M107" s="1">
        <v>21282</v>
      </c>
      <c r="N107" s="1">
        <v>0</v>
      </c>
      <c r="O107" s="1">
        <v>1182.3333333329999</v>
      </c>
      <c r="P107" s="1">
        <v>18</v>
      </c>
      <c r="Q107" s="1">
        <v>1182.33333333</v>
      </c>
      <c r="R107" s="1">
        <v>21282</v>
      </c>
      <c r="S107" s="1">
        <v>18</v>
      </c>
      <c r="T107" s="1">
        <v>1182.33333333</v>
      </c>
      <c r="U107" s="1">
        <v>21282</v>
      </c>
      <c r="V107" s="1">
        <v>0</v>
      </c>
      <c r="W107" s="1">
        <v>0</v>
      </c>
      <c r="X107" s="1">
        <v>0</v>
      </c>
    </row>
    <row r="108" spans="1:24" x14ac:dyDescent="0.25">
      <c r="A108" s="1">
        <v>2018</v>
      </c>
      <c r="B108" s="1">
        <v>5</v>
      </c>
      <c r="C108" s="1" t="s">
        <v>63</v>
      </c>
      <c r="D108" s="1" t="s">
        <v>22</v>
      </c>
      <c r="E108" s="1" t="s">
        <v>23</v>
      </c>
      <c r="F108" s="1" t="s">
        <v>293</v>
      </c>
      <c r="G108" s="1" t="s">
        <v>833</v>
      </c>
      <c r="H108" s="1">
        <v>0</v>
      </c>
      <c r="I108" s="1">
        <v>0</v>
      </c>
      <c r="J108" s="1">
        <v>0</v>
      </c>
      <c r="K108" s="1">
        <v>160</v>
      </c>
      <c r="L108" s="1">
        <v>200.05</v>
      </c>
      <c r="M108" s="1">
        <v>32008</v>
      </c>
      <c r="N108" s="1">
        <v>0</v>
      </c>
      <c r="O108" s="1">
        <v>200.05</v>
      </c>
      <c r="P108" s="1">
        <v>160</v>
      </c>
      <c r="Q108" s="1">
        <v>200.05</v>
      </c>
      <c r="R108" s="1">
        <v>32008</v>
      </c>
      <c r="S108" s="1">
        <v>160</v>
      </c>
      <c r="T108" s="1">
        <v>200.05</v>
      </c>
      <c r="U108" s="1">
        <v>32008</v>
      </c>
      <c r="V108" s="1">
        <v>0</v>
      </c>
      <c r="W108" s="1">
        <v>0</v>
      </c>
      <c r="X108" s="1">
        <v>0</v>
      </c>
    </row>
    <row r="109" spans="1:24" x14ac:dyDescent="0.25">
      <c r="A109" s="1">
        <v>2018</v>
      </c>
      <c r="B109" s="1">
        <v>5</v>
      </c>
      <c r="C109" s="1" t="s">
        <v>63</v>
      </c>
      <c r="D109" s="1" t="s">
        <v>22</v>
      </c>
      <c r="E109" s="1" t="s">
        <v>23</v>
      </c>
      <c r="F109" s="1" t="s">
        <v>294</v>
      </c>
      <c r="G109" s="1" t="s">
        <v>834</v>
      </c>
      <c r="H109" s="1">
        <v>0</v>
      </c>
      <c r="I109" s="1">
        <v>0</v>
      </c>
      <c r="J109" s="1">
        <v>0</v>
      </c>
      <c r="K109" s="1">
        <v>280</v>
      </c>
      <c r="L109" s="1">
        <v>196.2464285714</v>
      </c>
      <c r="M109" s="1">
        <v>54949</v>
      </c>
      <c r="N109" s="1">
        <v>0</v>
      </c>
      <c r="O109" s="1">
        <v>196.246428571</v>
      </c>
      <c r="P109" s="1">
        <v>280</v>
      </c>
      <c r="Q109" s="1">
        <v>196.24642857000001</v>
      </c>
      <c r="R109" s="1">
        <v>54949</v>
      </c>
      <c r="S109" s="1">
        <v>280</v>
      </c>
      <c r="T109" s="1">
        <v>196.24642857000001</v>
      </c>
      <c r="U109" s="1">
        <v>54949</v>
      </c>
      <c r="V109" s="1">
        <v>0</v>
      </c>
      <c r="W109" s="1">
        <v>0</v>
      </c>
      <c r="X109" s="1">
        <v>0</v>
      </c>
    </row>
    <row r="110" spans="1:24" x14ac:dyDescent="0.25">
      <c r="A110" s="1">
        <v>2018</v>
      </c>
      <c r="B110" s="1">
        <v>5</v>
      </c>
      <c r="C110" s="1" t="s">
        <v>63</v>
      </c>
      <c r="D110" s="1" t="s">
        <v>22</v>
      </c>
      <c r="E110" s="1" t="s">
        <v>23</v>
      </c>
      <c r="F110" s="1" t="s">
        <v>299</v>
      </c>
      <c r="G110" s="1" t="s">
        <v>839</v>
      </c>
      <c r="H110" s="1">
        <v>0</v>
      </c>
      <c r="I110" s="1">
        <v>0</v>
      </c>
      <c r="J110" s="1">
        <v>0</v>
      </c>
      <c r="K110" s="1">
        <v>17</v>
      </c>
      <c r="L110" s="1">
        <v>1211.2352941176</v>
      </c>
      <c r="M110" s="1">
        <v>20591</v>
      </c>
      <c r="N110" s="1">
        <v>0</v>
      </c>
      <c r="O110" s="1">
        <v>1211.235294117</v>
      </c>
      <c r="P110" s="1">
        <v>17</v>
      </c>
      <c r="Q110" s="1">
        <v>1211.23529411</v>
      </c>
      <c r="R110" s="1">
        <v>20591</v>
      </c>
      <c r="S110" s="1">
        <v>17</v>
      </c>
      <c r="T110" s="1">
        <v>1211.23529411</v>
      </c>
      <c r="U110" s="1">
        <v>20591</v>
      </c>
      <c r="V110" s="1">
        <v>0</v>
      </c>
      <c r="W110" s="1">
        <v>0</v>
      </c>
      <c r="X110" s="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Resource</vt:lpstr>
      <vt:lpstr>可控不可控</vt:lpstr>
      <vt:lpstr>可控不可控 (2)</vt:lpstr>
      <vt:lpstr>ActivityCenter+ActivityModel</vt:lpstr>
      <vt:lpstr>單位實際作業成本</vt:lpstr>
      <vt:lpstr>附加價值</vt:lpstr>
      <vt:lpstr>顧客服務屬性</vt:lpstr>
      <vt:lpstr>ActivityCenter</vt:lpstr>
      <vt:lpstr>超用剩餘</vt:lpstr>
      <vt:lpstr>ActivityDriver</vt:lpstr>
      <vt:lpstr>專案作業時間</vt:lpstr>
      <vt:lpstr>PartStock</vt:lpstr>
      <vt:lpstr>存貨</vt:lpstr>
      <vt:lpstr>Project</vt:lpstr>
      <vt:lpstr>專案成本</vt:lpstr>
      <vt:lpstr>IncomeStatment</vt:lpstr>
      <vt:lpstr>CustomerProfitResult</vt:lpstr>
      <vt:lpstr>ProductProfitResult</vt:lpstr>
      <vt:lpstr>CustomerProductProfit</vt:lpstr>
      <vt:lpstr>客戶利潤3-5</vt:lpstr>
      <vt:lpstr>產品利潤3-5</vt:lpstr>
      <vt:lpstr>業務利潤3-5</vt:lpstr>
      <vt:lpstr>InventoryResult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iSVMSCenter</dc:creator>
  <cp:lastModifiedBy>田耕銘</cp:lastModifiedBy>
  <dcterms:created xsi:type="dcterms:W3CDTF">2018-08-03T05:25:26Z</dcterms:created>
  <dcterms:modified xsi:type="dcterms:W3CDTF">2018-08-03T05:26:02Z</dcterms:modified>
</cp:coreProperties>
</file>